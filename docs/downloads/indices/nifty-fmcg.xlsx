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fmcg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2" customWidth="1" min="5" max="5"/>
    <col width="21" customWidth="1" min="6" max="6"/>
    <col width="21" customWidth="1" min="7" max="7"/>
  </cols>
  <sheetData>
    <row r="1" ht="26" customHeight="1">
      <c r="A1" s="1" t="inlineStr">
        <is>
          <t>NIFTY FMCG Valuation Tracker</t>
        </is>
      </c>
    </row>
    <row r="2">
      <c r="A2" s="2" t="inlineStr">
        <is>
          <t>As of</t>
        </is>
      </c>
      <c r="B2" s="23" t="n">
        <v>46323</v>
      </c>
      <c r="D2" s="2" t="inlineStr">
        <is>
          <t>Group</t>
        </is>
      </c>
      <c r="E2" s="4" t="inlineStr">
        <is>
          <t>Sectoral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42878.35</v>
      </c>
      <c r="D5" s="2" t="inlineStr">
        <is>
          <t>P/E</t>
        </is>
      </c>
      <c r="E5" s="25" t="n">
        <v>29.53</v>
      </c>
    </row>
    <row r="6">
      <c r="A6" s="2" t="inlineStr">
        <is>
          <t>P/E percentile</t>
        </is>
      </c>
      <c r="B6" s="26" t="n">
        <v>0.007462686567164179</v>
      </c>
      <c r="D6" s="2" t="inlineStr">
        <is>
          <t>Implied EPS</t>
        </is>
      </c>
      <c r="E6" s="27" t="n">
        <v>1452.02675245513</v>
      </c>
    </row>
    <row r="7">
      <c r="A7" s="2" t="inlineStr">
        <is>
          <t>YoY implied EPS growth</t>
        </is>
      </c>
      <c r="B7" s="26" t="n">
        <v>0.07549773760734846</v>
      </c>
      <c r="D7" s="2" t="inlineStr">
        <is>
          <t>Earnings yield</t>
        </is>
      </c>
      <c r="E7" s="10" t="n">
        <v>0.03386386725364036</v>
      </c>
    </row>
    <row r="8">
      <c r="A8" s="2" t="inlineStr">
        <is>
          <t>Valuation score</t>
        </is>
      </c>
      <c r="B8" s="28" t="n">
        <v>99.25373134328358</v>
      </c>
      <c r="D8" s="2" t="inlineStr">
        <is>
          <t>Growth score</t>
        </is>
      </c>
      <c r="E8" s="28" t="n">
        <v>50.19909504293938</v>
      </c>
    </row>
    <row r="9">
      <c r="A9" s="2" t="inlineStr">
        <is>
          <t>Composite score</t>
        </is>
      </c>
      <c r="B9" s="28" t="n">
        <v>84.53734045318032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39.0737766014222</v>
      </c>
      <c r="C13" s="15" t="n">
        <v>56736.16894472034</v>
      </c>
      <c r="D13" s="30" t="n">
        <v>0.3231891839289605</v>
      </c>
    </row>
    <row r="14">
      <c r="A14" t="inlineStr">
        <is>
          <t>HOLD → SELL</t>
        </is>
      </c>
      <c r="B14" s="29" t="n">
        <v>42.64</v>
      </c>
      <c r="C14" s="15" t="n">
        <v>61914.42072468675</v>
      </c>
      <c r="D14" s="30" t="n">
        <v>0.4439552996952252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0.26502469841751</v>
      </c>
      <c r="D18" s="30" t="n">
        <v>0.1322028143158573</v>
      </c>
      <c r="E18" s="30" t="n">
        <v>0.1301236673029039</v>
      </c>
      <c r="F18" s="30" t="n">
        <v>0.08006349437702054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0.1958686143267467</v>
      </c>
      <c r="D19" s="30" t="n">
        <v>0.1476157164404934</v>
      </c>
      <c r="E19" s="30" t="n">
        <v>0.1242873908238243</v>
      </c>
      <c r="F19" s="30" t="n">
        <v>0.09669877312747088</v>
      </c>
      <c r="G19" s="30" t="n">
        <v>0</v>
      </c>
    </row>
    <row r="20">
      <c r="A20" t="inlineStr">
        <is>
          <t>Q3</t>
        </is>
      </c>
      <c r="B20" t="n">
        <v>8</v>
      </c>
      <c r="C20" s="30" t="n">
        <v>0.1222239862773467</v>
      </c>
      <c r="D20" s="30" t="n">
        <v>0.08493866786780568</v>
      </c>
      <c r="E20" s="30" t="n">
        <v>0.1193156352799634</v>
      </c>
      <c r="F20" s="30" t="n"/>
      <c r="G20" s="30" t="n">
        <v>0.1666666666666667</v>
      </c>
    </row>
    <row r="21">
      <c r="A21" t="inlineStr">
        <is>
          <t>Q4</t>
        </is>
      </c>
      <c r="B21" t="n">
        <v>9</v>
      </c>
      <c r="C21" s="30" t="n">
        <v>0.03882004024997365</v>
      </c>
      <c r="D21" s="30" t="n">
        <v>0.09590910002825281</v>
      </c>
      <c r="E21" s="30" t="n">
        <v>0.1206868901315286</v>
      </c>
      <c r="F21" s="30" t="n"/>
      <c r="G21" s="30" t="n">
        <v>0.125</v>
      </c>
    </row>
    <row r="22">
      <c r="A22" t="inlineStr">
        <is>
          <t>Q5 Most Expensive</t>
        </is>
      </c>
      <c r="B22" t="n">
        <v>10</v>
      </c>
      <c r="C22" s="30" t="n">
        <v>-0.008119879467123614</v>
      </c>
      <c r="D22" s="30" t="n">
        <v>0.06678429336698144</v>
      </c>
      <c r="E22" s="30" t="n">
        <v>0.1046752424003239</v>
      </c>
      <c r="F22" s="30" t="n"/>
      <c r="G22" s="30" t="n">
        <v>0.1666666666666667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33623.45</v>
      </c>
      <c r="C2" s="25" t="n">
        <v>41.26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35243.1</v>
      </c>
      <c r="C3" s="25" t="n">
        <v>41.6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36093.2</v>
      </c>
      <c r="C4" s="25" t="n">
        <v>42.08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36051.9</v>
      </c>
      <c r="C5" s="25" t="n">
        <v>40.03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39529.7</v>
      </c>
      <c r="C6" s="25" t="n">
        <v>44.02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40426.55</v>
      </c>
      <c r="C7" s="25" t="n">
        <v>44.07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38222.1</v>
      </c>
      <c r="C8" s="25" t="n">
        <v>40.73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37386.95</v>
      </c>
      <c r="C9" s="25" t="n">
        <v>39.77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37579.95</v>
      </c>
      <c r="C10" s="25" t="n">
        <v>39.77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36467.25</v>
      </c>
      <c r="C11" s="25" t="n">
        <v>38.3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35515.4</v>
      </c>
      <c r="C12" s="25" t="n">
        <v>36.64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36287.75</v>
      </c>
      <c r="C13" s="25" t="n">
        <v>37.78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38204.15</v>
      </c>
      <c r="C14" s="25" t="n">
        <v>39.66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38713.45</v>
      </c>
      <c r="C15" s="25" t="n">
        <v>39.02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37664.55</v>
      </c>
      <c r="C16" s="25" t="n">
        <v>38.23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42487.4</v>
      </c>
      <c r="C17" s="25" t="n">
        <v>42.64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43821.15</v>
      </c>
      <c r="C18" s="25" t="n">
        <v>42.02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44405.65</v>
      </c>
      <c r="C19" s="25" t="n">
        <v>42.89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44296.3</v>
      </c>
      <c r="C20" s="25" t="n">
        <v>40.83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45536.55</v>
      </c>
      <c r="C21" s="25" t="n">
        <v>41.92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44171.45</v>
      </c>
      <c r="C22" s="25" t="n">
        <v>40.52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44456.9</v>
      </c>
      <c r="C23" s="25" t="n">
        <v>40.74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44940.45</v>
      </c>
      <c r="C24" s="25" t="n">
        <v>39.29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45904.9</v>
      </c>
      <c r="C25" s="25" t="n">
        <v>41.31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47814.1</v>
      </c>
      <c r="C26" s="25" t="n">
        <v>42.86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51042.75</v>
      </c>
      <c r="C27" s="25" t="n">
        <v>43.99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52194.75</v>
      </c>
      <c r="C28" s="25" t="n">
        <v>45.29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52636.85</v>
      </c>
      <c r="C29" s="25" t="n">
        <v>45.06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51092.65</v>
      </c>
      <c r="C30" s="25" t="n">
        <v>42.6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51602.65</v>
      </c>
      <c r="C31" s="25" t="n">
        <v>42.64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51262.6</v>
      </c>
      <c r="C32" s="25" t="n">
        <v>41.87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53013.8</v>
      </c>
      <c r="C33" s="25" t="n">
        <v>43.17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56987.2</v>
      </c>
      <c r="C34" s="25" t="n">
        <v>45.81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55071.4</v>
      </c>
      <c r="C35" s="25" t="n">
        <v>43.76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54015.6</v>
      </c>
      <c r="C36" s="25" t="n">
        <v>43.14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53949.2</v>
      </c>
      <c r="C37" s="25" t="n">
        <v>42.27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54240.6</v>
      </c>
      <c r="C38" s="25" t="n">
        <v>42.49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54107.35</v>
      </c>
      <c r="C39" s="25" t="n">
        <v>43.73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56756.85</v>
      </c>
      <c r="C40" s="25" t="n">
        <v>44.94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62082.2</v>
      </c>
      <c r="C41" s="25" t="n">
        <v>49.04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63059.75</v>
      </c>
      <c r="C42" s="25" t="n">
        <v>49.55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65540.35000000001</v>
      </c>
      <c r="C43" s="25" t="n">
        <v>52.36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59203</v>
      </c>
      <c r="C44" s="25" t="n">
        <v>46.99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57943.7</v>
      </c>
      <c r="C45" s="25" t="n">
        <v>46.14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56799.65</v>
      </c>
      <c r="C46" s="25" t="n">
        <v>46.36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56691.95</v>
      </c>
      <c r="C47" s="25" t="n">
        <v>45.98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50689</v>
      </c>
      <c r="C48" s="25" t="n">
        <v>41.31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53589.8</v>
      </c>
      <c r="C49" s="25" t="n">
        <v>42.81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56445.35</v>
      </c>
      <c r="C50" s="25" t="n">
        <v>44.93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55283</v>
      </c>
      <c r="C51" s="25" t="n">
        <v>43.7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54883.9</v>
      </c>
      <c r="C52" s="25" t="n">
        <v>41.43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55812.15</v>
      </c>
      <c r="C53" s="25" t="n">
        <v>42.13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56141.85</v>
      </c>
      <c r="C54" s="25" t="n">
        <v>42.08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54710.7</v>
      </c>
      <c r="C55" s="25" t="n">
        <v>40.45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56208.5</v>
      </c>
      <c r="C56" s="25" t="n">
        <v>41.32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55595.8</v>
      </c>
      <c r="C57" s="25" t="n">
        <v>40.71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55475.65</v>
      </c>
      <c r="C58" s="25" t="n">
        <v>40.74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51215.2</v>
      </c>
      <c r="C59" s="25" t="n">
        <v>37.4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51142.2</v>
      </c>
      <c r="C60" s="25" t="n">
        <v>36.89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45538.65</v>
      </c>
      <c r="C61" s="25" t="n">
        <v>32.56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51072.1</v>
      </c>
      <c r="C62" s="25" t="n">
        <v>36.33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49383.35</v>
      </c>
      <c r="C63" s="25" t="n">
        <v>34.04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48794.2</v>
      </c>
      <c r="C64" s="25" t="n">
        <v>33.57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49121.2</v>
      </c>
      <c r="C65" s="25" t="n">
        <v>33.52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46025.55</v>
      </c>
      <c r="C66" s="25" t="n">
        <v>31.93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44508.45</v>
      </c>
      <c r="C67" s="25" t="n">
        <v>30.87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20192.65</v>
      </c>
      <c r="C2" s="25" t="n">
        <v>37.48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19764.15</v>
      </c>
      <c r="C3" s="25" t="n">
        <v>36.55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21608.45</v>
      </c>
      <c r="C4" s="25" t="n">
        <v>36.22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21542.05</v>
      </c>
      <c r="C5" s="25" t="n">
        <v>35.83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20754.1</v>
      </c>
      <c r="C6" s="25" t="n">
        <v>35.22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23542.3</v>
      </c>
      <c r="C7" s="25" t="n">
        <v>39.77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26752.05</v>
      </c>
      <c r="C8" s="25" t="n">
        <v>45.32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24480.8</v>
      </c>
      <c r="C9" s="25" t="n">
        <v>40.83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26851.5</v>
      </c>
      <c r="C10" s="25" t="n">
        <v>43.69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26127.4</v>
      </c>
      <c r="C11" s="25" t="n">
        <v>40.39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28966</v>
      </c>
      <c r="C12" s="25" t="n">
        <v>43.09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29757.7</v>
      </c>
      <c r="C13" s="25" t="n">
        <v>43.08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30516.65</v>
      </c>
      <c r="C14" s="25" t="n">
        <v>43.59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30321.4</v>
      </c>
      <c r="C15" s="25" t="n">
        <v>46.62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29546.05</v>
      </c>
      <c r="C16" s="25" t="n">
        <v>43.21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31134.5</v>
      </c>
      <c r="C17" s="25" t="n">
        <v>41.16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30121.5</v>
      </c>
      <c r="C18" s="25" t="n">
        <v>37.94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27319.2</v>
      </c>
      <c r="C19" s="25" t="n">
        <v>31.82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30063.25</v>
      </c>
      <c r="C20" s="25" t="n">
        <v>37.25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29841.75</v>
      </c>
      <c r="C21" s="25" t="n">
        <v>37.22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34177.1</v>
      </c>
      <c r="C22" s="25" t="n">
        <v>43.77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34931.7</v>
      </c>
      <c r="C23" s="25" t="n">
        <v>42.93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36093.2</v>
      </c>
      <c r="C24" s="25" t="n">
        <v>42.08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40426.55</v>
      </c>
      <c r="C25" s="25" t="n">
        <v>44.07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37579.95</v>
      </c>
      <c r="C26" s="25" t="n">
        <v>39.77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36287.75</v>
      </c>
      <c r="C27" s="25" t="n">
        <v>37.78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37664.55</v>
      </c>
      <c r="C28" s="25" t="n">
        <v>38.23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44405.65</v>
      </c>
      <c r="C29" s="25" t="n">
        <v>42.89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44171.45</v>
      </c>
      <c r="C30" s="25" t="n">
        <v>40.52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45904.9</v>
      </c>
      <c r="C31" s="25" t="n">
        <v>41.31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52194.75</v>
      </c>
      <c r="C32" s="25" t="n">
        <v>45.29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51602.65</v>
      </c>
      <c r="C33" s="25" t="n">
        <v>42.64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56987.2</v>
      </c>
      <c r="C34" s="25" t="n">
        <v>45.81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53949.2</v>
      </c>
      <c r="C35" s="25" t="n">
        <v>42.27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56756.85</v>
      </c>
      <c r="C36" s="25" t="n">
        <v>44.94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65540.35000000001</v>
      </c>
      <c r="C37" s="25" t="n">
        <v>52.36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56799.65</v>
      </c>
      <c r="C38" s="25" t="n">
        <v>46.36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53589.8</v>
      </c>
      <c r="C39" s="25" t="n">
        <v>42.81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54883.9</v>
      </c>
      <c r="C40" s="25" t="n">
        <v>41.43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54710.7</v>
      </c>
      <c r="C41" s="25" t="n">
        <v>40.45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55475.65</v>
      </c>
      <c r="C42" s="25" t="n">
        <v>40.74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45538.65</v>
      </c>
      <c r="C43" s="25" t="n">
        <v>32.56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48794.2</v>
      </c>
      <c r="C44" s="25" t="n">
        <v>33.57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44508.45</v>
      </c>
      <c r="C45" s="25" t="n">
        <v>30.87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8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45466.8</v>
      </c>
      <c r="C2" s="25" t="n">
        <v>31.54</v>
      </c>
      <c r="D2" s="26" t="n">
        <v>0.00757575757576</v>
      </c>
      <c r="E2" s="26" t="n">
        <v>0.08061490677410001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45900.9</v>
      </c>
      <c r="C3" s="25" t="n">
        <v>31.84</v>
      </c>
      <c r="D3" s="26" t="n">
        <v>0.00757575757576</v>
      </c>
      <c r="E3" s="26" t="n">
        <v>0.0805733758976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45657.75</v>
      </c>
      <c r="C4" s="25" t="n">
        <v>31.68</v>
      </c>
      <c r="D4" s="26" t="n">
        <v>0.00757575757576</v>
      </c>
      <c r="E4" s="26" t="n">
        <v>0.0802677108996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46259.35</v>
      </c>
      <c r="C5" s="25" t="n">
        <v>32.09</v>
      </c>
      <c r="D5" s="26" t="n">
        <v>0.0227272727273</v>
      </c>
      <c r="E5" s="26" t="n">
        <v>0.08061090109379999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45759.35</v>
      </c>
      <c r="C6" s="25" t="n">
        <v>31.75</v>
      </c>
      <c r="D6" s="26" t="n">
        <v>0.00757575757576</v>
      </c>
      <c r="E6" s="26" t="n">
        <v>0.08029939628630001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45941.3</v>
      </c>
      <c r="C7" s="25" t="n">
        <v>31.87</v>
      </c>
      <c r="D7" s="26" t="n">
        <v>0.00757575757576</v>
      </c>
      <c r="E7" s="26" t="n">
        <v>0.0805920349371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45264.35</v>
      </c>
      <c r="C8" s="25" t="n">
        <v>31.4</v>
      </c>
      <c r="D8" s="26" t="n">
        <v>0.00757575757576</v>
      </c>
      <c r="E8" s="26" t="n">
        <v>0.0804803777851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44790.3</v>
      </c>
      <c r="C9" s="25" t="n">
        <v>31.07</v>
      </c>
      <c r="D9" s="26" t="n">
        <v>0.00757575757576</v>
      </c>
      <c r="E9" s="26" t="n">
        <v>0.0806872035384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44508.45</v>
      </c>
      <c r="C10" s="25" t="n">
        <v>30.87</v>
      </c>
      <c r="D10" s="26" t="n">
        <v>0.0149253731343</v>
      </c>
      <c r="E10" s="26" t="n">
        <v>0.06598745890710001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43789.85</v>
      </c>
      <c r="C11" s="25" t="n">
        <v>30.37</v>
      </c>
      <c r="D11" s="26" t="n">
        <v>0.00746268656716</v>
      </c>
      <c r="E11" s="26" t="n">
        <v>0.065996859282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44579.65</v>
      </c>
      <c r="C12" s="25" t="n">
        <v>30.91</v>
      </c>
      <c r="D12" s="26" t="n">
        <v>0.0223880597015</v>
      </c>
      <c r="E12" s="26" t="n">
        <v>0.0663104064084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45205.35</v>
      </c>
      <c r="C13" s="25" t="n">
        <v>31.35</v>
      </c>
      <c r="D13" s="26" t="n">
        <v>0.0223880597015</v>
      </c>
      <c r="E13" s="26" t="n">
        <v>0.0661927441109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44800.85</v>
      </c>
      <c r="C14" s="25" t="n">
        <v>31.07</v>
      </c>
      <c r="D14" s="26" t="n">
        <v>0.0223880597015</v>
      </c>
      <c r="E14" s="26" t="n">
        <v>0.0661021155474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43898.05</v>
      </c>
      <c r="C15" s="25" t="n">
        <v>30.44</v>
      </c>
      <c r="D15" s="26" t="n">
        <v>0.00746268656716</v>
      </c>
      <c r="E15" s="26" t="n">
        <v>0.0663108536569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44864.25</v>
      </c>
      <c r="C16" s="25" t="n">
        <v>31.11</v>
      </c>
      <c r="D16" s="26" t="n">
        <v>0.0223880597015</v>
      </c>
      <c r="E16" s="26" t="n">
        <v>0.06628292521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44113.4</v>
      </c>
      <c r="C17" s="25" t="n">
        <v>30.59</v>
      </c>
      <c r="D17" s="26" t="n">
        <v>0.00746268656716</v>
      </c>
      <c r="E17" s="26" t="n">
        <v>0.0662205904055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44731.15</v>
      </c>
      <c r="C18" s="25" t="n">
        <v>31.02</v>
      </c>
      <c r="D18" s="26" t="n">
        <v>0.0223880597015</v>
      </c>
      <c r="E18" s="26" t="n">
        <v>0.06627606714589999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45271.7</v>
      </c>
      <c r="C19" s="25" t="n">
        <v>31.39</v>
      </c>
      <c r="D19" s="26" t="n">
        <v>0.0223880597015</v>
      </c>
      <c r="E19" s="26" t="n">
        <v>0.0662370056863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44791.65</v>
      </c>
      <c r="C20" s="25" t="n">
        <v>31.06</v>
      </c>
      <c r="D20" s="26" t="n">
        <v>0.0223880597015</v>
      </c>
      <c r="E20" s="26" t="n">
        <v>0.0662579984331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44616.15</v>
      </c>
      <c r="C21" s="25" t="n">
        <v>30.84</v>
      </c>
      <c r="D21" s="26" t="n">
        <v>0.00746268656716</v>
      </c>
      <c r="E21" s="26" t="n">
        <v>0.06973023450010001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43975.5</v>
      </c>
      <c r="C22" s="25" t="n">
        <v>30.39</v>
      </c>
      <c r="D22" s="26" t="n">
        <v>0.00746268656716</v>
      </c>
      <c r="E22" s="26" t="n">
        <v>0.0721851805183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43720.7</v>
      </c>
      <c r="C23" s="25" t="n">
        <v>30.22</v>
      </c>
      <c r="D23" s="26" t="n">
        <v>0.00746268656716</v>
      </c>
      <c r="E23" s="26" t="n">
        <v>0.0718510529672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  <row r="24">
      <c r="A24" s="31" t="n">
        <v>46317</v>
      </c>
      <c r="B24" s="24" t="n">
        <v>43105.45</v>
      </c>
      <c r="C24" s="25" t="n">
        <v>29.79</v>
      </c>
      <c r="D24" s="26" t="n">
        <v>0.00746268656716</v>
      </c>
      <c r="E24" s="26" t="n">
        <v>0.0720214427987</v>
      </c>
      <c r="F24" s="34">
        <f>IF(D24="","",100*(1-D24))</f>
        <v/>
      </c>
      <c r="G24" s="34">
        <f>IF(E24="","",IF(E24&lt;=0,20,IF(E24&lt;5%,20+400*E24,IF(E24&lt;10%,40+400*(E24-5%),IF(E24&lt;15%,60+400*(E24-10%),IF(E24&lt;25%,80+200*(E24-15%),100))))))</f>
        <v/>
      </c>
      <c r="H24" s="34">
        <f>IF(OR(F24="",G24=""),"",70%*F24+30%*G24)</f>
        <v/>
      </c>
      <c r="I24">
        <f>IF(H24="","",IF(H24&gt;=70,"BUY",IF(H24&gt;=40,"HOLD","SELL")))</f>
        <v/>
      </c>
    </row>
    <row r="25">
      <c r="A25" s="31" t="n">
        <v>46318</v>
      </c>
      <c r="B25" s="24" t="n">
        <v>42680.7</v>
      </c>
      <c r="C25" s="25" t="n">
        <v>29.5</v>
      </c>
      <c r="D25" s="26" t="n">
        <v>0.00746268656716</v>
      </c>
      <c r="E25" s="26" t="n">
        <v>0.0718676149483</v>
      </c>
      <c r="F25" s="34">
        <f>IF(D25="","",100*(1-D25))</f>
        <v/>
      </c>
      <c r="G25" s="34">
        <f>IF(E25="","",IF(E25&lt;=0,20,IF(E25&lt;5%,20+400*E25,IF(E25&lt;10%,40+400*(E25-5%),IF(E25&lt;15%,60+400*(E25-10%),IF(E25&lt;25%,80+200*(E25-15%),100))))))</f>
        <v/>
      </c>
      <c r="H25" s="34">
        <f>IF(OR(F25="",G25=""),"",70%*F25+30%*G25)</f>
        <v/>
      </c>
      <c r="I25">
        <f>IF(H25="","",IF(H25&gt;=70,"BUY",IF(H25&gt;=40,"HOLD","SELL")))</f>
        <v/>
      </c>
    </row>
    <row r="26">
      <c r="A26" s="31" t="n">
        <v>46321</v>
      </c>
      <c r="B26" s="24" t="n">
        <v>42800.75</v>
      </c>
      <c r="C26" s="25" t="n">
        <v>29.58</v>
      </c>
      <c r="D26" s="26" t="n">
        <v>0.00746268656716</v>
      </c>
      <c r="E26" s="26" t="n">
        <v>0.07183115768330001</v>
      </c>
      <c r="F26" s="34">
        <f>IF(D26="","",100*(1-D26))</f>
        <v/>
      </c>
      <c r="G26" s="34">
        <f>IF(E26="","",IF(E26&lt;=0,20,IF(E26&lt;5%,20+400*E26,IF(E26&lt;10%,40+400*(E26-5%),IF(E26&lt;15%,60+400*(E26-10%),IF(E26&lt;25%,80+200*(E26-15%),100))))))</f>
        <v/>
      </c>
      <c r="H26" s="34">
        <f>IF(OR(F26="",G26=""),"",70%*F26+30%*G26)</f>
        <v/>
      </c>
      <c r="I26">
        <f>IF(H26="","",IF(H26&gt;=70,"BUY",IF(H26&gt;=40,"HOLD","SELL")))</f>
        <v/>
      </c>
    </row>
    <row r="27">
      <c r="A27" s="31" t="n">
        <v>46322</v>
      </c>
      <c r="B27" s="24" t="n">
        <v>43118.2</v>
      </c>
      <c r="C27" s="25" t="n">
        <v>29.79</v>
      </c>
      <c r="D27" s="26" t="n">
        <v>0.00746268656716</v>
      </c>
      <c r="E27" s="26" t="n">
        <v>0.0721719274581</v>
      </c>
      <c r="F27" s="34">
        <f>IF(D27="","",100*(1-D27))</f>
        <v/>
      </c>
      <c r="G27" s="34">
        <f>IF(E27="","",IF(E27&lt;=0,20,IF(E27&lt;5%,20+400*E27,IF(E27&lt;10%,40+400*(E27-5%),IF(E27&lt;15%,60+400*(E27-10%),IF(E27&lt;25%,80+200*(E27-15%),100))))))</f>
        <v/>
      </c>
      <c r="H27" s="34">
        <f>IF(OR(F27="",G27=""),"",70%*F27+30%*G27)</f>
        <v/>
      </c>
      <c r="I27">
        <f>IF(H27="","",IF(H27&gt;=70,"BUY",IF(H27&gt;=40,"HOLD","SELL")))</f>
        <v/>
      </c>
    </row>
    <row r="28">
      <c r="A28" s="31" t="n">
        <v>46323</v>
      </c>
      <c r="B28" s="24" t="n">
        <v>42878.35</v>
      </c>
      <c r="C28" s="25" t="n">
        <v>29.53</v>
      </c>
      <c r="D28" s="26" t="n">
        <v>0.00746268656716</v>
      </c>
      <c r="E28" s="26" t="n">
        <v>0.0754977376073</v>
      </c>
      <c r="F28" s="34">
        <f>IF(D28="","",100*(1-D28))</f>
        <v/>
      </c>
      <c r="G28" s="34">
        <f>IF(E28="","",IF(E28&lt;=0,20,IF(E28&lt;5%,20+400*E28,IF(E28&lt;10%,40+400*(E28-5%),IF(E28&lt;15%,60+400*(E28-10%),IF(E28&lt;25%,80+200*(E28-15%),100))))))</f>
        <v/>
      </c>
      <c r="H28" s="34">
        <f>IF(OR(F28="",G28=""),"",70%*F28+30%*G28)</f>
        <v/>
      </c>
      <c r="I28">
        <f>IF(H28="","",IF(H28&gt;=70,"BUY",IF(H28&gt;=40,"HOLD","SELL")))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37" customWidth="1" min="2" max="2"/>
    <col width="12" customWidth="1" min="3" max="3"/>
    <col width="28" customWidth="1" min="4" max="4"/>
    <col width="15" customWidth="1" min="5" max="5"/>
  </cols>
  <sheetData>
    <row r="1">
      <c r="A1" s="35" t="inlineStr">
        <is>
          <t>NIFTY FMCG Composition</t>
        </is>
      </c>
    </row>
    <row r="2">
      <c r="A2" s="2" t="inlineStr">
        <is>
          <t>As of</t>
        </is>
      </c>
      <c r="B2" s="4" t="inlineStr">
        <is>
          <t>Retrieved 2026-10-28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Britannia Industries Ltd.</t>
        </is>
      </c>
      <c r="C6" t="inlineStr">
        <is>
          <t>BRITANNIA</t>
        </is>
      </c>
      <c r="D6" t="inlineStr">
        <is>
          <t>Fast Moving Consumer Goods</t>
        </is>
      </c>
    </row>
    <row r="7">
      <c r="A7" t="n">
        <v>2</v>
      </c>
      <c r="B7" t="inlineStr">
        <is>
          <t>Colgate Palmolive (India) Ltd.</t>
        </is>
      </c>
      <c r="C7" t="inlineStr">
        <is>
          <t>COLPAL</t>
        </is>
      </c>
      <c r="D7" t="inlineStr">
        <is>
          <t>Fast Moving Consumer Goods</t>
        </is>
      </c>
    </row>
    <row r="8">
      <c r="A8" t="n">
        <v>3</v>
      </c>
      <c r="B8" t="inlineStr">
        <is>
          <t>Dabur India Ltd.</t>
        </is>
      </c>
      <c r="C8" t="inlineStr">
        <is>
          <t>DABUR</t>
        </is>
      </c>
      <c r="D8" t="inlineStr">
        <is>
          <t>Fast Moving Consumer Goods</t>
        </is>
      </c>
    </row>
    <row r="9">
      <c r="A9" t="n">
        <v>4</v>
      </c>
      <c r="B9" t="inlineStr">
        <is>
          <t>Godfrey Phillips India Ltd.</t>
        </is>
      </c>
      <c r="C9" t="inlineStr">
        <is>
          <t>GODFRYPHLP</t>
        </is>
      </c>
      <c r="D9" t="inlineStr">
        <is>
          <t>Fast Moving Consumer Goods</t>
        </is>
      </c>
    </row>
    <row r="10">
      <c r="A10" t="n">
        <v>5</v>
      </c>
      <c r="B10" t="inlineStr">
        <is>
          <t>Godrej Consumer Products Ltd.</t>
        </is>
      </c>
      <c r="C10" t="inlineStr">
        <is>
          <t>GODREJCP</t>
        </is>
      </c>
      <c r="D10" t="inlineStr">
        <is>
          <t>Fast Moving Consumer Goods</t>
        </is>
      </c>
    </row>
    <row r="11">
      <c r="A11" t="n">
        <v>6</v>
      </c>
      <c r="B11" t="inlineStr">
        <is>
          <t>Hindustan Unilever Ltd.</t>
        </is>
      </c>
      <c r="C11" t="inlineStr">
        <is>
          <t>HINDUNILVR</t>
        </is>
      </c>
      <c r="D11" t="inlineStr">
        <is>
          <t>Fast Moving Consumer Goods</t>
        </is>
      </c>
    </row>
    <row r="12">
      <c r="A12" t="n">
        <v>7</v>
      </c>
      <c r="B12" t="inlineStr">
        <is>
          <t>ITC Ltd.</t>
        </is>
      </c>
      <c r="C12" t="inlineStr">
        <is>
          <t>ITC</t>
        </is>
      </c>
      <c r="D12" t="inlineStr">
        <is>
          <t>Fast Moving Consumer Goods</t>
        </is>
      </c>
    </row>
    <row r="13">
      <c r="A13" t="n">
        <v>8</v>
      </c>
      <c r="B13" t="inlineStr">
        <is>
          <t>Marico Ltd.</t>
        </is>
      </c>
      <c r="C13" t="inlineStr">
        <is>
          <t>MARICO</t>
        </is>
      </c>
      <c r="D13" t="inlineStr">
        <is>
          <t>Fast Moving Consumer Goods</t>
        </is>
      </c>
    </row>
    <row r="14">
      <c r="A14" t="n">
        <v>9</v>
      </c>
      <c r="B14" t="inlineStr">
        <is>
          <t>Nestle India Ltd.</t>
        </is>
      </c>
      <c r="C14" t="inlineStr">
        <is>
          <t>NESTLEIND</t>
        </is>
      </c>
      <c r="D14" t="inlineStr">
        <is>
          <t>Fast Moving Consumer Goods</t>
        </is>
      </c>
    </row>
    <row r="15">
      <c r="A15" t="n">
        <v>10</v>
      </c>
      <c r="B15" t="inlineStr">
        <is>
          <t>Patanjali Foods Ltd.</t>
        </is>
      </c>
      <c r="C15" t="inlineStr">
        <is>
          <t>PATANJALI</t>
        </is>
      </c>
      <c r="D15" t="inlineStr">
        <is>
          <t>Fast Moving Consumer Goods</t>
        </is>
      </c>
    </row>
    <row r="16">
      <c r="A16" t="n">
        <v>11</v>
      </c>
      <c r="B16" t="inlineStr">
        <is>
          <t>Radico Khaitan Ltd</t>
        </is>
      </c>
      <c r="C16" t="inlineStr">
        <is>
          <t>RADICO</t>
        </is>
      </c>
      <c r="D16" t="inlineStr">
        <is>
          <t>Fast Moving Consumer Goods</t>
        </is>
      </c>
    </row>
    <row r="17">
      <c r="A17" t="n">
        <v>12</v>
      </c>
      <c r="B17" t="inlineStr">
        <is>
          <t>Tata Consumer Products Ltd.</t>
        </is>
      </c>
      <c r="C17" t="inlineStr">
        <is>
          <t>TATACONSUM</t>
        </is>
      </c>
      <c r="D17" t="inlineStr">
        <is>
          <t>Fast Moving Consumer Goods</t>
        </is>
      </c>
    </row>
    <row r="18">
      <c r="A18" t="n">
        <v>13</v>
      </c>
      <c r="B18" t="inlineStr">
        <is>
          <t>United Breweries Ltd.</t>
        </is>
      </c>
      <c r="C18" t="inlineStr">
        <is>
          <t>UBL</t>
        </is>
      </c>
      <c r="D18" t="inlineStr">
        <is>
          <t>Fast Moving Consumer Goods</t>
        </is>
      </c>
    </row>
    <row r="19">
      <c r="A19" t="n">
        <v>14</v>
      </c>
      <c r="B19" t="inlineStr">
        <is>
          <t>United Spirits Ltd.</t>
        </is>
      </c>
      <c r="C19" t="inlineStr">
        <is>
          <t>UNITDSPR</t>
        </is>
      </c>
      <c r="D19" t="inlineStr">
        <is>
          <t>Fast Moving Consumer Goods</t>
        </is>
      </c>
    </row>
    <row r="20">
      <c r="A20" t="n">
        <v>15</v>
      </c>
      <c r="B20" t="inlineStr">
        <is>
          <t>Varun Beverages Ltd.</t>
        </is>
      </c>
      <c r="C20" t="inlineStr">
        <is>
          <t>VBL</t>
        </is>
      </c>
      <c r="D20" t="inlineStr">
        <is>
          <t>Fast Moving Consumer Goods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2026-10-28T18:30:15Z</dcterms:created>
  <dcterms:modified xsi:type="dcterms:W3CDTF">2026-10-28T18:30:42Z</dcterms:modified>
</cp:coreProperties>
</file>