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2" customWidth="1" min="5" max="5"/>
    <col width="21" customWidth="1" min="6" max="6"/>
    <col width="21" customWidth="1" min="7" max="7"/>
  </cols>
  <sheetData>
    <row r="1" ht="26" customHeight="1">
      <c r="A1" s="1" t="inlineStr">
        <is>
          <t>NIFTY FMCG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45466.8</v>
      </c>
      <c r="D5" s="2" t="inlineStr">
        <is>
          <t>P/E</t>
        </is>
      </c>
      <c r="E5" s="7" t="n">
        <v>31.54</v>
      </c>
    </row>
    <row r="6">
      <c r="A6" s="2" t="inlineStr">
        <is>
          <t>P/E percentile</t>
        </is>
      </c>
      <c r="B6" s="8" t="n">
        <v>0.007575757575757576</v>
      </c>
      <c r="D6" s="2" t="inlineStr">
        <is>
          <t>Implied EPS</t>
        </is>
      </c>
      <c r="E6" s="9" t="n">
        <v>1441.559923906151</v>
      </c>
    </row>
    <row r="7">
      <c r="A7" s="2" t="inlineStr">
        <is>
          <t>YoY implied EPS growth</t>
        </is>
      </c>
      <c r="B7" s="8" t="n">
        <v>0.08061490677410998</v>
      </c>
      <c r="D7" s="2" t="inlineStr">
        <is>
          <t>Earnings yield</t>
        </is>
      </c>
      <c r="E7" s="10" t="n">
        <v>0.03170577045022194</v>
      </c>
    </row>
    <row r="8">
      <c r="A8" s="2" t="inlineStr">
        <is>
          <t>Valuation score</t>
        </is>
      </c>
      <c r="B8" s="11" t="n">
        <v>99.24242424242425</v>
      </c>
      <c r="D8" s="2" t="inlineStr">
        <is>
          <t>Growth score</t>
        </is>
      </c>
      <c r="E8" s="11" t="n">
        <v>52.24596270964399</v>
      </c>
    </row>
    <row r="9">
      <c r="A9" s="2" t="inlineStr">
        <is>
          <t>Composite score</t>
        </is>
      </c>
      <c r="B9" s="11" t="n">
        <v>85.14348578259016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39.49506601357258</v>
      </c>
      <c r="C13" s="15" t="n">
        <v>56934.5043571941</v>
      </c>
      <c r="D13" s="16" t="n">
        <v>0.2522214969426944</v>
      </c>
    </row>
    <row r="14">
      <c r="A14" t="inlineStr">
        <is>
          <t>HOLD → SELL</t>
        </is>
      </c>
      <c r="B14" s="14" t="n">
        <v>42.70993380546386</v>
      </c>
      <c r="C14" s="15" t="n">
        <v>61568.92892664122</v>
      </c>
      <c r="D14" s="16" t="n">
        <v>0.3541513571802111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0.2718374392553156</v>
      </c>
      <c r="D18" s="16" t="n">
        <v>0.1329591260321391</v>
      </c>
      <c r="E18" s="16" t="n">
        <v>0.1301236673029039</v>
      </c>
      <c r="F18" s="16" t="n">
        <v>0.0848619036438254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0.1958686143267467</v>
      </c>
      <c r="D19" s="16" t="n">
        <v>0.1504774355490239</v>
      </c>
      <c r="E19" s="16" t="n">
        <v>0.1242873908238243</v>
      </c>
      <c r="F19" s="16" t="n">
        <v>0.09669877312747088</v>
      </c>
      <c r="G19" s="16" t="n">
        <v>0</v>
      </c>
    </row>
    <row r="20">
      <c r="A20" t="inlineStr">
        <is>
          <t>Q3</t>
        </is>
      </c>
      <c r="B20" t="n">
        <v>9</v>
      </c>
      <c r="C20" s="16" t="n">
        <v>0.1346413691217236</v>
      </c>
      <c r="D20" s="16" t="n">
        <v>0.08493866786780568</v>
      </c>
      <c r="E20" s="16" t="n">
        <v>0.1193156352799634</v>
      </c>
      <c r="F20" s="16" t="n"/>
      <c r="G20" s="16" t="n">
        <v>0.1666666666666667</v>
      </c>
    </row>
    <row r="21">
      <c r="A21" t="inlineStr">
        <is>
          <t>Q4</t>
        </is>
      </c>
      <c r="B21" t="n">
        <v>8</v>
      </c>
      <c r="C21" s="16" t="n">
        <v>0.02942262110544669</v>
      </c>
      <c r="D21" s="16" t="n">
        <v>0.107530699031319</v>
      </c>
      <c r="E21" s="16" t="n">
        <v>0.1249874019734516</v>
      </c>
      <c r="F21" s="16" t="n"/>
      <c r="G21" s="16" t="n">
        <v>0</v>
      </c>
    </row>
    <row r="22">
      <c r="A22" t="inlineStr">
        <is>
          <t>Q5 Most Expensive</t>
        </is>
      </c>
      <c r="B22" t="n">
        <v>10</v>
      </c>
      <c r="C22" s="16" t="n">
        <v>-0.008119879467123614</v>
      </c>
      <c r="D22" s="16" t="n">
        <v>0.06678429336698144</v>
      </c>
      <c r="E22" s="16" t="n">
        <v>0.1046752424003239</v>
      </c>
      <c r="F22" s="16" t="n"/>
      <c r="G22" s="16" t="n">
        <v>0.1666666666666667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33623.45</v>
      </c>
      <c r="C2" s="7" t="n">
        <v>41.26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35243.1</v>
      </c>
      <c r="C3" s="7" t="n">
        <v>41.6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36093.2</v>
      </c>
      <c r="C4" s="7" t="n">
        <v>42.08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36051.9</v>
      </c>
      <c r="C5" s="7" t="n">
        <v>40.03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39529.7</v>
      </c>
      <c r="C6" s="7" t="n">
        <v>44.02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40426.55</v>
      </c>
      <c r="C7" s="7" t="n">
        <v>44.07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38222.1</v>
      </c>
      <c r="C8" s="7" t="n">
        <v>40.73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37386.95</v>
      </c>
      <c r="C9" s="7" t="n">
        <v>39.77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37579.95</v>
      </c>
      <c r="C10" s="7" t="n">
        <v>39.77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36467.25</v>
      </c>
      <c r="C11" s="7" t="n">
        <v>38.3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35515.4</v>
      </c>
      <c r="C12" s="7" t="n">
        <v>36.64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36287.75</v>
      </c>
      <c r="C13" s="7" t="n">
        <v>37.78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38204.15</v>
      </c>
      <c r="C14" s="7" t="n">
        <v>39.66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38713.45</v>
      </c>
      <c r="C15" s="7" t="n">
        <v>39.02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37664.55</v>
      </c>
      <c r="C16" s="7" t="n">
        <v>38.23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42487.4</v>
      </c>
      <c r="C17" s="7" t="n">
        <v>42.64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43821.15</v>
      </c>
      <c r="C18" s="7" t="n">
        <v>42.02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44405.65</v>
      </c>
      <c r="C19" s="7" t="n">
        <v>42.89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44296.3</v>
      </c>
      <c r="C20" s="7" t="n">
        <v>40.83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45536.55</v>
      </c>
      <c r="C21" s="7" t="n">
        <v>41.92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44171.45</v>
      </c>
      <c r="C22" s="7" t="n">
        <v>40.52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44456.9</v>
      </c>
      <c r="C23" s="7" t="n">
        <v>40.74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44940.45</v>
      </c>
      <c r="C24" s="7" t="n">
        <v>39.29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45904.9</v>
      </c>
      <c r="C25" s="7" t="n">
        <v>41.31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47814.1</v>
      </c>
      <c r="C26" s="7" t="n">
        <v>42.86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51042.75</v>
      </c>
      <c r="C27" s="7" t="n">
        <v>43.99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52194.75</v>
      </c>
      <c r="C28" s="7" t="n">
        <v>45.29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52636.85</v>
      </c>
      <c r="C29" s="7" t="n">
        <v>45.06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51092.65</v>
      </c>
      <c r="C30" s="7" t="n">
        <v>42.6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51602.65</v>
      </c>
      <c r="C31" s="7" t="n">
        <v>42.64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51262.6</v>
      </c>
      <c r="C32" s="7" t="n">
        <v>41.87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53013.8</v>
      </c>
      <c r="C33" s="7" t="n">
        <v>43.17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56987.2</v>
      </c>
      <c r="C34" s="7" t="n">
        <v>45.81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55071.4</v>
      </c>
      <c r="C35" s="7" t="n">
        <v>43.76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54015.6</v>
      </c>
      <c r="C36" s="7" t="n">
        <v>43.14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53949.2</v>
      </c>
      <c r="C37" s="7" t="n">
        <v>42.27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54240.6</v>
      </c>
      <c r="C38" s="7" t="n">
        <v>42.49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54107.35</v>
      </c>
      <c r="C39" s="7" t="n">
        <v>43.73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56756.85</v>
      </c>
      <c r="C40" s="7" t="n">
        <v>44.94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62082.2</v>
      </c>
      <c r="C41" s="7" t="n">
        <v>49.04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63059.75</v>
      </c>
      <c r="C42" s="7" t="n">
        <v>49.55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65540.35000000001</v>
      </c>
      <c r="C43" s="7" t="n">
        <v>52.36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59203</v>
      </c>
      <c r="C44" s="7" t="n">
        <v>46.99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57943.7</v>
      </c>
      <c r="C45" s="7" t="n">
        <v>46.14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56799.65</v>
      </c>
      <c r="C46" s="7" t="n">
        <v>46.36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56691.95</v>
      </c>
      <c r="C47" s="7" t="n">
        <v>45.98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50689</v>
      </c>
      <c r="C48" s="7" t="n">
        <v>41.31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53589.8</v>
      </c>
      <c r="C49" s="7" t="n">
        <v>42.81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56445.35</v>
      </c>
      <c r="C50" s="7" t="n">
        <v>44.93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55283</v>
      </c>
      <c r="C51" s="7" t="n">
        <v>43.7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54883.9</v>
      </c>
      <c r="C52" s="7" t="n">
        <v>41.43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55812.15</v>
      </c>
      <c r="C53" s="7" t="n">
        <v>42.13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56141.85</v>
      </c>
      <c r="C54" s="7" t="n">
        <v>42.08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54710.7</v>
      </c>
      <c r="C55" s="7" t="n">
        <v>40.45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56208.5</v>
      </c>
      <c r="C56" s="7" t="n">
        <v>41.32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55595.8</v>
      </c>
      <c r="C57" s="7" t="n">
        <v>40.71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55475.65</v>
      </c>
      <c r="C58" s="7" t="n">
        <v>40.74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51215.2</v>
      </c>
      <c r="C59" s="7" t="n">
        <v>37.4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51142.2</v>
      </c>
      <c r="C60" s="7" t="n">
        <v>36.89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45538.65</v>
      </c>
      <c r="C61" s="7" t="n">
        <v>32.56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51072.1</v>
      </c>
      <c r="C62" s="7" t="n">
        <v>36.33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49383.35</v>
      </c>
      <c r="C63" s="7" t="n">
        <v>34.04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48794.2</v>
      </c>
      <c r="C64" s="7" t="n">
        <v>33.57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49121.2</v>
      </c>
      <c r="C65" s="7" t="n">
        <v>33.52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46025.55</v>
      </c>
      <c r="C66" s="7" t="n">
        <v>31.93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42369</v>
      </c>
      <c r="B2" s="6" t="n">
        <v>20192.65</v>
      </c>
      <c r="C2" s="7" t="n">
        <v>37.48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42460</v>
      </c>
      <c r="B3" s="6" t="n">
        <v>19764.15</v>
      </c>
      <c r="C3" s="7" t="n">
        <v>36.55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42551</v>
      </c>
      <c r="B4" s="6" t="n">
        <v>21608.45</v>
      </c>
      <c r="C4" s="7" t="n">
        <v>36.22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>
        <f>IFERROR((B44/B4)^(1/10)-1,"")</f>
        <v/>
      </c>
    </row>
    <row r="5">
      <c r="A5" s="18" t="n">
        <v>42643</v>
      </c>
      <c r="B5" s="6" t="n">
        <v>21542.05</v>
      </c>
      <c r="C5" s="7" t="n">
        <v>35.83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42735</v>
      </c>
      <c r="B6" s="6" t="n">
        <v>20754.1</v>
      </c>
      <c r="C6" s="7" t="n">
        <v>35.22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42825</v>
      </c>
      <c r="B7" s="6" t="n">
        <v>23542.3</v>
      </c>
      <c r="C7" s="7" t="n">
        <v>39.77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42916</v>
      </c>
      <c r="B8" s="6" t="n">
        <v>26752.05</v>
      </c>
      <c r="C8" s="7" t="n">
        <v>45.32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43008</v>
      </c>
      <c r="B9" s="6" t="n">
        <v>24480.8</v>
      </c>
      <c r="C9" s="7" t="n">
        <v>40.83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43100</v>
      </c>
      <c r="B10" s="6" t="n">
        <v>26851.5</v>
      </c>
      <c r="C10" s="7" t="n">
        <v>43.69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43190</v>
      </c>
      <c r="B11" s="6" t="n">
        <v>26127.4</v>
      </c>
      <c r="C11" s="7" t="n">
        <v>40.39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43281</v>
      </c>
      <c r="B12" s="6" t="n">
        <v>28966</v>
      </c>
      <c r="C12" s="7" t="n">
        <v>43.09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43373</v>
      </c>
      <c r="B13" s="6" t="n">
        <v>29757.7</v>
      </c>
      <c r="C13" s="7" t="n">
        <v>43.08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43465</v>
      </c>
      <c r="B14" s="6" t="n">
        <v>30516.65</v>
      </c>
      <c r="C14" s="7" t="n">
        <v>43.59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43555</v>
      </c>
      <c r="B15" s="6" t="n">
        <v>30321.4</v>
      </c>
      <c r="C15" s="7" t="n">
        <v>46.62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43646</v>
      </c>
      <c r="B16" s="6" t="n">
        <v>29546.05</v>
      </c>
      <c r="C16" s="7" t="n">
        <v>43.21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43738</v>
      </c>
      <c r="B17" s="6" t="n">
        <v>31134.5</v>
      </c>
      <c r="C17" s="7" t="n">
        <v>41.16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43830</v>
      </c>
      <c r="B18" s="6" t="n">
        <v>30121.5</v>
      </c>
      <c r="C18" s="7" t="n">
        <v>37.94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43921</v>
      </c>
      <c r="B19" s="6" t="n">
        <v>27319.2</v>
      </c>
      <c r="C19" s="7" t="n">
        <v>31.82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44012</v>
      </c>
      <c r="B20" s="6" t="n">
        <v>30063.25</v>
      </c>
      <c r="C20" s="7" t="n">
        <v>37.25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44104</v>
      </c>
      <c r="B21" s="6" t="n">
        <v>29841.75</v>
      </c>
      <c r="C21" s="7" t="n">
        <v>37.22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44196</v>
      </c>
      <c r="B22" s="6" t="n">
        <v>34177.1</v>
      </c>
      <c r="C22" s="7" t="n">
        <v>43.77</v>
      </c>
      <c r="D22" s="2" t="inlineStr">
        <is>
          <t>Standalone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44286</v>
      </c>
      <c r="B23" s="6" t="n">
        <v>34931.7</v>
      </c>
      <c r="C23" s="7" t="n">
        <v>42.93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44377</v>
      </c>
      <c r="B24" s="6" t="n">
        <v>36093.2</v>
      </c>
      <c r="C24" s="7" t="n">
        <v>42.08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>
        <f>IFERROR((B44/B24)^(1/5)-1,"")</f>
        <v/>
      </c>
      <c r="L24" s="16" t="n"/>
    </row>
    <row r="25">
      <c r="A25" s="18" t="n">
        <v>44469</v>
      </c>
      <c r="B25" s="6" t="n">
        <v>40426.55</v>
      </c>
      <c r="C25" s="7" t="n">
        <v>44.07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44561</v>
      </c>
      <c r="B26" s="6" t="n">
        <v>37579.95</v>
      </c>
      <c r="C26" s="7" t="n">
        <v>39.77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44651</v>
      </c>
      <c r="B27" s="6" t="n">
        <v>36287.75</v>
      </c>
      <c r="C27" s="7" t="n">
        <v>37.78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44742</v>
      </c>
      <c r="B28" s="6" t="n">
        <v>37664.55</v>
      </c>
      <c r="C28" s="7" t="n">
        <v>38.23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44834</v>
      </c>
      <c r="B29" s="6" t="n">
        <v>44405.65</v>
      </c>
      <c r="C29" s="7" t="n">
        <v>42.89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44926</v>
      </c>
      <c r="B30" s="6" t="n">
        <v>44171.45</v>
      </c>
      <c r="C30" s="7" t="n">
        <v>40.52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45016</v>
      </c>
      <c r="B31" s="6" t="n">
        <v>45904.9</v>
      </c>
      <c r="C31" s="7" t="n">
        <v>41.31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45107</v>
      </c>
      <c r="B32" s="6" t="n">
        <v>52194.75</v>
      </c>
      <c r="C32" s="7" t="n">
        <v>45.29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>
        <f>IFERROR((B44/B32)^(1/3)-1,"")</f>
        <v/>
      </c>
      <c r="K32" s="16" t="n"/>
      <c r="L32" s="16" t="n"/>
    </row>
    <row r="33">
      <c r="A33" s="18" t="n">
        <v>45199</v>
      </c>
      <c r="B33" s="6" t="n">
        <v>51602.65</v>
      </c>
      <c r="C33" s="7" t="n">
        <v>42.64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45291</v>
      </c>
      <c r="B34" s="6" t="n">
        <v>56987.2</v>
      </c>
      <c r="C34" s="7" t="n">
        <v>45.81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45382</v>
      </c>
      <c r="B35" s="6" t="n">
        <v>53949.2</v>
      </c>
      <c r="C35" s="7" t="n">
        <v>42.27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45473</v>
      </c>
      <c r="B36" s="6" t="n">
        <v>56756.85</v>
      </c>
      <c r="C36" s="7" t="n">
        <v>44.94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45565</v>
      </c>
      <c r="B37" s="6" t="n">
        <v>65540.35000000001</v>
      </c>
      <c r="C37" s="7" t="n">
        <v>52.36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45657</v>
      </c>
      <c r="B38" s="6" t="n">
        <v>56799.65</v>
      </c>
      <c r="C38" s="7" t="n">
        <v>46.36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45747</v>
      </c>
      <c r="B39" s="6" t="n">
        <v>53589.8</v>
      </c>
      <c r="C39" s="7" t="n">
        <v>42.81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45838</v>
      </c>
      <c r="B40" s="6" t="n">
        <v>54883.9</v>
      </c>
      <c r="C40" s="7" t="n">
        <v>41.43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16">
        <f>IFERROR(B44/B40-1,"")</f>
        <v/>
      </c>
      <c r="J40" s="16" t="n"/>
      <c r="K40" s="16" t="n"/>
      <c r="L40" s="16" t="n"/>
    </row>
    <row r="41">
      <c r="A41" s="18" t="n">
        <v>45930</v>
      </c>
      <c r="B41" s="6" t="n">
        <v>54710.7</v>
      </c>
      <c r="C41" s="7" t="n">
        <v>40.45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46022</v>
      </c>
      <c r="B42" s="6" t="n">
        <v>55475.65</v>
      </c>
      <c r="C42" s="7" t="n">
        <v>40.74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46112</v>
      </c>
      <c r="B43" s="6" t="n">
        <v>45538.65</v>
      </c>
      <c r="C43" s="7" t="n">
        <v>32.56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  <row r="44">
      <c r="A44" s="18" t="n">
        <v>46203</v>
      </c>
      <c r="B44" s="6" t="n">
        <v>48794.2</v>
      </c>
      <c r="C44" s="7" t="n">
        <v>33.57</v>
      </c>
      <c r="D44" s="2" t="inlineStr">
        <is>
          <t>Consolidated</t>
        </is>
      </c>
      <c r="E44" s="21">
        <f>IFERROR(B44/C44,"")</f>
        <v/>
      </c>
      <c r="F44" s="16">
        <f>IF(AND(D44=D40,E40&lt;&gt;""),E44/E40-1,"")</f>
        <v/>
      </c>
      <c r="G44" s="16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16" t="n"/>
      <c r="J44" s="16" t="n"/>
      <c r="K44" s="16" t="n"/>
      <c r="L44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45466.8</v>
      </c>
      <c r="C2" s="7" t="n">
        <v>31.54</v>
      </c>
      <c r="D2" s="8" t="n">
        <v>0.00757575757576</v>
      </c>
      <c r="E2" s="8" t="n">
        <v>0.08061490677410001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2026-09-21T10:05:35Z</dcterms:created>
  <dcterms:modified xsi:type="dcterms:W3CDTF">2026-09-21T10:05:35Z</dcterms:modified>
</cp:coreProperties>
</file>