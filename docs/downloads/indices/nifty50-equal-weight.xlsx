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3" customWidth="1" min="4" max="4"/>
    <col width="29" customWidth="1" min="5" max="5"/>
    <col width="17" customWidth="1" min="6" max="6"/>
    <col width="20" customWidth="1" min="7" max="7"/>
  </cols>
  <sheetData>
    <row r="1" ht="26" customHeight="1">
      <c r="A1" s="1" t="inlineStr">
        <is>
          <t>Nifty50 Equal Weight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31943.2</v>
      </c>
      <c r="D5" s="2" t="inlineStr">
        <is>
          <t>P/E</t>
        </is>
      </c>
      <c r="E5" s="7" t="n">
        <v>23.33</v>
      </c>
    </row>
    <row r="6">
      <c r="A6" s="2" t="inlineStr">
        <is>
          <t>P/E percentile</t>
        </is>
      </c>
      <c r="B6" s="8" t="n">
        <v>0.6742424242424242</v>
      </c>
      <c r="D6" s="2" t="inlineStr">
        <is>
          <t>Implied EPS</t>
        </is>
      </c>
      <c r="E6" s="9" t="n">
        <v>1369.189884269181</v>
      </c>
    </row>
    <row r="7">
      <c r="A7" s="2" t="inlineStr">
        <is>
          <t>YoY implied EPS growth</t>
        </is>
      </c>
      <c r="B7" s="8" t="n">
        <v>0.02567984387126176</v>
      </c>
      <c r="D7" s="2" t="inlineStr">
        <is>
          <t>Earnings yield</t>
        </is>
      </c>
      <c r="E7" s="10" t="n">
        <v>0.04286326618088299</v>
      </c>
    </row>
    <row r="8">
      <c r="A8" s="2" t="inlineStr">
        <is>
          <t>Valuation score</t>
        </is>
      </c>
      <c r="B8" s="11" t="n">
        <v>32.57575757575758</v>
      </c>
      <c r="D8" s="2" t="inlineStr">
        <is>
          <t>Growth score</t>
        </is>
      </c>
      <c r="E8" s="11" t="n">
        <v>30.27193754850471</v>
      </c>
    </row>
    <row r="9">
      <c r="A9" s="2" t="inlineStr">
        <is>
          <t>Composite score</t>
        </is>
      </c>
      <c r="B9" s="11" t="n">
        <v>31.88461156758171</v>
      </c>
      <c r="D9" s="2" t="inlineStr">
        <is>
          <t>Signal</t>
        </is>
      </c>
      <c r="E9" s="12" t="inlineStr">
        <is>
          <t>SELL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18.36255319101313</v>
      </c>
      <c r="C13" s="15" t="n">
        <v>25141.82207848995</v>
      </c>
      <c r="D13" s="16" t="n">
        <v>-0.212920994812982</v>
      </c>
    </row>
    <row r="14">
      <c r="A14" t="inlineStr">
        <is>
          <t>HOLD → SELL</t>
        </is>
      </c>
      <c r="B14" s="14" t="n">
        <v>22.66701192369646</v>
      </c>
      <c r="C14" s="15" t="n">
        <v>31035.44343253412</v>
      </c>
      <c r="D14" s="16" t="n">
        <v>-0.02841783438934997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16" t="n">
        <v>0.1958334707630009</v>
      </c>
      <c r="D18" s="16" t="n">
        <v>0.1698867137944766</v>
      </c>
      <c r="E18" s="16" t="n">
        <v>0.231563965038343</v>
      </c>
      <c r="F18" s="16" t="n"/>
      <c r="G18" s="16" t="n">
        <v>0</v>
      </c>
    </row>
    <row r="19">
      <c r="A19" t="inlineStr">
        <is>
          <t>Q2</t>
        </is>
      </c>
      <c r="B19" t="n">
        <v>7</v>
      </c>
      <c r="C19" s="16" t="n">
        <v>0.02696917985100233</v>
      </c>
      <c r="D19" s="16" t="n">
        <v>0.1724407509749246</v>
      </c>
      <c r="E19" s="16" t="n">
        <v>0.171974878292863</v>
      </c>
      <c r="F19" s="16" t="n"/>
      <c r="G19" s="16" t="n">
        <v>0</v>
      </c>
    </row>
    <row r="20">
      <c r="A20" t="inlineStr">
        <is>
          <t>Q3</t>
        </is>
      </c>
      <c r="B20" t="n">
        <v>8</v>
      </c>
      <c r="C20" s="16" t="n">
        <v>0.07927731426903128</v>
      </c>
      <c r="D20" s="16" t="n">
        <v>0.1399230240689016</v>
      </c>
      <c r="E20" s="16" t="n">
        <v>0.1709474782685572</v>
      </c>
      <c r="F20" s="16" t="n"/>
      <c r="G20" s="16" t="n">
        <v>0</v>
      </c>
    </row>
    <row r="21">
      <c r="A21" t="inlineStr">
        <is>
          <t>Q4</t>
        </is>
      </c>
      <c r="B21" t="n">
        <v>7</v>
      </c>
      <c r="C21" s="16" t="n">
        <v>0.04083625981713168</v>
      </c>
      <c r="D21" s="16" t="n">
        <v>-0.01730270218714669</v>
      </c>
      <c r="E21" s="16" t="n">
        <v>0.1018197936706988</v>
      </c>
      <c r="F21" s="16" t="n"/>
      <c r="G21" s="16" t="n">
        <v>0.6666666666666666</v>
      </c>
    </row>
    <row r="22">
      <c r="A22" t="inlineStr">
        <is>
          <t>Q5 Most Expensive</t>
        </is>
      </c>
      <c r="B22" t="n">
        <v>8</v>
      </c>
      <c r="C22" s="16" t="n">
        <v>0.009852201380493586</v>
      </c>
      <c r="D22" s="16" t="n">
        <v>0.2071796354631332</v>
      </c>
      <c r="E22" s="16" t="n">
        <v>0.1306071484006612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37</v>
      </c>
    </row>
    <row r="27">
      <c r="A27" s="2" t="inlineStr">
        <is>
          <t>Backtest start</t>
        </is>
      </c>
      <c r="B27" t="inlineStr">
        <is>
          <t>2017-06-30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16331.4</v>
      </c>
      <c r="C2" s="7" t="n">
        <v>33.75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17448.6</v>
      </c>
      <c r="C3" s="7" t="n">
        <v>25.73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17666.05</v>
      </c>
      <c r="C4" s="7" t="n">
        <v>24.11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17858.85</v>
      </c>
      <c r="C5" s="7" t="n">
        <v>23.12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19038.2</v>
      </c>
      <c r="C6" s="7" t="n">
        <v>20.83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19717.65</v>
      </c>
      <c r="C7" s="7" t="n">
        <v>21.01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19692.55</v>
      </c>
      <c r="C8" s="7" t="n">
        <v>20.25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18870.6</v>
      </c>
      <c r="C9" s="7" t="n">
        <v>18.01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19382.45</v>
      </c>
      <c r="C10" s="7" t="n">
        <v>18.01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19496.85</v>
      </c>
      <c r="C11" s="7" t="n">
        <v>17.92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18880.2</v>
      </c>
      <c r="C12" s="7" t="n">
        <v>16.19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19445.6</v>
      </c>
      <c r="C13" s="7" t="n">
        <v>19.34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19477.15</v>
      </c>
      <c r="C14" s="7" t="n">
        <v>19.22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18789.9</v>
      </c>
      <c r="C15" s="7" t="n">
        <v>18.09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17668.95</v>
      </c>
      <c r="C16" s="7" t="n">
        <v>15.74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19585.55</v>
      </c>
      <c r="C17" s="7" t="n">
        <v>17.55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20337.55</v>
      </c>
      <c r="C18" s="7" t="n">
        <v>18.25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19707.05</v>
      </c>
      <c r="C19" s="7" t="n">
        <v>17.62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20548.75</v>
      </c>
      <c r="C20" s="7" t="n">
        <v>18.51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21266.05</v>
      </c>
      <c r="C21" s="7" t="n">
        <v>20.17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20614.95</v>
      </c>
      <c r="C22" s="7" t="n">
        <v>20.11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20244.15</v>
      </c>
      <c r="C23" s="7" t="n">
        <v>19.43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19493.1</v>
      </c>
      <c r="C24" s="7" t="n">
        <v>18.97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19618.6</v>
      </c>
      <c r="C25" s="7" t="n">
        <v>19.21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20678.65</v>
      </c>
      <c r="C26" s="7" t="n">
        <v>20.07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21498</v>
      </c>
      <c r="C27" s="7" t="n">
        <v>21.02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22442.8</v>
      </c>
      <c r="C28" s="7" t="n">
        <v>21.35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23128.8</v>
      </c>
      <c r="C29" s="7" t="n">
        <v>20.29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22716.65</v>
      </c>
      <c r="C30" s="7" t="n">
        <v>19.58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23566.35</v>
      </c>
      <c r="C31" s="7" t="n">
        <v>20.41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23007.35</v>
      </c>
      <c r="C32" s="7" t="n">
        <v>18.54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24755.15</v>
      </c>
      <c r="C33" s="7" t="n">
        <v>19.89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26755.15</v>
      </c>
      <c r="C34" s="7" t="n">
        <v>22.01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27125.3</v>
      </c>
      <c r="C35" s="7" t="n">
        <v>21.76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27721.4</v>
      </c>
      <c r="C36" s="7" t="n">
        <v>22.58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28146</v>
      </c>
      <c r="C37" s="7" t="n">
        <v>22.89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28447.45</v>
      </c>
      <c r="C38" s="7" t="n">
        <v>22.45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28493.3</v>
      </c>
      <c r="C39" s="7" t="n">
        <v>21.82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30256.4</v>
      </c>
      <c r="C40" s="7" t="n">
        <v>23.15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31940.45</v>
      </c>
      <c r="C41" s="7" t="n">
        <v>24.86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32469.95</v>
      </c>
      <c r="C42" s="7" t="n">
        <v>25.09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33349.9</v>
      </c>
      <c r="C43" s="7" t="n">
        <v>25.58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30656.65</v>
      </c>
      <c r="C44" s="7" t="n">
        <v>23.95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29910.2</v>
      </c>
      <c r="C45" s="7" t="n">
        <v>22.88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29357.1</v>
      </c>
      <c r="C46" s="7" t="n">
        <v>21.96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29429.95</v>
      </c>
      <c r="C47" s="7" t="n">
        <v>21.75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27541.9</v>
      </c>
      <c r="C48" s="7" t="n">
        <v>20.18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29215.85</v>
      </c>
      <c r="C49" s="7" t="n">
        <v>22.28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30209.55</v>
      </c>
      <c r="C50" s="7" t="n">
        <v>22.92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30907.3</v>
      </c>
      <c r="C51" s="7" t="n">
        <v>24.29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32053.75</v>
      </c>
      <c r="C52" s="7" t="n">
        <v>24.26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30995.9</v>
      </c>
      <c r="C53" s="7" t="n">
        <v>23.47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31096.1</v>
      </c>
      <c r="C54" s="7" t="n">
        <v>23.29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31553.9</v>
      </c>
      <c r="C55" s="7" t="n">
        <v>23.77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32867.5</v>
      </c>
      <c r="C56" s="7" t="n">
        <v>24.81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33216.25</v>
      </c>
      <c r="C57" s="7" t="n">
        <v>24.68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33331</v>
      </c>
      <c r="C58" s="7" t="n">
        <v>24.74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32701.65</v>
      </c>
      <c r="C59" s="7" t="n">
        <v>24.46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33083.1</v>
      </c>
      <c r="C60" s="7" t="n">
        <v>25.07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29556.95</v>
      </c>
      <c r="C61" s="7" t="n">
        <v>22.93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32264.45</v>
      </c>
      <c r="C62" s="7" t="n">
        <v>24.99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32390.95</v>
      </c>
      <c r="C63" s="7" t="n">
        <v>24.71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32369.55</v>
      </c>
      <c r="C64" s="7" t="n">
        <v>23.85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33391.95</v>
      </c>
      <c r="C65" s="7" t="n">
        <v>24.37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32982.1</v>
      </c>
      <c r="C66" s="7" t="n">
        <v>24.09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42916</v>
      </c>
      <c r="B2" s="6" t="n">
        <v>11615.79</v>
      </c>
      <c r="C2" s="7" t="n">
        <v>23.37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IF(C2="","",(COUNTIFS($D$2:$D$38,D2,$C$2:$C$38,"&gt;0",$C$2:$C$38,"&lt;"&amp;C2)+(COUNTIFS($D$2:$D$38,D2,$C$2:$C$38,C2)+1)/2)/COUNTIFS($D$2:$D$38,D2,$C$2:$C$38,"&gt;0"))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 t="n"/>
    </row>
    <row r="3">
      <c r="A3" s="18" t="n">
        <v>43008</v>
      </c>
      <c r="B3" s="6" t="n">
        <v>12135.81</v>
      </c>
      <c r="C3" s="7" t="n">
        <v>25.35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IF(C3="","",(COUNTIFS($D$2:$D$38,D3,$C$2:$C$38,"&gt;0",$C$2:$C$38,"&lt;"&amp;C3)+(COUNTIFS($D$2:$D$38,D3,$C$2:$C$38,C3)+1)/2)/COUNTIFS($D$2:$D$38,D3,$C$2:$C$38,"&gt;0"))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43100</v>
      </c>
      <c r="B4" s="6" t="n">
        <v>12919.07</v>
      </c>
      <c r="C4" s="7" t="n">
        <v>25.67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IF(C4="","",(COUNTIFS($D$2:$D$38,D4,$C$2:$C$38,"&gt;0",$C$2:$C$38,"&lt;"&amp;C4)+(COUNTIFS($D$2:$D$38,D4,$C$2:$C$38,C4)+1)/2)/COUNTIFS($D$2:$D$38,D4,$C$2:$C$38,"&gt;0"))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43190</v>
      </c>
      <c r="B5" s="6" t="n">
        <v>12047.3</v>
      </c>
      <c r="C5" s="7" t="n">
        <v>23.24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IF(C5="","",(COUNTIFS($D$2:$D$38,D5,$C$2:$C$38,"&gt;0",$C$2:$C$38,"&lt;"&amp;C5)+(COUNTIFS($D$2:$D$38,D5,$C$2:$C$38,C5)+1)/2)/COUNTIFS($D$2:$D$38,D5,$C$2:$C$38,"&gt;0"))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43281</v>
      </c>
      <c r="B6" s="6" t="n">
        <v>12349.25</v>
      </c>
      <c r="C6" s="7" t="n">
        <v>23.26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IF(C6="","",(COUNTIFS($D$2:$D$38,D6,$C$2:$C$38,"&gt;0",$C$2:$C$38,"&lt;"&amp;C6)+(COUNTIFS($D$2:$D$38,D6,$C$2:$C$38,C6)+1)/2)/COUNTIFS($D$2:$D$38,D6,$C$2:$C$38,"&gt;0"))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43373</v>
      </c>
      <c r="B7" s="6" t="n">
        <v>12273.75</v>
      </c>
      <c r="C7" s="7" t="n">
        <v>21.98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IF(C7="","",(COUNTIFS($D$2:$D$38,D7,$C$2:$C$38,"&gt;0",$C$2:$C$38,"&lt;"&amp;C7)+(COUNTIFS($D$2:$D$38,D7,$C$2:$C$38,C7)+1)/2)/COUNTIFS($D$2:$D$38,D7,$C$2:$C$38,"&gt;0"))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43465</v>
      </c>
      <c r="B8" s="6" t="n">
        <v>12100.85</v>
      </c>
      <c r="C8" s="7" t="n">
        <v>21.07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IF(C8="","",(COUNTIFS($D$2:$D$38,D8,$C$2:$C$38,"&gt;0",$C$2:$C$38,"&lt;"&amp;C8)+(COUNTIFS($D$2:$D$38,D8,$C$2:$C$38,C8)+1)/2)/COUNTIFS($D$2:$D$38,D8,$C$2:$C$38,"&gt;0"))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43555</v>
      </c>
      <c r="B9" s="6" t="n">
        <v>12785.85</v>
      </c>
      <c r="C9" s="7" t="n">
        <v>22.67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IF(C9="","",(COUNTIFS($D$2:$D$38,D9,$C$2:$C$38,"&gt;0",$C$2:$C$38,"&lt;"&amp;C9)+(COUNTIFS($D$2:$D$38,D9,$C$2:$C$38,C9)+1)/2)/COUNTIFS($D$2:$D$38,D9,$C$2:$C$38,"&gt;0"))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43646</v>
      </c>
      <c r="B10" s="6" t="n">
        <v>12624.25</v>
      </c>
      <c r="C10" s="7" t="n">
        <v>20.4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IF(C10="","",(COUNTIFS($D$2:$D$38,D10,$C$2:$C$38,"&gt;0",$C$2:$C$38,"&lt;"&amp;C10)+(COUNTIFS($D$2:$D$38,D10,$C$2:$C$38,C10)+1)/2)/COUNTIFS($D$2:$D$38,D10,$C$2:$C$38,"&gt;0"))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43738</v>
      </c>
      <c r="B11" s="6" t="n">
        <v>11770.9</v>
      </c>
      <c r="C11" s="7" t="n">
        <v>20.47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IF(C11="","",(COUNTIFS($D$2:$D$38,D11,$C$2:$C$38,"&gt;0",$C$2:$C$38,"&lt;"&amp;C11)+(COUNTIFS($D$2:$D$38,D11,$C$2:$C$38,C11)+1)/2)/COUNTIFS($D$2:$D$38,D11,$C$2:$C$38,"&gt;0"))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43830</v>
      </c>
      <c r="B12" s="6" t="n">
        <v>12427.2</v>
      </c>
      <c r="C12" s="7" t="n">
        <v>22.22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IF(C12="","",(COUNTIFS($D$2:$D$38,D12,$C$2:$C$38,"&gt;0",$C$2:$C$38,"&lt;"&amp;C12)+(COUNTIFS($D$2:$D$38,D12,$C$2:$C$38,C12)+1)/2)/COUNTIFS($D$2:$D$38,D12,$C$2:$C$38,"&gt;0"))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43921</v>
      </c>
      <c r="B13" s="6" t="n">
        <v>8592.200000000001</v>
      </c>
      <c r="C13" s="7" t="n">
        <v>14.43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IF(C13="","",(COUNTIFS($D$2:$D$38,D13,$C$2:$C$38,"&gt;0",$C$2:$C$38,"&lt;"&amp;C13)+(COUNTIFS($D$2:$D$38,D13,$C$2:$C$38,C13)+1)/2)/COUNTIFS($D$2:$D$38,D13,$C$2:$C$38,"&gt;0"))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44012</v>
      </c>
      <c r="B14" s="6" t="n">
        <v>10625.3</v>
      </c>
      <c r="C14" s="7" t="n">
        <v>22.44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IF(C14="","",(COUNTIFS($D$2:$D$38,D14,$C$2:$C$38,"&gt;0",$C$2:$C$38,"&lt;"&amp;C14)+(COUNTIFS($D$2:$D$38,D14,$C$2:$C$38,C14)+1)/2)/COUNTIFS($D$2:$D$38,D14,$C$2:$C$38,"&gt;0"))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44104</v>
      </c>
      <c r="B15" s="6" t="n">
        <v>11516.7</v>
      </c>
      <c r="C15" s="7" t="n">
        <v>29.32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IF(C15="","",(COUNTIFS($D$2:$D$38,D15,$C$2:$C$38,"&gt;0",$C$2:$C$38,"&lt;"&amp;C15)+(COUNTIFS($D$2:$D$38,D15,$C$2:$C$38,C15)+1)/2)/COUNTIFS($D$2:$D$38,D15,$C$2:$C$38,"&gt;0"))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44196</v>
      </c>
      <c r="B16" s="6" t="n">
        <v>14616.65</v>
      </c>
      <c r="C16" s="7" t="n">
        <v>36.21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IF(C16="","",(COUNTIFS($D$2:$D$38,D16,$C$2:$C$38,"&gt;0",$C$2:$C$38,"&lt;"&amp;C16)+(COUNTIFS($D$2:$D$38,D16,$C$2:$C$38,C16)+1)/2)/COUNTIFS($D$2:$D$38,D16,$C$2:$C$38,"&gt;0"))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44286</v>
      </c>
      <c r="B17" s="6" t="n">
        <v>15999.3</v>
      </c>
      <c r="C17" s="7" t="n">
        <v>33.32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IF(C17="","",(COUNTIFS($D$2:$D$38,D17,$C$2:$C$38,"&gt;0",$C$2:$C$38,"&lt;"&amp;C17)+(COUNTIFS($D$2:$D$38,D17,$C$2:$C$38,C17)+1)/2)/COUNTIFS($D$2:$D$38,D17,$C$2:$C$38,"&gt;0"))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44377</v>
      </c>
      <c r="B18" s="6" t="n">
        <v>17666.05</v>
      </c>
      <c r="C18" s="7" t="n">
        <v>24.11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IF(C18="","",(COUNTIFS($D$2:$D$38,D18,$C$2:$C$38,"&gt;0",$C$2:$C$38,"&lt;"&amp;C18)+(COUNTIFS($D$2:$D$38,D18,$C$2:$C$38,C18)+1)/2)/COUNTIFS($D$2:$D$38,D18,$C$2:$C$38,"&gt;0"))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44469</v>
      </c>
      <c r="B19" s="6" t="n">
        <v>19717.65</v>
      </c>
      <c r="C19" s="7" t="n">
        <v>21.01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IF(C19="","",(COUNTIFS($D$2:$D$38,D19,$C$2:$C$38,"&gt;0",$C$2:$C$38,"&lt;"&amp;C19)+(COUNTIFS($D$2:$D$38,D19,$C$2:$C$38,C19)+1)/2)/COUNTIFS($D$2:$D$38,D19,$C$2:$C$38,"&gt;0"))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 t="n"/>
      <c r="L19" s="16" t="n"/>
    </row>
    <row r="20">
      <c r="A20" s="18" t="n">
        <v>44561</v>
      </c>
      <c r="B20" s="6" t="n">
        <v>19382.45</v>
      </c>
      <c r="C20" s="7" t="n">
        <v>18.01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IF(C20="","",(COUNTIFS($D$2:$D$38,D20,$C$2:$C$38,"&gt;0",$C$2:$C$38,"&lt;"&amp;C20)+(COUNTIFS($D$2:$D$38,D20,$C$2:$C$38,C20)+1)/2)/COUNTIFS($D$2:$D$38,D20,$C$2:$C$38,"&gt;0"))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 t="n"/>
      <c r="L20" s="16" t="n"/>
    </row>
    <row r="21">
      <c r="A21" s="18" t="n">
        <v>44651</v>
      </c>
      <c r="B21" s="6" t="n">
        <v>19445.6</v>
      </c>
      <c r="C21" s="7" t="n">
        <v>19.34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IF(C21="","",(COUNTIFS($D$2:$D$38,D21,$C$2:$C$38,"&gt;0",$C$2:$C$38,"&lt;"&amp;C21)+(COUNTIFS($D$2:$D$38,D21,$C$2:$C$38,C21)+1)/2)/COUNTIFS($D$2:$D$38,D21,$C$2:$C$38,"&gt;0"))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 t="n"/>
      <c r="L21" s="16" t="n"/>
    </row>
    <row r="22">
      <c r="A22" s="18" t="n">
        <v>44742</v>
      </c>
      <c r="B22" s="6" t="n">
        <v>17668.95</v>
      </c>
      <c r="C22" s="7" t="n">
        <v>15.74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IF(C22="","",(COUNTIFS($D$2:$D$38,D22,$C$2:$C$38,"&gt;0",$C$2:$C$38,"&lt;"&amp;C22)+(COUNTIFS($D$2:$D$38,D22,$C$2:$C$38,C22)+1)/2)/COUNTIFS($D$2:$D$38,D22,$C$2:$C$38,"&gt;0"))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 t="n"/>
      <c r="L22" s="16" t="n"/>
    </row>
    <row r="23">
      <c r="A23" s="18" t="n">
        <v>44834</v>
      </c>
      <c r="B23" s="6" t="n">
        <v>19707.05</v>
      </c>
      <c r="C23" s="7" t="n">
        <v>17.62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IF(C23="","",(COUNTIFS($D$2:$D$38,D23,$C$2:$C$38,"&gt;0",$C$2:$C$38,"&lt;"&amp;C23)+(COUNTIFS($D$2:$D$38,D23,$C$2:$C$38,C23)+1)/2)/COUNTIFS($D$2:$D$38,D23,$C$2:$C$38,"&gt;0"))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 t="n"/>
      <c r="L23" s="16" t="n"/>
    </row>
    <row r="24">
      <c r="A24" s="18" t="n">
        <v>44926</v>
      </c>
      <c r="B24" s="6" t="n">
        <v>20614.95</v>
      </c>
      <c r="C24" s="7" t="n">
        <v>20.11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IF(C24="","",(COUNTIFS($D$2:$D$38,D24,$C$2:$C$38,"&gt;0",$C$2:$C$38,"&lt;"&amp;C24)+(COUNTIFS($D$2:$D$38,D24,$C$2:$C$38,C24)+1)/2)/COUNTIFS($D$2:$D$38,D24,$C$2:$C$38,"&gt;0"))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 t="n"/>
      <c r="L24" s="16" t="n"/>
    </row>
    <row r="25">
      <c r="A25" s="18" t="n">
        <v>45016</v>
      </c>
      <c r="B25" s="6" t="n">
        <v>19618.6</v>
      </c>
      <c r="C25" s="7" t="n">
        <v>19.21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IF(C25="","",(COUNTIFS($D$2:$D$38,D25,$C$2:$C$38,"&gt;0",$C$2:$C$38,"&lt;"&amp;C25)+(COUNTIFS($D$2:$D$38,D25,$C$2:$C$38,C25)+1)/2)/COUNTIFS($D$2:$D$38,D25,$C$2:$C$38,"&gt;0"))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45107</v>
      </c>
      <c r="B26" s="6" t="n">
        <v>22442.8</v>
      </c>
      <c r="C26" s="7" t="n">
        <v>21.35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IF(C26="","",(COUNTIFS($D$2:$D$38,D26,$C$2:$C$38,"&gt;0",$C$2:$C$38,"&lt;"&amp;C26)+(COUNTIFS($D$2:$D$38,D26,$C$2:$C$38,C26)+1)/2)/COUNTIFS($D$2:$D$38,D26,$C$2:$C$38,"&gt;0"))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45199</v>
      </c>
      <c r="B27" s="6" t="n">
        <v>23566.35</v>
      </c>
      <c r="C27" s="7" t="n">
        <v>20.41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IF(C27="","",(COUNTIFS($D$2:$D$38,D27,$C$2:$C$38,"&gt;0",$C$2:$C$38,"&lt;"&amp;C27)+(COUNTIFS($D$2:$D$38,D27,$C$2:$C$38,C27)+1)/2)/COUNTIFS($D$2:$D$38,D27,$C$2:$C$38,"&gt;0"))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 t="n"/>
      <c r="K27" s="16" t="n"/>
      <c r="L27" s="16" t="n"/>
    </row>
    <row r="28">
      <c r="A28" s="18" t="n">
        <v>45291</v>
      </c>
      <c r="B28" s="6" t="n">
        <v>26755.15</v>
      </c>
      <c r="C28" s="7" t="n">
        <v>22.01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IF(C28="","",(COUNTIFS($D$2:$D$38,D28,$C$2:$C$38,"&gt;0",$C$2:$C$38,"&lt;"&amp;C28)+(COUNTIFS($D$2:$D$38,D28,$C$2:$C$38,C28)+1)/2)/COUNTIFS($D$2:$D$38,D28,$C$2:$C$38,"&gt;0"))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 t="n"/>
      <c r="K28" s="16" t="n"/>
      <c r="L28" s="16" t="n"/>
    </row>
    <row r="29">
      <c r="A29" s="18" t="n">
        <v>45382</v>
      </c>
      <c r="B29" s="6" t="n">
        <v>28146</v>
      </c>
      <c r="C29" s="7" t="n">
        <v>22.89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IF(C29="","",(COUNTIFS($D$2:$D$38,D29,$C$2:$C$38,"&gt;0",$C$2:$C$38,"&lt;"&amp;C29)+(COUNTIFS($D$2:$D$38,D29,$C$2:$C$38,C29)+1)/2)/COUNTIFS($D$2:$D$38,D29,$C$2:$C$38,"&gt;0"))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 t="n"/>
      <c r="K29" s="16" t="n"/>
      <c r="L29" s="16" t="n"/>
    </row>
    <row r="30">
      <c r="A30" s="18" t="n">
        <v>45473</v>
      </c>
      <c r="B30" s="6" t="n">
        <v>30256.4</v>
      </c>
      <c r="C30" s="7" t="n">
        <v>23.15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IF(C30="","",(COUNTIFS($D$2:$D$38,D30,$C$2:$C$38,"&gt;0",$C$2:$C$38,"&lt;"&amp;C30)+(COUNTIFS($D$2:$D$38,D30,$C$2:$C$38,C30)+1)/2)/COUNTIFS($D$2:$D$38,D30,$C$2:$C$38,"&gt;0"))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 t="n"/>
      <c r="K30" s="16" t="n"/>
      <c r="L30" s="16" t="n"/>
    </row>
    <row r="31">
      <c r="A31" s="18" t="n">
        <v>45565</v>
      </c>
      <c r="B31" s="6" t="n">
        <v>33349.9</v>
      </c>
      <c r="C31" s="7" t="n">
        <v>25.58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IF(C31="","",(COUNTIFS($D$2:$D$38,D31,$C$2:$C$38,"&gt;0",$C$2:$C$38,"&lt;"&amp;C31)+(COUNTIFS($D$2:$D$38,D31,$C$2:$C$38,C31)+1)/2)/COUNTIFS($D$2:$D$38,D31,$C$2:$C$38,"&gt;0"))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 t="n"/>
      <c r="K31" s="16" t="n"/>
      <c r="L31" s="16" t="n"/>
    </row>
    <row r="32">
      <c r="A32" s="18" t="n">
        <v>45657</v>
      </c>
      <c r="B32" s="6" t="n">
        <v>29357.1</v>
      </c>
      <c r="C32" s="7" t="n">
        <v>21.96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IF(C32="","",(COUNTIFS($D$2:$D$38,D32,$C$2:$C$38,"&gt;0",$C$2:$C$38,"&lt;"&amp;C32)+(COUNTIFS($D$2:$D$38,D32,$C$2:$C$38,C32)+1)/2)/COUNTIFS($D$2:$D$38,D32,$C$2:$C$38,"&gt;0"))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 t="n"/>
      <c r="K32" s="16" t="n"/>
      <c r="L32" s="16" t="n"/>
    </row>
    <row r="33">
      <c r="A33" s="18" t="n">
        <v>45747</v>
      </c>
      <c r="B33" s="6" t="n">
        <v>29215.85</v>
      </c>
      <c r="C33" s="7" t="n">
        <v>22.28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IF(C33="","",(COUNTIFS($D$2:$D$38,D33,$C$2:$C$38,"&gt;0",$C$2:$C$38,"&lt;"&amp;C33)+(COUNTIFS($D$2:$D$38,D33,$C$2:$C$38,C33)+1)/2)/COUNTIFS($D$2:$D$38,D33,$C$2:$C$38,"&gt;0"))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45838</v>
      </c>
      <c r="B34" s="6" t="n">
        <v>32053.75</v>
      </c>
      <c r="C34" s="7" t="n">
        <v>24.26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IF(C34="","",(COUNTIFS($D$2:$D$38,D34,$C$2:$C$38,"&gt;0",$C$2:$C$38,"&lt;"&amp;C34)+(COUNTIFS($D$2:$D$38,D34,$C$2:$C$38,C34)+1)/2)/COUNTIFS($D$2:$D$38,D34,$C$2:$C$38,"&gt;0"))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45930</v>
      </c>
      <c r="B35" s="6" t="n">
        <v>31553.9</v>
      </c>
      <c r="C35" s="7" t="n">
        <v>23.77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IF(C35="","",(COUNTIFS($D$2:$D$38,D35,$C$2:$C$38,"&gt;0",$C$2:$C$38,"&lt;"&amp;C35)+(COUNTIFS($D$2:$D$38,D35,$C$2:$C$38,C35)+1)/2)/COUNTIFS($D$2:$D$38,D35,$C$2:$C$38,"&gt;0"))</f>
        <v/>
      </c>
      <c r="H35">
        <f>IF(G35="","",IF(G35&lt;=20%,"Q1 Cheapest",IF(G35&lt;=40%,"Q2",IF(G35&lt;=60%,"Q3",IF(G35&lt;=80%,"Q4","Q5 Most Expensive")))))</f>
        <v/>
      </c>
      <c r="I35" s="16" t="n"/>
      <c r="J35" s="16" t="n"/>
      <c r="K35" s="16" t="n"/>
      <c r="L35" s="16" t="n"/>
    </row>
    <row r="36">
      <c r="A36" s="18" t="n">
        <v>46022</v>
      </c>
      <c r="B36" s="6" t="n">
        <v>33331</v>
      </c>
      <c r="C36" s="7" t="n">
        <v>24.74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IF(C36="","",(COUNTIFS($D$2:$D$38,D36,$C$2:$C$38,"&gt;0",$C$2:$C$38,"&lt;"&amp;C36)+(COUNTIFS($D$2:$D$38,D36,$C$2:$C$38,C36)+1)/2)/COUNTIFS($D$2:$D$38,D36,$C$2:$C$38,"&gt;0"))</f>
        <v/>
      </c>
      <c r="H36">
        <f>IF(G36="","",IF(G36&lt;=20%,"Q1 Cheapest",IF(G36&lt;=40%,"Q2",IF(G36&lt;=60%,"Q3",IF(G36&lt;=80%,"Q4","Q5 Most Expensive")))))</f>
        <v/>
      </c>
      <c r="I36" s="16" t="n"/>
      <c r="J36" s="16" t="n"/>
      <c r="K36" s="16" t="n"/>
      <c r="L36" s="16" t="n"/>
    </row>
    <row r="37">
      <c r="A37" s="18" t="n">
        <v>46112</v>
      </c>
      <c r="B37" s="6" t="n">
        <v>29556.95</v>
      </c>
      <c r="C37" s="7" t="n">
        <v>22.93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IF(C37="","",(COUNTIFS($D$2:$D$38,D37,$C$2:$C$38,"&gt;0",$C$2:$C$38,"&lt;"&amp;C37)+(COUNTIFS($D$2:$D$38,D37,$C$2:$C$38,C37)+1)/2)/COUNTIFS($D$2:$D$38,D37,$C$2:$C$38,"&gt;0"))</f>
        <v/>
      </c>
      <c r="H37">
        <f>IF(G37="","",IF(G37&lt;=20%,"Q1 Cheapest",IF(G37&lt;=40%,"Q2",IF(G37&lt;=60%,"Q3",IF(G37&lt;=80%,"Q4","Q5 Most Expensive")))))</f>
        <v/>
      </c>
      <c r="I37" s="16" t="n"/>
      <c r="J37" s="16" t="n"/>
      <c r="K37" s="16" t="n"/>
      <c r="L37" s="16" t="n"/>
    </row>
    <row r="38">
      <c r="A38" s="18" t="n">
        <v>46203</v>
      </c>
      <c r="B38" s="6" t="n">
        <v>32369.55</v>
      </c>
      <c r="C38" s="7" t="n">
        <v>23.85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IF(C38="","",(COUNTIFS($D$2:$D$38,D38,$C$2:$C$38,"&gt;0",$C$2:$C$38,"&lt;"&amp;C38)+(COUNTIFS($D$2:$D$38,D38,$C$2:$C$38,C38)+1)/2)/COUNTIFS($D$2:$D$38,D38,$C$2:$C$38,"&gt;0"))</f>
        <v/>
      </c>
      <c r="H38">
        <f>IF(G38="","",IF(G38&lt;=20%,"Q1 Cheapest",IF(G38&lt;=40%,"Q2",IF(G38&lt;=60%,"Q3",IF(G38&lt;=80%,"Q4","Q5 Most Expensive")))))</f>
        <v/>
      </c>
      <c r="I38" s="16" t="n"/>
      <c r="J38" s="16" t="n"/>
      <c r="K38" s="16" t="n"/>
      <c r="L38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31943.2</v>
      </c>
      <c r="C2" s="7" t="n">
        <v>23.33</v>
      </c>
      <c r="D2" s="8" t="n">
        <v>0.674242424242</v>
      </c>
      <c r="E2" s="8" t="n">
        <v>0.0256798438713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2026-09-21T10:14:34Z</dcterms:created>
  <dcterms:modified xsi:type="dcterms:W3CDTF">2026-09-21T10:14:34Z</dcterms:modified>
</cp:coreProperties>
</file>