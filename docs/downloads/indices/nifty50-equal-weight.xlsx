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50EqualWeigh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17" customWidth="1" min="6" max="6"/>
    <col width="20" customWidth="1" min="7" max="7"/>
  </cols>
  <sheetData>
    <row r="1" ht="26" customHeight="1">
      <c r="A1" s="1" t="inlineStr">
        <is>
          <t>Nifty50 Equal Weight Valuation Tracker</t>
        </is>
      </c>
    </row>
    <row r="2">
      <c r="A2" s="2" t="inlineStr">
        <is>
          <t>As of</t>
        </is>
      </c>
      <c r="B2" s="23" t="n">
        <v>46310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31051.1</v>
      </c>
      <c r="D5" s="2" t="inlineStr">
        <is>
          <t>P/E</t>
        </is>
      </c>
      <c r="E5" s="25" t="n">
        <v>23.3</v>
      </c>
    </row>
    <row r="6">
      <c r="A6" s="2" t="inlineStr">
        <is>
          <t>P/E percentile</t>
        </is>
      </c>
      <c r="B6" s="26" t="n">
        <v>0.6791044776119403</v>
      </c>
      <c r="D6" s="2" t="inlineStr">
        <is>
          <t>Implied EPS</t>
        </is>
      </c>
      <c r="E6" s="27" t="n">
        <v>1332.665236051502</v>
      </c>
    </row>
    <row r="7">
      <c r="A7" s="2" t="inlineStr">
        <is>
          <t>YoY implied EPS growth</t>
        </is>
      </c>
      <c r="B7" s="26" t="n">
        <v>0.00391801400210201</v>
      </c>
      <c r="D7" s="2" t="inlineStr">
        <is>
          <t>Earnings yield</t>
        </is>
      </c>
      <c r="E7" s="10" t="n">
        <v>0.04291845493562232</v>
      </c>
    </row>
    <row r="8">
      <c r="A8" s="2" t="inlineStr">
        <is>
          <t>Valuation score</t>
        </is>
      </c>
      <c r="B8" s="28" t="n">
        <v>32.08955223880597</v>
      </c>
      <c r="D8" s="2" t="inlineStr">
        <is>
          <t>Growth score</t>
        </is>
      </c>
      <c r="E8" s="28" t="n">
        <v>21.5672056008408</v>
      </c>
    </row>
    <row r="9">
      <c r="A9" s="2" t="inlineStr">
        <is>
          <t>Composite score</t>
        </is>
      </c>
      <c r="B9" s="28" t="n">
        <v>28.93284824741642</v>
      </c>
      <c r="D9" s="2" t="inlineStr">
        <is>
          <t>Signal</t>
        </is>
      </c>
      <c r="E9" s="12" t="inlineStr">
        <is>
          <t>SELL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18.01803505245331</v>
      </c>
      <c r="C13" s="15" t="n">
        <v>24012.00893636193</v>
      </c>
      <c r="D13" s="30" t="n">
        <v>-0.2266937745728191</v>
      </c>
    </row>
    <row r="14">
      <c r="A14" t="inlineStr">
        <is>
          <t>HOLD → SELL</t>
        </is>
      </c>
      <c r="B14" s="29" t="n">
        <v>22.34564591503472</v>
      </c>
      <c r="C14" s="15" t="n">
        <v>29779.26548808302</v>
      </c>
      <c r="D14" s="30" t="n">
        <v>-0.04095940278820975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7</v>
      </c>
      <c r="C18" s="30" t="n">
        <v>0.1958334707630009</v>
      </c>
      <c r="D18" s="30" t="n">
        <v>0.1698867137944766</v>
      </c>
      <c r="E18" s="30" t="n">
        <v>0.231563965038343</v>
      </c>
      <c r="F18" s="30" t="n"/>
      <c r="G18" s="30" t="n">
        <v>0</v>
      </c>
    </row>
    <row r="19">
      <c r="A19" t="inlineStr">
        <is>
          <t>Q2</t>
        </is>
      </c>
      <c r="B19" t="n">
        <v>8</v>
      </c>
      <c r="C19" s="30" t="n">
        <v>0.1015756321554483</v>
      </c>
      <c r="D19" s="30" t="n">
        <v>0.170608927811255</v>
      </c>
      <c r="E19" s="30" t="n">
        <v>0.1556701172555949</v>
      </c>
      <c r="F19" s="30" t="n"/>
      <c r="G19" s="30" t="n">
        <v>0</v>
      </c>
    </row>
    <row r="20">
      <c r="A20" t="inlineStr">
        <is>
          <t>Q3</t>
        </is>
      </c>
      <c r="B20" t="n">
        <v>7</v>
      </c>
      <c r="C20" s="30" t="n">
        <v>0.06130419264067477</v>
      </c>
      <c r="D20" s="30" t="n">
        <v>0.1499984304707735</v>
      </c>
      <c r="E20" s="30" t="n">
        <v>0.1709474782685572</v>
      </c>
      <c r="F20" s="30" t="n"/>
      <c r="G20" s="30" t="n">
        <v>0</v>
      </c>
    </row>
    <row r="21">
      <c r="A21" t="inlineStr">
        <is>
          <t>Q4</t>
        </is>
      </c>
      <c r="B21" t="n">
        <v>8</v>
      </c>
      <c r="C21" s="30" t="n">
        <v>0.02226855881936141</v>
      </c>
      <c r="D21" s="30" t="n">
        <v>-0.01730270218714669</v>
      </c>
      <c r="E21" s="30" t="n">
        <v>0.1018197936706988</v>
      </c>
      <c r="F21" s="30" t="n"/>
      <c r="G21" s="30" t="n">
        <v>0.6666666666666666</v>
      </c>
    </row>
    <row r="22">
      <c r="A22" t="inlineStr">
        <is>
          <t>Q5 Most Expensive</t>
        </is>
      </c>
      <c r="B22" t="n">
        <v>8</v>
      </c>
      <c r="C22" s="30" t="n">
        <v>0.009852201380493586</v>
      </c>
      <c r="D22" s="30" t="n">
        <v>0.2071796354631332</v>
      </c>
      <c r="E22" s="30" t="n">
        <v>0.1306071484006612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38</v>
      </c>
    </row>
    <row r="27">
      <c r="A27" s="2" t="inlineStr">
        <is>
          <t>Backtest start</t>
        </is>
      </c>
      <c r="B27" t="inlineStr">
        <is>
          <t>2017-06-30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16331.4</v>
      </c>
      <c r="C2" s="25" t="n">
        <v>33.75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17448.6</v>
      </c>
      <c r="C3" s="25" t="n">
        <v>25.73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17666.05</v>
      </c>
      <c r="C4" s="25" t="n">
        <v>24.11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17858.85</v>
      </c>
      <c r="C5" s="25" t="n">
        <v>23.12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19038.2</v>
      </c>
      <c r="C6" s="25" t="n">
        <v>20.83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19717.65</v>
      </c>
      <c r="C7" s="25" t="n">
        <v>21.01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19692.55</v>
      </c>
      <c r="C8" s="25" t="n">
        <v>20.25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18870.6</v>
      </c>
      <c r="C9" s="25" t="n">
        <v>18.01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19382.45</v>
      </c>
      <c r="C10" s="25" t="n">
        <v>18.01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19496.85</v>
      </c>
      <c r="C11" s="25" t="n">
        <v>17.92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18880.2</v>
      </c>
      <c r="C12" s="25" t="n">
        <v>16.19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19445.6</v>
      </c>
      <c r="C13" s="25" t="n">
        <v>19.34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19477.15</v>
      </c>
      <c r="C14" s="25" t="n">
        <v>19.22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18789.9</v>
      </c>
      <c r="C15" s="25" t="n">
        <v>18.09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17668.95</v>
      </c>
      <c r="C16" s="25" t="n">
        <v>15.74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19585.55</v>
      </c>
      <c r="C17" s="25" t="n">
        <v>17.55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20337.55</v>
      </c>
      <c r="C18" s="25" t="n">
        <v>18.25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19707.05</v>
      </c>
      <c r="C19" s="25" t="n">
        <v>17.62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20548.75</v>
      </c>
      <c r="C20" s="25" t="n">
        <v>18.51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21266.05</v>
      </c>
      <c r="C21" s="25" t="n">
        <v>20.17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20614.95</v>
      </c>
      <c r="C22" s="25" t="n">
        <v>20.11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20244.15</v>
      </c>
      <c r="C23" s="25" t="n">
        <v>19.43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19493.1</v>
      </c>
      <c r="C24" s="25" t="n">
        <v>18.97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19618.6</v>
      </c>
      <c r="C25" s="25" t="n">
        <v>19.21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20678.65</v>
      </c>
      <c r="C26" s="25" t="n">
        <v>20.07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21498</v>
      </c>
      <c r="C27" s="25" t="n">
        <v>21.02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22442.8</v>
      </c>
      <c r="C28" s="25" t="n">
        <v>21.35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23128.8</v>
      </c>
      <c r="C29" s="25" t="n">
        <v>20.29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22716.65</v>
      </c>
      <c r="C30" s="25" t="n">
        <v>19.58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23566.35</v>
      </c>
      <c r="C31" s="25" t="n">
        <v>20.41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23007.35</v>
      </c>
      <c r="C32" s="25" t="n">
        <v>18.54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24755.15</v>
      </c>
      <c r="C33" s="25" t="n">
        <v>19.89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26755.15</v>
      </c>
      <c r="C34" s="25" t="n">
        <v>22.01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27125.3</v>
      </c>
      <c r="C35" s="25" t="n">
        <v>21.76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27721.4</v>
      </c>
      <c r="C36" s="25" t="n">
        <v>22.58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28146</v>
      </c>
      <c r="C37" s="25" t="n">
        <v>22.89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28447.45</v>
      </c>
      <c r="C38" s="25" t="n">
        <v>22.45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28493.3</v>
      </c>
      <c r="C39" s="25" t="n">
        <v>21.82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30256.4</v>
      </c>
      <c r="C40" s="25" t="n">
        <v>23.15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31940.45</v>
      </c>
      <c r="C41" s="25" t="n">
        <v>24.86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32469.95</v>
      </c>
      <c r="C42" s="25" t="n">
        <v>25.09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33349.9</v>
      </c>
      <c r="C43" s="25" t="n">
        <v>25.58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30656.65</v>
      </c>
      <c r="C44" s="25" t="n">
        <v>23.95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29910.2</v>
      </c>
      <c r="C45" s="25" t="n">
        <v>22.88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29357.1</v>
      </c>
      <c r="C46" s="25" t="n">
        <v>21.96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29429.95</v>
      </c>
      <c r="C47" s="25" t="n">
        <v>21.75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27541.9</v>
      </c>
      <c r="C48" s="25" t="n">
        <v>20.18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29215.85</v>
      </c>
      <c r="C49" s="25" t="n">
        <v>22.28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30209.55</v>
      </c>
      <c r="C50" s="25" t="n">
        <v>22.92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30907.3</v>
      </c>
      <c r="C51" s="25" t="n">
        <v>24.29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32053.75</v>
      </c>
      <c r="C52" s="25" t="n">
        <v>24.26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30995.9</v>
      </c>
      <c r="C53" s="25" t="n">
        <v>23.47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31096.1</v>
      </c>
      <c r="C54" s="25" t="n">
        <v>23.29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31553.9</v>
      </c>
      <c r="C55" s="25" t="n">
        <v>23.77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32867.5</v>
      </c>
      <c r="C56" s="25" t="n">
        <v>24.81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33216.25</v>
      </c>
      <c r="C57" s="25" t="n">
        <v>24.68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33331</v>
      </c>
      <c r="C58" s="25" t="n">
        <v>24.74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32701.65</v>
      </c>
      <c r="C59" s="25" t="n">
        <v>24.46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33083.1</v>
      </c>
      <c r="C60" s="25" t="n">
        <v>25.07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29556.95</v>
      </c>
      <c r="C61" s="25" t="n">
        <v>22.93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32264.45</v>
      </c>
      <c r="C62" s="25" t="n">
        <v>24.99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32390.95</v>
      </c>
      <c r="C63" s="25" t="n">
        <v>24.71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32369.55</v>
      </c>
      <c r="C64" s="25" t="n">
        <v>23.85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33391.95</v>
      </c>
      <c r="C65" s="25" t="n">
        <v>24.37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32982.1</v>
      </c>
      <c r="C66" s="25" t="n">
        <v>24.09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30904.45</v>
      </c>
      <c r="C67" s="25" t="n">
        <v>23.25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42916</v>
      </c>
      <c r="B2" s="24" t="n">
        <v>11615.79</v>
      </c>
      <c r="C2" s="25" t="n">
        <v>23.37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IF(C2="","",(COUNTIFS($D$2:$D$39,D2,$C$2:$C$39,"&gt;0",$C$2:$C$39,"&lt;"&amp;C2)+(COUNTIFS($D$2:$D$39,D2,$C$2:$C$39,C2)+1)/2)/COUNTIFS($D$2:$D$39,D2,$C$2:$C$39,"&gt;0"))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43008</v>
      </c>
      <c r="B3" s="24" t="n">
        <v>12135.81</v>
      </c>
      <c r="C3" s="25" t="n">
        <v>25.35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IF(C3="","",(COUNTIFS($D$2:$D$39,D3,$C$2:$C$39,"&gt;0",$C$2:$C$39,"&lt;"&amp;C3)+(COUNTIFS($D$2:$D$39,D3,$C$2:$C$39,C3)+1)/2)/COUNTIFS($D$2:$D$39,D3,$C$2:$C$39,"&gt;0"))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43100</v>
      </c>
      <c r="B4" s="24" t="n">
        <v>12919.07</v>
      </c>
      <c r="C4" s="25" t="n">
        <v>25.67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IF(C4="","",(COUNTIFS($D$2:$D$39,D4,$C$2:$C$39,"&gt;0",$C$2:$C$39,"&lt;"&amp;C4)+(COUNTIFS($D$2:$D$39,D4,$C$2:$C$39,C4)+1)/2)/COUNTIFS($D$2:$D$39,D4,$C$2:$C$39,"&gt;0"))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43190</v>
      </c>
      <c r="B5" s="24" t="n">
        <v>12047.3</v>
      </c>
      <c r="C5" s="25" t="n">
        <v>23.24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IF(C5="","",(COUNTIFS($D$2:$D$39,D5,$C$2:$C$39,"&gt;0",$C$2:$C$39,"&lt;"&amp;C5)+(COUNTIFS($D$2:$D$39,D5,$C$2:$C$39,C5)+1)/2)/COUNTIFS($D$2:$D$39,D5,$C$2:$C$39,"&gt;0"))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43281</v>
      </c>
      <c r="B6" s="24" t="n">
        <v>12349.25</v>
      </c>
      <c r="C6" s="25" t="n">
        <v>23.26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IF(C6="","",(COUNTIFS($D$2:$D$39,D6,$C$2:$C$39,"&gt;0",$C$2:$C$39,"&lt;"&amp;C6)+(COUNTIFS($D$2:$D$39,D6,$C$2:$C$39,C6)+1)/2)/COUNTIFS($D$2:$D$39,D6,$C$2:$C$39,"&gt;0"))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43373</v>
      </c>
      <c r="B7" s="24" t="n">
        <v>12273.75</v>
      </c>
      <c r="C7" s="25" t="n">
        <v>21.98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IF(C7="","",(COUNTIFS($D$2:$D$39,D7,$C$2:$C$39,"&gt;0",$C$2:$C$39,"&lt;"&amp;C7)+(COUNTIFS($D$2:$D$39,D7,$C$2:$C$39,C7)+1)/2)/COUNTIFS($D$2:$D$39,D7,$C$2:$C$39,"&gt;0"))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43465</v>
      </c>
      <c r="B8" s="24" t="n">
        <v>12100.85</v>
      </c>
      <c r="C8" s="25" t="n">
        <v>21.07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IF(C8="","",(COUNTIFS($D$2:$D$39,D8,$C$2:$C$39,"&gt;0",$C$2:$C$39,"&lt;"&amp;C8)+(COUNTIFS($D$2:$D$39,D8,$C$2:$C$39,C8)+1)/2)/COUNTIFS($D$2:$D$39,D8,$C$2:$C$39,"&gt;0"))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43555</v>
      </c>
      <c r="B9" s="24" t="n">
        <v>12785.85</v>
      </c>
      <c r="C9" s="25" t="n">
        <v>22.67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IF(C9="","",(COUNTIFS($D$2:$D$39,D9,$C$2:$C$39,"&gt;0",$C$2:$C$39,"&lt;"&amp;C9)+(COUNTIFS($D$2:$D$39,D9,$C$2:$C$39,C9)+1)/2)/COUNTIFS($D$2:$D$39,D9,$C$2:$C$39,"&gt;0"))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43646</v>
      </c>
      <c r="B10" s="24" t="n">
        <v>12624.25</v>
      </c>
      <c r="C10" s="25" t="n">
        <v>20.4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IF(C10="","",(COUNTIFS($D$2:$D$39,D10,$C$2:$C$39,"&gt;0",$C$2:$C$39,"&lt;"&amp;C10)+(COUNTIFS($D$2:$D$39,D10,$C$2:$C$39,C10)+1)/2)/COUNTIFS($D$2:$D$39,D10,$C$2:$C$39,"&gt;0"))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43738</v>
      </c>
      <c r="B11" s="24" t="n">
        <v>11770.9</v>
      </c>
      <c r="C11" s="25" t="n">
        <v>20.47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IF(C11="","",(COUNTIFS($D$2:$D$39,D11,$C$2:$C$39,"&gt;0",$C$2:$C$39,"&lt;"&amp;C11)+(COUNTIFS($D$2:$D$39,D11,$C$2:$C$39,C11)+1)/2)/COUNTIFS($D$2:$D$39,D11,$C$2:$C$39,"&gt;0"))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43830</v>
      </c>
      <c r="B12" s="24" t="n">
        <v>12427.2</v>
      </c>
      <c r="C12" s="25" t="n">
        <v>22.22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IF(C12="","",(COUNTIFS($D$2:$D$39,D12,$C$2:$C$39,"&gt;0",$C$2:$C$39,"&lt;"&amp;C12)+(COUNTIFS($D$2:$D$39,D12,$C$2:$C$39,C12)+1)/2)/COUNTIFS($D$2:$D$39,D12,$C$2:$C$39,"&gt;0"))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43921</v>
      </c>
      <c r="B13" s="24" t="n">
        <v>8592.200000000001</v>
      </c>
      <c r="C13" s="25" t="n">
        <v>14.43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IF(C13="","",(COUNTIFS($D$2:$D$39,D13,$C$2:$C$39,"&gt;0",$C$2:$C$39,"&lt;"&amp;C13)+(COUNTIFS($D$2:$D$39,D13,$C$2:$C$39,C13)+1)/2)/COUNTIFS($D$2:$D$39,D13,$C$2:$C$39,"&gt;0"))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44012</v>
      </c>
      <c r="B14" s="24" t="n">
        <v>10625.3</v>
      </c>
      <c r="C14" s="25" t="n">
        <v>22.44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IF(C14="","",(COUNTIFS($D$2:$D$39,D14,$C$2:$C$39,"&gt;0",$C$2:$C$39,"&lt;"&amp;C14)+(COUNTIFS($D$2:$D$39,D14,$C$2:$C$39,C14)+1)/2)/COUNTIFS($D$2:$D$39,D14,$C$2:$C$39,"&gt;0"))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44104</v>
      </c>
      <c r="B15" s="24" t="n">
        <v>11516.7</v>
      </c>
      <c r="C15" s="25" t="n">
        <v>29.32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IF(C15="","",(COUNTIFS($D$2:$D$39,D15,$C$2:$C$39,"&gt;0",$C$2:$C$39,"&lt;"&amp;C15)+(COUNTIFS($D$2:$D$39,D15,$C$2:$C$39,C15)+1)/2)/COUNTIFS($D$2:$D$39,D15,$C$2:$C$39,"&gt;0"))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44196</v>
      </c>
      <c r="B16" s="24" t="n">
        <v>14616.65</v>
      </c>
      <c r="C16" s="25" t="n">
        <v>36.21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IF(C16="","",(COUNTIFS($D$2:$D$39,D16,$C$2:$C$39,"&gt;0",$C$2:$C$39,"&lt;"&amp;C16)+(COUNTIFS($D$2:$D$39,D16,$C$2:$C$39,C16)+1)/2)/COUNTIFS($D$2:$D$39,D16,$C$2:$C$39,"&gt;0"))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44286</v>
      </c>
      <c r="B17" s="24" t="n">
        <v>15999.3</v>
      </c>
      <c r="C17" s="25" t="n">
        <v>33.32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IF(C17="","",(COUNTIFS($D$2:$D$39,D17,$C$2:$C$39,"&gt;0",$C$2:$C$39,"&lt;"&amp;C17)+(COUNTIFS($D$2:$D$39,D17,$C$2:$C$39,C17)+1)/2)/COUNTIFS($D$2:$D$39,D17,$C$2:$C$39,"&gt;0"))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44377</v>
      </c>
      <c r="B18" s="24" t="n">
        <v>17666.05</v>
      </c>
      <c r="C18" s="25" t="n">
        <v>24.11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IF(C18="","",(COUNTIFS($D$2:$D$39,D18,$C$2:$C$39,"&gt;0",$C$2:$C$39,"&lt;"&amp;C18)+(COUNTIFS($D$2:$D$39,D18,$C$2:$C$39,C18)+1)/2)/COUNTIFS($D$2:$D$39,D18,$C$2:$C$39,"&gt;0"))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44469</v>
      </c>
      <c r="B19" s="24" t="n">
        <v>19717.65</v>
      </c>
      <c r="C19" s="25" t="n">
        <v>21.01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IF(C19="","",(COUNTIFS($D$2:$D$39,D19,$C$2:$C$39,"&gt;0",$C$2:$C$39,"&lt;"&amp;C19)+(COUNTIFS($D$2:$D$39,D19,$C$2:$C$39,C19)+1)/2)/COUNTIFS($D$2:$D$39,D19,$C$2:$C$39,"&gt;0"))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44561</v>
      </c>
      <c r="B20" s="24" t="n">
        <v>19382.45</v>
      </c>
      <c r="C20" s="25" t="n">
        <v>18.01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IF(C20="","",(COUNTIFS($D$2:$D$39,D20,$C$2:$C$39,"&gt;0",$C$2:$C$39,"&lt;"&amp;C20)+(COUNTIFS($D$2:$D$39,D20,$C$2:$C$39,C20)+1)/2)/COUNTIFS($D$2:$D$39,D20,$C$2:$C$39,"&gt;0"))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44651</v>
      </c>
      <c r="B21" s="24" t="n">
        <v>19445.6</v>
      </c>
      <c r="C21" s="25" t="n">
        <v>19.34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IF(C21="","",(COUNTIFS($D$2:$D$39,D21,$C$2:$C$39,"&gt;0",$C$2:$C$39,"&lt;"&amp;C21)+(COUNTIFS($D$2:$D$39,D21,$C$2:$C$39,C21)+1)/2)/COUNTIFS($D$2:$D$39,D21,$C$2:$C$39,"&gt;0"))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44742</v>
      </c>
      <c r="B22" s="24" t="n">
        <v>17668.95</v>
      </c>
      <c r="C22" s="25" t="n">
        <v>15.74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IF(C22="","",(COUNTIFS($D$2:$D$39,D22,$C$2:$C$39,"&gt;0",$C$2:$C$39,"&lt;"&amp;C22)+(COUNTIFS($D$2:$D$39,D22,$C$2:$C$39,C22)+1)/2)/COUNTIFS($D$2:$D$39,D22,$C$2:$C$39,"&gt;0"))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44834</v>
      </c>
      <c r="B23" s="24" t="n">
        <v>19707.05</v>
      </c>
      <c r="C23" s="25" t="n">
        <v>17.62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IF(C23="","",(COUNTIFS($D$2:$D$39,D23,$C$2:$C$39,"&gt;0",$C$2:$C$39,"&lt;"&amp;C23)+(COUNTIFS($D$2:$D$39,D23,$C$2:$C$39,C23)+1)/2)/COUNTIFS($D$2:$D$39,D23,$C$2:$C$39,"&gt;0"))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44926</v>
      </c>
      <c r="B24" s="24" t="n">
        <v>20614.95</v>
      </c>
      <c r="C24" s="25" t="n">
        <v>20.11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IF(C24="","",(COUNTIFS($D$2:$D$39,D24,$C$2:$C$39,"&gt;0",$C$2:$C$39,"&lt;"&amp;C24)+(COUNTIFS($D$2:$D$39,D24,$C$2:$C$39,C24)+1)/2)/COUNTIFS($D$2:$D$39,D24,$C$2:$C$39,"&gt;0"))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45016</v>
      </c>
      <c r="B25" s="24" t="n">
        <v>19618.6</v>
      </c>
      <c r="C25" s="25" t="n">
        <v>19.21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IF(C25="","",(COUNTIFS($D$2:$D$39,D25,$C$2:$C$39,"&gt;0",$C$2:$C$39,"&lt;"&amp;C25)+(COUNTIFS($D$2:$D$39,D25,$C$2:$C$39,C25)+1)/2)/COUNTIFS($D$2:$D$39,D25,$C$2:$C$39,"&gt;0"))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45107</v>
      </c>
      <c r="B26" s="24" t="n">
        <v>22442.8</v>
      </c>
      <c r="C26" s="25" t="n">
        <v>21.35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IF(C26="","",(COUNTIFS($D$2:$D$39,D26,$C$2:$C$39,"&gt;0",$C$2:$C$39,"&lt;"&amp;C26)+(COUNTIFS($D$2:$D$39,D26,$C$2:$C$39,C26)+1)/2)/COUNTIFS($D$2:$D$39,D26,$C$2:$C$39,"&gt;0"))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45199</v>
      </c>
      <c r="B27" s="24" t="n">
        <v>23566.35</v>
      </c>
      <c r="C27" s="25" t="n">
        <v>20.41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IF(C27="","",(COUNTIFS($D$2:$D$39,D27,$C$2:$C$39,"&gt;0",$C$2:$C$39,"&lt;"&amp;C27)+(COUNTIFS($D$2:$D$39,D27,$C$2:$C$39,C27)+1)/2)/COUNTIFS($D$2:$D$39,D27,$C$2:$C$39,"&gt;0"))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45291</v>
      </c>
      <c r="B28" s="24" t="n">
        <v>26755.15</v>
      </c>
      <c r="C28" s="25" t="n">
        <v>22.01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IF(C28="","",(COUNTIFS($D$2:$D$39,D28,$C$2:$C$39,"&gt;0",$C$2:$C$39,"&lt;"&amp;C28)+(COUNTIFS($D$2:$D$39,D28,$C$2:$C$39,C28)+1)/2)/COUNTIFS($D$2:$D$39,D28,$C$2:$C$39,"&gt;0"))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45382</v>
      </c>
      <c r="B29" s="24" t="n">
        <v>28146</v>
      </c>
      <c r="C29" s="25" t="n">
        <v>22.89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IF(C29="","",(COUNTIFS($D$2:$D$39,D29,$C$2:$C$39,"&gt;0",$C$2:$C$39,"&lt;"&amp;C29)+(COUNTIFS($D$2:$D$39,D29,$C$2:$C$39,C29)+1)/2)/COUNTIFS($D$2:$D$39,D29,$C$2:$C$39,"&gt;0"))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45473</v>
      </c>
      <c r="B30" s="24" t="n">
        <v>30256.4</v>
      </c>
      <c r="C30" s="25" t="n">
        <v>23.15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IF(C30="","",(COUNTIFS($D$2:$D$39,D30,$C$2:$C$39,"&gt;0",$C$2:$C$39,"&lt;"&amp;C30)+(COUNTIFS($D$2:$D$39,D30,$C$2:$C$39,C30)+1)/2)/COUNTIFS($D$2:$D$39,D30,$C$2:$C$39,"&gt;0"))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45565</v>
      </c>
      <c r="B31" s="24" t="n">
        <v>33349.9</v>
      </c>
      <c r="C31" s="25" t="n">
        <v>25.58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IF(C31="","",(COUNTIFS($D$2:$D$39,D31,$C$2:$C$39,"&gt;0",$C$2:$C$39,"&lt;"&amp;C31)+(COUNTIFS($D$2:$D$39,D31,$C$2:$C$39,C31)+1)/2)/COUNTIFS($D$2:$D$39,D31,$C$2:$C$39,"&gt;0"))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45657</v>
      </c>
      <c r="B32" s="24" t="n">
        <v>29357.1</v>
      </c>
      <c r="C32" s="25" t="n">
        <v>21.96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IF(C32="","",(COUNTIFS($D$2:$D$39,D32,$C$2:$C$39,"&gt;0",$C$2:$C$39,"&lt;"&amp;C32)+(COUNTIFS($D$2:$D$39,D32,$C$2:$C$39,C32)+1)/2)/COUNTIFS($D$2:$D$39,D32,$C$2:$C$39,"&gt;0"))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45747</v>
      </c>
      <c r="B33" s="24" t="n">
        <v>29215.85</v>
      </c>
      <c r="C33" s="25" t="n">
        <v>22.28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IF(C33="","",(COUNTIFS($D$2:$D$39,D33,$C$2:$C$39,"&gt;0",$C$2:$C$39,"&lt;"&amp;C33)+(COUNTIFS($D$2:$D$39,D33,$C$2:$C$39,C33)+1)/2)/COUNTIFS($D$2:$D$39,D33,$C$2:$C$39,"&gt;0"))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45838</v>
      </c>
      <c r="B34" s="24" t="n">
        <v>32053.75</v>
      </c>
      <c r="C34" s="25" t="n">
        <v>24.26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IF(C34="","",(COUNTIFS($D$2:$D$39,D34,$C$2:$C$39,"&gt;0",$C$2:$C$39,"&lt;"&amp;C34)+(COUNTIFS($D$2:$D$39,D34,$C$2:$C$39,C34)+1)/2)/COUNTIFS($D$2:$D$39,D34,$C$2:$C$39,"&gt;0"))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45930</v>
      </c>
      <c r="B35" s="24" t="n">
        <v>31553.9</v>
      </c>
      <c r="C35" s="25" t="n">
        <v>23.77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IF(C35="","",(COUNTIFS($D$2:$D$39,D35,$C$2:$C$39,"&gt;0",$C$2:$C$39,"&lt;"&amp;C35)+(COUNTIFS($D$2:$D$39,D35,$C$2:$C$39,C35)+1)/2)/COUNTIFS($D$2:$D$39,D35,$C$2:$C$39,"&gt;0"))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46022</v>
      </c>
      <c r="B36" s="24" t="n">
        <v>33331</v>
      </c>
      <c r="C36" s="25" t="n">
        <v>24.74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IF(C36="","",(COUNTIFS($D$2:$D$39,D36,$C$2:$C$39,"&gt;0",$C$2:$C$39,"&lt;"&amp;C36)+(COUNTIFS($D$2:$D$39,D36,$C$2:$C$39,C36)+1)/2)/COUNTIFS($D$2:$D$39,D36,$C$2:$C$39,"&gt;0"))</f>
        <v/>
      </c>
      <c r="H36">
        <f>IF(G36="","",IF(G36&lt;=20%,"Q1 Cheapest",IF(G36&lt;=40%,"Q2",IF(G36&lt;=60%,"Q3",IF(G36&lt;=80%,"Q4","Q5 Most Expensive")))))</f>
        <v/>
      </c>
      <c r="I36" s="30" t="n"/>
      <c r="J36" s="30" t="n"/>
      <c r="K36" s="30" t="n"/>
      <c r="L36" s="30" t="n"/>
    </row>
    <row r="37">
      <c r="A37" s="31" t="n">
        <v>46112</v>
      </c>
      <c r="B37" s="24" t="n">
        <v>29556.95</v>
      </c>
      <c r="C37" s="25" t="n">
        <v>22.93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IF(C37="","",(COUNTIFS($D$2:$D$39,D37,$C$2:$C$39,"&gt;0",$C$2:$C$39,"&lt;"&amp;C37)+(COUNTIFS($D$2:$D$39,D37,$C$2:$C$39,C37)+1)/2)/COUNTIFS($D$2:$D$39,D37,$C$2:$C$39,"&gt;0"))</f>
        <v/>
      </c>
      <c r="H37">
        <f>IF(G37="","",IF(G37&lt;=20%,"Q1 Cheapest",IF(G37&lt;=40%,"Q2",IF(G37&lt;=60%,"Q3",IF(G37&lt;=80%,"Q4","Q5 Most Expensive")))))</f>
        <v/>
      </c>
      <c r="I37" s="30" t="n"/>
      <c r="J37" s="30" t="n"/>
      <c r="K37" s="30" t="n"/>
      <c r="L37" s="30" t="n"/>
    </row>
    <row r="38">
      <c r="A38" s="31" t="n">
        <v>46203</v>
      </c>
      <c r="B38" s="24" t="n">
        <v>32369.55</v>
      </c>
      <c r="C38" s="25" t="n">
        <v>23.85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IF(C38="","",(COUNTIFS($D$2:$D$39,D38,$C$2:$C$39,"&gt;0",$C$2:$C$39,"&lt;"&amp;C38)+(COUNTIFS($D$2:$D$39,D38,$C$2:$C$39,C38)+1)/2)/COUNTIFS($D$2:$D$39,D38,$C$2:$C$39,"&gt;0"))</f>
        <v/>
      </c>
      <c r="H38">
        <f>IF(G38="","",IF(G38&lt;=20%,"Q1 Cheapest",IF(G38&lt;=40%,"Q2",IF(G38&lt;=60%,"Q3",IF(G38&lt;=80%,"Q4","Q5 Most Expensive")))))</f>
        <v/>
      </c>
      <c r="I38" s="30" t="n"/>
      <c r="J38" s="30" t="n"/>
      <c r="K38" s="30" t="n"/>
      <c r="L38" s="30" t="n"/>
    </row>
    <row r="39">
      <c r="A39" s="31" t="n">
        <v>46295</v>
      </c>
      <c r="B39" s="24" t="n">
        <v>30904.45</v>
      </c>
      <c r="C39" s="25" t="n">
        <v>23.25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IF(C39="","",(COUNTIFS($D$2:$D$39,D39,$C$2:$C$39,"&gt;0",$C$2:$C$39,"&lt;"&amp;C39)+(COUNTIFS($D$2:$D$39,D39,$C$2:$C$39,C39)+1)/2)/COUNTIFS($D$2:$D$39,D39,$C$2:$C$39,"&gt;0"))</f>
        <v/>
      </c>
      <c r="H39">
        <f>IF(G39="","",IF(G39&lt;=20%,"Q1 Cheapest",IF(G39&lt;=40%,"Q2",IF(G39&lt;=60%,"Q3",IF(G39&lt;=80%,"Q4","Q5 Most Expensive")))))</f>
        <v/>
      </c>
      <c r="I39" s="30" t="n"/>
      <c r="J39" s="30" t="n"/>
      <c r="K39" s="30" t="n"/>
      <c r="L39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8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31943.2</v>
      </c>
      <c r="C2" s="25" t="n">
        <v>23.33</v>
      </c>
      <c r="D2" s="26" t="n">
        <v>0.674242424242</v>
      </c>
      <c r="E2" s="26" t="n">
        <v>0.0256798438713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32027.45</v>
      </c>
      <c r="C3" s="25" t="n">
        <v>23.39</v>
      </c>
      <c r="D3" s="26" t="n">
        <v>0.674242424242</v>
      </c>
      <c r="E3" s="26" t="n">
        <v>0.0259367212238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31948.4</v>
      </c>
      <c r="C4" s="25" t="n">
        <v>23.33</v>
      </c>
      <c r="D4" s="26" t="n">
        <v>0.674242424242</v>
      </c>
      <c r="E4" s="26" t="n">
        <v>0.0258455146264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32135.1</v>
      </c>
      <c r="C5" s="25" t="n">
        <v>23.47</v>
      </c>
      <c r="D5" s="26" t="n">
        <v>0.681818181818</v>
      </c>
      <c r="E5" s="26" t="n">
        <v>0.0256187981946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31602.65</v>
      </c>
      <c r="C6" s="25" t="n">
        <v>23.08</v>
      </c>
      <c r="D6" s="26" t="n">
        <v>0.628787878788</v>
      </c>
      <c r="E6" s="26" t="n">
        <v>0.0258216880821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31685.3</v>
      </c>
      <c r="C7" s="25" t="n">
        <v>23.14</v>
      </c>
      <c r="D7" s="26" t="n">
        <v>0.643939393939</v>
      </c>
      <c r="E7" s="26" t="n">
        <v>0.0256750780208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31241</v>
      </c>
      <c r="C8" s="25" t="n">
        <v>22.82</v>
      </c>
      <c r="D8" s="26" t="n">
        <v>0.568181818182</v>
      </c>
      <c r="E8" s="26" t="n">
        <v>0.0256850771484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31139.9</v>
      </c>
      <c r="C9" s="25" t="n">
        <v>22.74</v>
      </c>
      <c r="D9" s="26" t="n">
        <v>0.568181818182</v>
      </c>
      <c r="E9" s="26" t="n">
        <v>0.0258178901274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30904.45</v>
      </c>
      <c r="C10" s="25" t="n">
        <v>23.25</v>
      </c>
      <c r="D10" s="26" t="n">
        <v>0.65671641791</v>
      </c>
      <c r="E10" s="26" t="n">
        <v>0.00132301557257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30532.4</v>
      </c>
      <c r="C11" s="25" t="n">
        <v>22.97</v>
      </c>
      <c r="D11" s="26" t="n">
        <v>0.619402985075</v>
      </c>
      <c r="E11" s="26" t="n">
        <v>0.0014740849449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30700.05</v>
      </c>
      <c r="C12" s="25" t="n">
        <v>23.09</v>
      </c>
      <c r="D12" s="26" t="n">
        <v>0.619402985075</v>
      </c>
      <c r="E12" s="26" t="n">
        <v>0.00173392481317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30980.95</v>
      </c>
      <c r="C13" s="25" t="n">
        <v>23.3</v>
      </c>
      <c r="D13" s="26" t="n">
        <v>0.679104477612</v>
      </c>
      <c r="E13" s="26" t="n">
        <v>0.00153027140272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30672.2</v>
      </c>
      <c r="C14" s="25" t="n">
        <v>23.07</v>
      </c>
      <c r="D14" s="26" t="n">
        <v>0.619402985075</v>
      </c>
      <c r="E14" s="26" t="n">
        <v>0.00156085434234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30092.65</v>
      </c>
      <c r="C15" s="25" t="n">
        <v>22.64</v>
      </c>
      <c r="D15" s="26" t="n">
        <v>0.559701492537</v>
      </c>
      <c r="E15" s="26" t="n">
        <v>0.00114711599897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30516.35</v>
      </c>
      <c r="C16" s="25" t="n">
        <v>22.96</v>
      </c>
      <c r="D16" s="26" t="n">
        <v>0.619402985075</v>
      </c>
      <c r="E16" s="26" t="n">
        <v>0.00134898992891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30372.3</v>
      </c>
      <c r="C17" s="25" t="n">
        <v>22.82</v>
      </c>
      <c r="D17" s="26" t="n">
        <v>0.559701492537</v>
      </c>
      <c r="E17" s="26" t="n">
        <v>0.002579427704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30876.05</v>
      </c>
      <c r="C18" s="25" t="n">
        <v>23.17</v>
      </c>
      <c r="D18" s="26" t="n">
        <v>0.649253731343</v>
      </c>
      <c r="E18" s="26" t="n">
        <v>0.00360227878934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30752.75</v>
      </c>
      <c r="C19" s="25" t="n">
        <v>23.08</v>
      </c>
      <c r="D19" s="26" t="n">
        <v>0.619402985075</v>
      </c>
      <c r="E19" s="26" t="n">
        <v>0.00367795111315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31051.1</v>
      </c>
      <c r="C20" s="25" t="n">
        <v>23.3</v>
      </c>
      <c r="D20" s="26" t="n">
        <v>0.679104477612</v>
      </c>
      <c r="E20" s="26" t="n">
        <v>0.0039180140021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Nifty50 Equal Weight Composition</t>
        </is>
      </c>
    </row>
    <row r="2">
      <c r="A2" s="2" t="inlineStr">
        <is>
          <t>As of</t>
        </is>
      </c>
      <c r="B2" s="4" t="inlineStr">
        <is>
          <t>Retrieved 2026-10-15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Adani Enterprises Ltd.</t>
        </is>
      </c>
      <c r="C6" t="inlineStr">
        <is>
          <t>ADANIENT</t>
        </is>
      </c>
      <c r="D6" t="inlineStr">
        <is>
          <t>Metals &amp; Mining</t>
        </is>
      </c>
    </row>
    <row r="7">
      <c r="A7" t="n">
        <v>2</v>
      </c>
      <c r="B7" t="inlineStr">
        <is>
          <t>Adani Ports and Special Economic Zone Ltd.</t>
        </is>
      </c>
      <c r="C7" t="inlineStr">
        <is>
          <t>ADANIPORTS</t>
        </is>
      </c>
      <c r="D7" t="inlineStr">
        <is>
          <t>Services</t>
        </is>
      </c>
    </row>
    <row r="8">
      <c r="A8" t="n">
        <v>3</v>
      </c>
      <c r="B8" t="inlineStr">
        <is>
          <t>Apollo Hospitals Enterprise Ltd.</t>
        </is>
      </c>
      <c r="C8" t="inlineStr">
        <is>
          <t>APOLLOHOSP</t>
        </is>
      </c>
      <c r="D8" t="inlineStr">
        <is>
          <t>Healthcare</t>
        </is>
      </c>
    </row>
    <row r="9">
      <c r="A9" t="n">
        <v>4</v>
      </c>
      <c r="B9" t="inlineStr">
        <is>
          <t>Asian Paints Ltd.</t>
        </is>
      </c>
      <c r="C9" t="inlineStr">
        <is>
          <t>ASIANPAINT</t>
        </is>
      </c>
      <c r="D9" t="inlineStr">
        <is>
          <t>Consumer Durables</t>
        </is>
      </c>
    </row>
    <row r="10">
      <c r="A10" t="n">
        <v>5</v>
      </c>
      <c r="B10" t="inlineStr">
        <is>
          <t>Axis Bank Ltd.</t>
        </is>
      </c>
      <c r="C10" t="inlineStr">
        <is>
          <t>AXISBANK</t>
        </is>
      </c>
      <c r="D10" t="inlineStr">
        <is>
          <t>Financial Services</t>
        </is>
      </c>
    </row>
    <row r="11">
      <c r="A11" t="n">
        <v>6</v>
      </c>
      <c r="B11" t="inlineStr">
        <is>
          <t>Bajaj Auto Ltd.</t>
        </is>
      </c>
      <c r="C11" t="inlineStr">
        <is>
          <t>BAJAJ-AUTO</t>
        </is>
      </c>
      <c r="D11" t="inlineStr">
        <is>
          <t>Automobile and Auto Components</t>
        </is>
      </c>
    </row>
    <row r="12">
      <c r="A12" t="n">
        <v>7</v>
      </c>
      <c r="B12" t="inlineStr">
        <is>
          <t>Bajaj Finance Ltd.</t>
        </is>
      </c>
      <c r="C12" t="inlineStr">
        <is>
          <t>BAJFINANCE</t>
        </is>
      </c>
      <c r="D12" t="inlineStr">
        <is>
          <t>Financial Services</t>
        </is>
      </c>
    </row>
    <row r="13">
      <c r="A13" t="n">
        <v>8</v>
      </c>
      <c r="B13" t="inlineStr">
        <is>
          <t>Bajaj Finserv Ltd.</t>
        </is>
      </c>
      <c r="C13" t="inlineStr">
        <is>
          <t>BAJAJFINSV</t>
        </is>
      </c>
      <c r="D13" t="inlineStr">
        <is>
          <t>Financial Services</t>
        </is>
      </c>
    </row>
    <row r="14">
      <c r="A14" t="n">
        <v>9</v>
      </c>
      <c r="B14" t="inlineStr">
        <is>
          <t>Bharat Electronics Ltd.</t>
        </is>
      </c>
      <c r="C14" t="inlineStr">
        <is>
          <t>BEL</t>
        </is>
      </c>
      <c r="D14" t="inlineStr">
        <is>
          <t>Capital Goods</t>
        </is>
      </c>
    </row>
    <row r="15">
      <c r="A15" t="n">
        <v>10</v>
      </c>
      <c r="B15" t="inlineStr">
        <is>
          <t>Bharti Airtel Ltd.</t>
        </is>
      </c>
      <c r="C15" t="inlineStr">
        <is>
          <t>BHARTIARTL</t>
        </is>
      </c>
      <c r="D15" t="inlineStr">
        <is>
          <t>Telecommunication</t>
        </is>
      </c>
    </row>
    <row r="16">
      <c r="A16" t="n">
        <v>11</v>
      </c>
      <c r="B16" t="inlineStr">
        <is>
          <t>BSE Ltd.</t>
        </is>
      </c>
      <c r="C16" t="inlineStr">
        <is>
          <t>BSE</t>
        </is>
      </c>
      <c r="D16" t="inlineStr">
        <is>
          <t>Financial Services</t>
        </is>
      </c>
    </row>
    <row r="17">
      <c r="A17" t="n">
        <v>12</v>
      </c>
      <c r="B17" t="inlineStr">
        <is>
          <t>Cipla Ltd.</t>
        </is>
      </c>
      <c r="C17" t="inlineStr">
        <is>
          <t>CIPLA</t>
        </is>
      </c>
      <c r="D17" t="inlineStr">
        <is>
          <t>Healthcare</t>
        </is>
      </c>
    </row>
    <row r="18">
      <c r="A18" t="n">
        <v>13</v>
      </c>
      <c r="B18" t="inlineStr">
        <is>
          <t>Coal India Ltd.</t>
        </is>
      </c>
      <c r="C18" t="inlineStr">
        <is>
          <t>COALINDIA</t>
        </is>
      </c>
      <c r="D18" t="inlineStr">
        <is>
          <t>Oil Gas &amp; Consumable Fuels</t>
        </is>
      </c>
    </row>
    <row r="19">
      <c r="A19" t="n">
        <v>14</v>
      </c>
      <c r="B19" t="inlineStr">
        <is>
          <t>Dr. Reddy's Laboratories Ltd.</t>
        </is>
      </c>
      <c r="C19" t="inlineStr">
        <is>
          <t>DRREDDY</t>
        </is>
      </c>
      <c r="D19" t="inlineStr">
        <is>
          <t>Healthcare</t>
        </is>
      </c>
    </row>
    <row r="20">
      <c r="A20" t="n">
        <v>15</v>
      </c>
      <c r="B20" t="inlineStr">
        <is>
          <t>Eicher Motors Ltd.</t>
        </is>
      </c>
      <c r="C20" t="inlineStr">
        <is>
          <t>EICHERMOT</t>
        </is>
      </c>
      <c r="D20" t="inlineStr">
        <is>
          <t>Automobile and Auto Components</t>
        </is>
      </c>
    </row>
    <row r="21">
      <c r="A21" t="n">
        <v>16</v>
      </c>
      <c r="B21" t="inlineStr">
        <is>
          <t>Eternal Ltd.</t>
        </is>
      </c>
      <c r="C21" t="inlineStr">
        <is>
          <t>ETERNAL</t>
        </is>
      </c>
      <c r="D21" t="inlineStr">
        <is>
          <t>Consumer Services</t>
        </is>
      </c>
    </row>
    <row r="22">
      <c r="A22" t="n">
        <v>17</v>
      </c>
      <c r="B22" t="inlineStr">
        <is>
          <t>Grasim Industries Ltd.</t>
        </is>
      </c>
      <c r="C22" t="inlineStr">
        <is>
          <t>GRASIM</t>
        </is>
      </c>
      <c r="D22" t="inlineStr">
        <is>
          <t>Construction Materials</t>
        </is>
      </c>
    </row>
    <row r="23">
      <c r="A23" t="n">
        <v>18</v>
      </c>
      <c r="B23" t="inlineStr">
        <is>
          <t>HCL Technologies Ltd.</t>
        </is>
      </c>
      <c r="C23" t="inlineStr">
        <is>
          <t>HCLTECH</t>
        </is>
      </c>
      <c r="D23" t="inlineStr">
        <is>
          <t>Information Technology</t>
        </is>
      </c>
    </row>
    <row r="24">
      <c r="A24" t="n">
        <v>19</v>
      </c>
      <c r="B24" t="inlineStr">
        <is>
          <t>HDFC Bank Ltd.</t>
        </is>
      </c>
      <c r="C24" t="inlineStr">
        <is>
          <t>HDFCBANK</t>
        </is>
      </c>
      <c r="D24" t="inlineStr">
        <is>
          <t>Financial Services</t>
        </is>
      </c>
    </row>
    <row r="25">
      <c r="A25" t="n">
        <v>20</v>
      </c>
      <c r="B25" t="inlineStr">
        <is>
          <t>HDFC Life Insurance Company Ltd.</t>
        </is>
      </c>
      <c r="C25" t="inlineStr">
        <is>
          <t>HDFCLIFE</t>
        </is>
      </c>
      <c r="D25" t="inlineStr">
        <is>
          <t>Financial Services</t>
        </is>
      </c>
    </row>
    <row r="26">
      <c r="A26" t="n">
        <v>21</v>
      </c>
      <c r="B26" t="inlineStr">
        <is>
          <t>Hindalco Industries Ltd.</t>
        </is>
      </c>
      <c r="C26" t="inlineStr">
        <is>
          <t>HINDALCO</t>
        </is>
      </c>
      <c r="D26" t="inlineStr">
        <is>
          <t>Metals &amp; Mining</t>
        </is>
      </c>
    </row>
    <row r="27">
      <c r="A27" t="n">
        <v>22</v>
      </c>
      <c r="B27" t="inlineStr">
        <is>
          <t>Hindustan Unilever Ltd.</t>
        </is>
      </c>
      <c r="C27" t="inlineStr">
        <is>
          <t>HINDUNILVR</t>
        </is>
      </c>
      <c r="D27" t="inlineStr">
        <is>
          <t>Fast Moving Consumer Goods</t>
        </is>
      </c>
    </row>
    <row r="28">
      <c r="A28" t="n">
        <v>23</v>
      </c>
      <c r="B28" t="inlineStr">
        <is>
          <t>ICICI Bank Ltd.</t>
        </is>
      </c>
      <c r="C28" t="inlineStr">
        <is>
          <t>ICICIBANK</t>
        </is>
      </c>
      <c r="D28" t="inlineStr">
        <is>
          <t>Financial Services</t>
        </is>
      </c>
    </row>
    <row r="29">
      <c r="A29" t="n">
        <v>24</v>
      </c>
      <c r="B29" t="inlineStr">
        <is>
          <t>Infosys Ltd.</t>
        </is>
      </c>
      <c r="C29" t="inlineStr">
        <is>
          <t>INFY</t>
        </is>
      </c>
      <c r="D29" t="inlineStr">
        <is>
          <t>Information Technology</t>
        </is>
      </c>
    </row>
    <row r="30">
      <c r="A30" t="n">
        <v>25</v>
      </c>
      <c r="B30" t="inlineStr">
        <is>
          <t>InterGlobe Aviation Ltd.</t>
        </is>
      </c>
      <c r="C30" t="inlineStr">
        <is>
          <t>INDIGO</t>
        </is>
      </c>
      <c r="D30" t="inlineStr">
        <is>
          <t>Services</t>
        </is>
      </c>
    </row>
    <row r="31">
      <c r="A31" t="n">
        <v>26</v>
      </c>
      <c r="B31" t="inlineStr">
        <is>
          <t>ITC Ltd.</t>
        </is>
      </c>
      <c r="C31" t="inlineStr">
        <is>
          <t>ITC</t>
        </is>
      </c>
      <c r="D31" t="inlineStr">
        <is>
          <t>Fast Moving Consumer Goods</t>
        </is>
      </c>
    </row>
    <row r="32">
      <c r="A32" t="n">
        <v>27</v>
      </c>
      <c r="B32" t="inlineStr">
        <is>
          <t>Jio Financial Services Ltd.</t>
        </is>
      </c>
      <c r="C32" t="inlineStr">
        <is>
          <t>JIOFIN</t>
        </is>
      </c>
      <c r="D32" t="inlineStr">
        <is>
          <t>Financial Services</t>
        </is>
      </c>
    </row>
    <row r="33">
      <c r="A33" t="n">
        <v>28</v>
      </c>
      <c r="B33" t="inlineStr">
        <is>
          <t>JSW Steel Ltd.</t>
        </is>
      </c>
      <c r="C33" t="inlineStr">
        <is>
          <t>JSWSTEEL</t>
        </is>
      </c>
      <c r="D33" t="inlineStr">
        <is>
          <t>Metals &amp; Mining</t>
        </is>
      </c>
    </row>
    <row r="34">
      <c r="A34" t="n">
        <v>29</v>
      </c>
      <c r="B34" t="inlineStr">
        <is>
          <t>Kotak Mahindra Bank Ltd.</t>
        </is>
      </c>
      <c r="C34" t="inlineStr">
        <is>
          <t>KOTAKBANK</t>
        </is>
      </c>
      <c r="D34" t="inlineStr">
        <is>
          <t>Financial Services</t>
        </is>
      </c>
    </row>
    <row r="35">
      <c r="A35" t="n">
        <v>30</v>
      </c>
      <c r="B35" t="inlineStr">
        <is>
          <t>Larsen &amp; Toubro Ltd.</t>
        </is>
      </c>
      <c r="C35" t="inlineStr">
        <is>
          <t>LT</t>
        </is>
      </c>
      <c r="D35" t="inlineStr">
        <is>
          <t>Construction</t>
        </is>
      </c>
    </row>
    <row r="36">
      <c r="A36" t="n">
        <v>31</v>
      </c>
      <c r="B36" t="inlineStr">
        <is>
          <t>Mahindra &amp; Mahindra Ltd.</t>
        </is>
      </c>
      <c r="C36" t="inlineStr">
        <is>
          <t>M&amp;M</t>
        </is>
      </c>
      <c r="D36" t="inlineStr">
        <is>
          <t>Automobile and Auto Components</t>
        </is>
      </c>
    </row>
    <row r="37">
      <c r="A37" t="n">
        <v>32</v>
      </c>
      <c r="B37" t="inlineStr">
        <is>
          <t>Maruti Suzuki India Ltd.</t>
        </is>
      </c>
      <c r="C37" t="inlineStr">
        <is>
          <t>MARUTI</t>
        </is>
      </c>
      <c r="D37" t="inlineStr">
        <is>
          <t>Automobile and Auto Components</t>
        </is>
      </c>
    </row>
    <row r="38">
      <c r="A38" t="n">
        <v>33</v>
      </c>
      <c r="B38" t="inlineStr">
        <is>
          <t>Max Healthcare Institute Ltd.</t>
        </is>
      </c>
      <c r="C38" t="inlineStr">
        <is>
          <t>MAXHEALTH</t>
        </is>
      </c>
      <c r="D38" t="inlineStr">
        <is>
          <t>Healthcare</t>
        </is>
      </c>
    </row>
    <row r="39">
      <c r="A39" t="n">
        <v>34</v>
      </c>
      <c r="B39" t="inlineStr">
        <is>
          <t>Nestle India Ltd.</t>
        </is>
      </c>
      <c r="C39" t="inlineStr">
        <is>
          <t>NESTLEIND</t>
        </is>
      </c>
      <c r="D39" t="inlineStr">
        <is>
          <t>Fast Moving Consumer Goods</t>
        </is>
      </c>
    </row>
    <row r="40">
      <c r="A40" t="n">
        <v>35</v>
      </c>
      <c r="B40" t="inlineStr">
        <is>
          <t>NTPC Ltd.</t>
        </is>
      </c>
      <c r="C40" t="inlineStr">
        <is>
          <t>NTPC</t>
        </is>
      </c>
      <c r="D40" t="inlineStr">
        <is>
          <t>Power</t>
        </is>
      </c>
    </row>
    <row r="41">
      <c r="A41" t="n">
        <v>36</v>
      </c>
      <c r="B41" t="inlineStr">
        <is>
          <t>Oil &amp; Natural Gas Corporation Ltd.</t>
        </is>
      </c>
      <c r="C41" t="inlineStr">
        <is>
          <t>ONGC</t>
        </is>
      </c>
      <c r="D41" t="inlineStr">
        <is>
          <t>Oil Gas &amp; Consumable Fuels</t>
        </is>
      </c>
    </row>
    <row r="42">
      <c r="A42" t="n">
        <v>37</v>
      </c>
      <c r="B42" t="inlineStr">
        <is>
          <t>Power Grid Corporation of India Ltd.</t>
        </is>
      </c>
      <c r="C42" t="inlineStr">
        <is>
          <t>POWERGRID</t>
        </is>
      </c>
      <c r="D42" t="inlineStr">
        <is>
          <t>Power</t>
        </is>
      </c>
    </row>
    <row r="43">
      <c r="A43" t="n">
        <v>38</v>
      </c>
      <c r="B43" t="inlineStr">
        <is>
          <t>Reliance Industries Ltd.</t>
        </is>
      </c>
      <c r="C43" t="inlineStr">
        <is>
          <t>RELIANCE</t>
        </is>
      </c>
      <c r="D43" t="inlineStr">
        <is>
          <t>Oil Gas &amp; Consumable Fuels</t>
        </is>
      </c>
    </row>
    <row r="44">
      <c r="A44" t="n">
        <v>39</v>
      </c>
      <c r="B44" t="inlineStr">
        <is>
          <t>SBI Life Insurance Company Ltd.</t>
        </is>
      </c>
      <c r="C44" t="inlineStr">
        <is>
          <t>SBILIFE</t>
        </is>
      </c>
      <c r="D44" t="inlineStr">
        <is>
          <t>Financial Services</t>
        </is>
      </c>
    </row>
    <row r="45">
      <c r="A45" t="n">
        <v>40</v>
      </c>
      <c r="B45" t="inlineStr">
        <is>
          <t>Shriram Finance Ltd.</t>
        </is>
      </c>
      <c r="C45" t="inlineStr">
        <is>
          <t>SHRIRAMFIN</t>
        </is>
      </c>
      <c r="D45" t="inlineStr">
        <is>
          <t>Financial Services</t>
        </is>
      </c>
    </row>
    <row r="46">
      <c r="A46" t="n">
        <v>41</v>
      </c>
      <c r="B46" t="inlineStr">
        <is>
          <t>State Bank of India</t>
        </is>
      </c>
      <c r="C46" t="inlineStr">
        <is>
          <t>SBIN</t>
        </is>
      </c>
      <c r="D46" t="inlineStr">
        <is>
          <t>Financial Services</t>
        </is>
      </c>
    </row>
    <row r="47">
      <c r="A47" t="n">
        <v>42</v>
      </c>
      <c r="B47" t="inlineStr">
        <is>
          <t>Sun Pharmaceutical Industries Ltd.</t>
        </is>
      </c>
      <c r="C47" t="inlineStr">
        <is>
          <t>SUNPHARMA</t>
        </is>
      </c>
      <c r="D47" t="inlineStr">
        <is>
          <t>Healthcare</t>
        </is>
      </c>
    </row>
    <row r="48">
      <c r="A48" t="n">
        <v>43</v>
      </c>
      <c r="B48" t="inlineStr">
        <is>
          <t>Tata Consultancy Services Ltd.</t>
        </is>
      </c>
      <c r="C48" t="inlineStr">
        <is>
          <t>TCS</t>
        </is>
      </c>
      <c r="D48" t="inlineStr">
        <is>
          <t>Information Technology</t>
        </is>
      </c>
    </row>
    <row r="49">
      <c r="A49" t="n">
        <v>44</v>
      </c>
      <c r="B49" t="inlineStr">
        <is>
          <t>Tata Consumer Products Ltd.</t>
        </is>
      </c>
      <c r="C49" t="inlineStr">
        <is>
          <t>TATACONSUM</t>
        </is>
      </c>
      <c r="D49" t="inlineStr">
        <is>
          <t>Fast Moving Consumer Goods</t>
        </is>
      </c>
    </row>
    <row r="50">
      <c r="A50" t="n">
        <v>45</v>
      </c>
      <c r="B50" t="inlineStr">
        <is>
          <t>Tata Motors Passenger Vehicles Ltd.</t>
        </is>
      </c>
      <c r="C50" t="inlineStr">
        <is>
          <t>TMPV</t>
        </is>
      </c>
      <c r="D50" t="inlineStr">
        <is>
          <t>Automobile and Auto Components</t>
        </is>
      </c>
    </row>
    <row r="51">
      <c r="A51" t="n">
        <v>46</v>
      </c>
      <c r="B51" t="inlineStr">
        <is>
          <t>Tata Steel Ltd.</t>
        </is>
      </c>
      <c r="C51" t="inlineStr">
        <is>
          <t>TATASTEEL</t>
        </is>
      </c>
      <c r="D51" t="inlineStr">
        <is>
          <t>Metals &amp; Mining</t>
        </is>
      </c>
    </row>
    <row r="52">
      <c r="A52" t="n">
        <v>47</v>
      </c>
      <c r="B52" t="inlineStr">
        <is>
          <t>Tech Mahindra Ltd.</t>
        </is>
      </c>
      <c r="C52" t="inlineStr">
        <is>
          <t>TECHM</t>
        </is>
      </c>
      <c r="D52" t="inlineStr">
        <is>
          <t>Information Technology</t>
        </is>
      </c>
    </row>
    <row r="53">
      <c r="A53" t="n">
        <v>48</v>
      </c>
      <c r="B53" t="inlineStr">
        <is>
          <t>Titan Company Ltd.</t>
        </is>
      </c>
      <c r="C53" t="inlineStr">
        <is>
          <t>TITAN</t>
        </is>
      </c>
      <c r="D53" t="inlineStr">
        <is>
          <t>Consumer Durables</t>
        </is>
      </c>
    </row>
    <row r="54">
      <c r="A54" t="n">
        <v>49</v>
      </c>
      <c r="B54" t="inlineStr">
        <is>
          <t>Trent Ltd.</t>
        </is>
      </c>
      <c r="C54" t="inlineStr">
        <is>
          <t>TRENT</t>
        </is>
      </c>
      <c r="D54" t="inlineStr">
        <is>
          <t>Consumer Services</t>
        </is>
      </c>
    </row>
    <row r="55">
      <c r="A55" t="n">
        <v>50</v>
      </c>
      <c r="B55" t="inlineStr">
        <is>
          <t>UltraTech Cement Ltd.</t>
        </is>
      </c>
      <c r="C55" t="inlineStr">
        <is>
          <t>ULTRACEMCO</t>
        </is>
      </c>
      <c r="D55" t="inlineStr">
        <is>
          <t>Construction Materials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2026-10-15T17:22:38Z</dcterms:created>
  <dcterms:modified xsi:type="dcterms:W3CDTF">2026-10-15T17:23:04Z</dcterms:modified>
</cp:coreProperties>
</file>