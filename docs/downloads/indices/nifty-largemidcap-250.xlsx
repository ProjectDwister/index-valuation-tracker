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17" customWidth="1" min="6" max="6"/>
    <col width="19" customWidth="1" min="7" max="7"/>
  </cols>
  <sheetData>
    <row r="1" ht="26" customHeight="1">
      <c r="A1" s="1" t="inlineStr">
        <is>
          <t>NIFTY LargeMidcap 250 Valuation Tracker</t>
        </is>
      </c>
    </row>
    <row r="2">
      <c r="A2" s="2" t="inlineStr">
        <is>
          <t>As of</t>
        </is>
      </c>
      <c r="B2" s="3" t="n">
        <v>46286</v>
      </c>
      <c r="D2" s="2" t="inlineStr">
        <is>
          <t>Group</t>
        </is>
      </c>
      <c r="E2" s="4" t="inlineStr">
        <is>
          <t>Broad Market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16374.9</v>
      </c>
      <c r="D5" s="2" t="inlineStr">
        <is>
          <t>P/E</t>
        </is>
      </c>
      <c r="E5" s="7" t="n">
        <v>23.34</v>
      </c>
    </row>
    <row r="6">
      <c r="A6" s="2" t="inlineStr">
        <is>
          <t>P/E percentile</t>
        </is>
      </c>
      <c r="B6" s="8" t="n">
        <v>0.1742424242424243</v>
      </c>
      <c r="D6" s="2" t="inlineStr">
        <is>
          <t>Implied EPS</t>
        </is>
      </c>
      <c r="E6" s="9" t="n">
        <v>701.5809768637532</v>
      </c>
    </row>
    <row r="7">
      <c r="A7" s="2" t="inlineStr">
        <is>
          <t>YoY implied EPS growth</t>
        </is>
      </c>
      <c r="B7" s="8" t="n">
        <v>0.13847673977909</v>
      </c>
      <c r="D7" s="2" t="inlineStr">
        <is>
          <t>Earnings yield</t>
        </is>
      </c>
      <c r="E7" s="10" t="n">
        <v>0.04284490145672665</v>
      </c>
    </row>
    <row r="8">
      <c r="A8" s="2" t="inlineStr">
        <is>
          <t>Valuation score</t>
        </is>
      </c>
      <c r="B8" s="11" t="n">
        <v>82.57575757575756</v>
      </c>
      <c r="D8" s="2" t="inlineStr">
        <is>
          <t>Growth score</t>
        </is>
      </c>
      <c r="E8" s="11" t="n">
        <v>75.39069591163602</v>
      </c>
    </row>
    <row r="9">
      <c r="A9" s="2" t="inlineStr">
        <is>
          <t>Composite score</t>
        </is>
      </c>
      <c r="B9" s="11" t="n">
        <v>80.4202390765211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24.45010163166592</v>
      </c>
      <c r="C13" s="15" t="n">
        <v>17153.72618716222</v>
      </c>
      <c r="D13" s="16" t="n">
        <v>0.04756219501567771</v>
      </c>
    </row>
    <row r="14">
      <c r="A14" t="inlineStr">
        <is>
          <t>HOLD → SELL</t>
        </is>
      </c>
      <c r="B14" s="14" t="n">
        <v>27.61459060928346</v>
      </c>
      <c r="C14" s="15" t="n">
        <v>19373.87145535372</v>
      </c>
      <c r="D14" s="16" t="n">
        <v>0.183144413422599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16" t="n">
        <v>0.2662432014886371</v>
      </c>
      <c r="D18" s="16" t="n">
        <v>0.1994931426521214</v>
      </c>
      <c r="E18" s="16" t="n">
        <v>0.2620176187134372</v>
      </c>
      <c r="F18" s="16" t="n"/>
      <c r="G18" s="16" t="n">
        <v>0</v>
      </c>
    </row>
    <row r="19">
      <c r="A19" t="inlineStr">
        <is>
          <t>Q2</t>
        </is>
      </c>
      <c r="B19" t="n">
        <v>7</v>
      </c>
      <c r="C19" s="16" t="n">
        <v>0.2562624052644633</v>
      </c>
      <c r="D19" s="16" t="n">
        <v>0.1708810140258157</v>
      </c>
      <c r="E19" s="16" t="n">
        <v>0.2105273557405587</v>
      </c>
      <c r="F19" s="16" t="n"/>
      <c r="G19" s="16" t="n">
        <v>0</v>
      </c>
    </row>
    <row r="20">
      <c r="A20" t="inlineStr">
        <is>
          <t>Q3</t>
        </is>
      </c>
      <c r="B20" t="n">
        <v>7</v>
      </c>
      <c r="C20" s="16" t="n">
        <v>0.003521828810183036</v>
      </c>
      <c r="D20" s="16" t="n">
        <v>0.1941157391430326</v>
      </c>
      <c r="E20" s="16" t="n">
        <v>0.1711753432147336</v>
      </c>
      <c r="F20" s="16" t="n"/>
      <c r="G20" s="16" t="n">
        <v>0</v>
      </c>
    </row>
    <row r="21">
      <c r="A21" t="inlineStr">
        <is>
          <t>Q4</t>
        </is>
      </c>
      <c r="B21" t="n">
        <v>7</v>
      </c>
      <c r="C21" s="16" t="n">
        <v>0.03356378290529483</v>
      </c>
      <c r="D21" s="16" t="n">
        <v>0.1330013384186792</v>
      </c>
      <c r="E21" s="16" t="n">
        <v>0.1100952663254819</v>
      </c>
      <c r="F21" s="16" t="n"/>
      <c r="G21" s="16" t="n">
        <v>0</v>
      </c>
    </row>
    <row r="22">
      <c r="A22" t="inlineStr">
        <is>
          <t>Q5 Most Expensive</t>
        </is>
      </c>
      <c r="B22" t="n">
        <v>8</v>
      </c>
      <c r="C22" s="16" t="n">
        <v>0.133962114272929</v>
      </c>
      <c r="D22" s="16" t="n">
        <v>0.2211051188007948</v>
      </c>
      <c r="E22" s="16" t="n">
        <v>0.1842961236465905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35</v>
      </c>
    </row>
    <row r="27">
      <c r="A27" s="2" t="inlineStr">
        <is>
          <t>Backtest start</t>
        </is>
      </c>
      <c r="B27" t="inlineStr">
        <is>
          <t>2017-12-31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7992.27</v>
      </c>
      <c r="C2" s="7" t="n">
        <v>36.87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8521.200000000001</v>
      </c>
      <c r="C3" s="7" t="n">
        <v>32.9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8768.450000000001</v>
      </c>
      <c r="C4" s="7" t="n">
        <v>31.45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8930.27</v>
      </c>
      <c r="C5" s="7" t="n">
        <v>30.66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9391.65</v>
      </c>
      <c r="C6" s="7" t="n">
        <v>27.46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9797.049999999999</v>
      </c>
      <c r="C7" s="7" t="n">
        <v>29.75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9819.549999999999</v>
      </c>
      <c r="C8" s="7" t="n">
        <v>28.48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9580.5</v>
      </c>
      <c r="C9" s="7" t="n">
        <v>26.19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9814.15</v>
      </c>
      <c r="C10" s="7" t="n">
        <v>26.94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9738.950000000001</v>
      </c>
      <c r="C11" s="7" t="n">
        <v>26.37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9253.5</v>
      </c>
      <c r="C12" s="7" t="n">
        <v>23.89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9650.200000000001</v>
      </c>
      <c r="C13" s="7" t="n">
        <v>24.82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9625.549999999999</v>
      </c>
      <c r="C14" s="7" t="n">
        <v>24.45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9183.549999999999</v>
      </c>
      <c r="C15" s="7" t="n">
        <v>22.01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8705.950000000001</v>
      </c>
      <c r="C16" s="7" t="n">
        <v>21.02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9607.299999999999</v>
      </c>
      <c r="C17" s="7" t="n">
        <v>22.66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10092.6</v>
      </c>
      <c r="C18" s="7" t="n">
        <v>23.74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9815.5</v>
      </c>
      <c r="C19" s="7" t="n">
        <v>22.9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10131.25</v>
      </c>
      <c r="C20" s="7" t="n">
        <v>23.19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10415.9</v>
      </c>
      <c r="C21" s="7" t="n">
        <v>24.72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10143.55</v>
      </c>
      <c r="C22" s="7" t="n">
        <v>24.28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9837.799999999999</v>
      </c>
      <c r="C23" s="7" t="n">
        <v>23.24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9615.6</v>
      </c>
      <c r="C24" s="7" t="n">
        <v>22.42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9618.9</v>
      </c>
      <c r="C25" s="7" t="n">
        <v>22.28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10070.35</v>
      </c>
      <c r="C26" s="7" t="n">
        <v>23.12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10508.1</v>
      </c>
      <c r="C27" s="7" t="n">
        <v>23.69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11023.85</v>
      </c>
      <c r="C28" s="7" t="n">
        <v>24.77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11495.15</v>
      </c>
      <c r="C29" s="7" t="n">
        <v>25.55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11587.05</v>
      </c>
      <c r="C30" s="7" t="n">
        <v>23.92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11877.5</v>
      </c>
      <c r="C31" s="7" t="n">
        <v>24.58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11487.45</v>
      </c>
      <c r="C32" s="7" t="n">
        <v>22.85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12389.8</v>
      </c>
      <c r="C33" s="7" t="n">
        <v>23.32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13347</v>
      </c>
      <c r="C34" s="7" t="n">
        <v>25.06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13703.45</v>
      </c>
      <c r="C35" s="7" t="n">
        <v>25.13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13826.85</v>
      </c>
      <c r="C36" s="7" t="n">
        <v>25.05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13921.1</v>
      </c>
      <c r="C37" s="7" t="n">
        <v>27.46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14520.25</v>
      </c>
      <c r="C38" s="7" t="n">
        <v>27.83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14708.6</v>
      </c>
      <c r="C39" s="7" t="n">
        <v>28.67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15756.45</v>
      </c>
      <c r="C40" s="7" t="n">
        <v>30.28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16466.25</v>
      </c>
      <c r="C41" s="7" t="n">
        <v>31.61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16568.95</v>
      </c>
      <c r="C42" s="7" t="n">
        <v>31.46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16910.05</v>
      </c>
      <c r="C43" s="7" t="n">
        <v>32.24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15790.55</v>
      </c>
      <c r="C44" s="7" t="n">
        <v>30.16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15800.2</v>
      </c>
      <c r="C45" s="7" t="n">
        <v>29.59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15714.8</v>
      </c>
      <c r="C46" s="7" t="n">
        <v>29.48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15092.3</v>
      </c>
      <c r="C47" s="7" t="n">
        <v>27.64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13805.6</v>
      </c>
      <c r="C48" s="7" t="n">
        <v>24.61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14821.1</v>
      </c>
      <c r="C49" s="7" t="n">
        <v>26.18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15355.15</v>
      </c>
      <c r="C50" s="7" t="n">
        <v>26.69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15994.95</v>
      </c>
      <c r="C51" s="7" t="n">
        <v>27.11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16572.25</v>
      </c>
      <c r="C52" s="7" t="n">
        <v>27.72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16095.25</v>
      </c>
      <c r="C53" s="7" t="n">
        <v>26.55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15745.15</v>
      </c>
      <c r="C54" s="7" t="n">
        <v>25.55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15946.5</v>
      </c>
      <c r="C55" s="7" t="n">
        <v>26.02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16666.75</v>
      </c>
      <c r="C56" s="7" t="n">
        <v>26.96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16915.1</v>
      </c>
      <c r="C57" s="7" t="n">
        <v>26.79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16854.95</v>
      </c>
      <c r="C58" s="7" t="n">
        <v>26.79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16309</v>
      </c>
      <c r="C59" s="7" t="n">
        <v>25.69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16442.55</v>
      </c>
      <c r="C60" s="7" t="n">
        <v>25.98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14574.5</v>
      </c>
      <c r="C61" s="7" t="n">
        <v>23.55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16181.9</v>
      </c>
      <c r="C62" s="7" t="n">
        <v>25.69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16304.65</v>
      </c>
      <c r="C63" s="7" t="n">
        <v>23.86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16476.35</v>
      </c>
      <c r="C64" s="7" t="n">
        <v>23.88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16796.85</v>
      </c>
      <c r="C65" s="7" t="n">
        <v>24.51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16858.65</v>
      </c>
      <c r="C66" s="7" t="n">
        <v>24.03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43100</v>
      </c>
      <c r="B2" s="6" t="n">
        <v>6145.35</v>
      </c>
      <c r="C2" s="7" t="n">
        <v>37.55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IF(C2="","",(COUNTIFS($D$2:$D$36,D2,$C$2:$C$36,"&gt;0",$C$2:$C$36,"&lt;"&amp;C2)+(COUNTIFS($D$2:$D$36,D2,$C$2:$C$36,C2)+1)/2)/COUNTIFS($D$2:$D$36,D2,$C$2:$C$36,"&gt;0"))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 t="n"/>
    </row>
    <row r="3">
      <c r="A3" s="18" t="n">
        <v>43190</v>
      </c>
      <c r="B3" s="6" t="n">
        <v>5705.9</v>
      </c>
      <c r="C3" s="7" t="n">
        <v>34.51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IF(C3="","",(COUNTIFS($D$2:$D$36,D3,$C$2:$C$36,"&gt;0",$C$2:$C$36,"&lt;"&amp;C3)+(COUNTIFS($D$2:$D$36,D3,$C$2:$C$36,C3)+1)/2)/COUNTIFS($D$2:$D$36,D3,$C$2:$C$36,"&gt;0"))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 t="n"/>
    </row>
    <row r="4">
      <c r="A4" s="18" t="n">
        <v>43281</v>
      </c>
      <c r="B4" s="6" t="n">
        <v>5768.36</v>
      </c>
      <c r="C4" s="7" t="n">
        <v>33.94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IF(C4="","",(COUNTIFS($D$2:$D$36,D4,$C$2:$C$36,"&gt;0",$C$2:$C$36,"&lt;"&amp;C4)+(COUNTIFS($D$2:$D$36,D4,$C$2:$C$36,C4)+1)/2)/COUNTIFS($D$2:$D$36,D4,$C$2:$C$36,"&gt;0"))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 t="n"/>
    </row>
    <row r="5">
      <c r="A5" s="18" t="n">
        <v>43373</v>
      </c>
      <c r="B5" s="6" t="n">
        <v>5667.51</v>
      </c>
      <c r="C5" s="7" t="n">
        <v>33.54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IF(C5="","",(COUNTIFS($D$2:$D$36,D5,$C$2:$C$36,"&gt;0",$C$2:$C$36,"&lt;"&amp;C5)+(COUNTIFS($D$2:$D$36,D5,$C$2:$C$36,C5)+1)/2)/COUNTIFS($D$2:$D$36,D5,$C$2:$C$36,"&gt;0"))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43465</v>
      </c>
      <c r="B6" s="6" t="n">
        <v>5763.86</v>
      </c>
      <c r="C6" s="7" t="n">
        <v>32.64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IF(C6="","",(COUNTIFS($D$2:$D$36,D6,$C$2:$C$36,"&gt;0",$C$2:$C$36,"&lt;"&amp;C6)+(COUNTIFS($D$2:$D$36,D6,$C$2:$C$36,C6)+1)/2)/COUNTIFS($D$2:$D$36,D6,$C$2:$C$36,"&gt;0"))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43555</v>
      </c>
      <c r="B7" s="6" t="n">
        <v>6011.71</v>
      </c>
      <c r="C7" s="7" t="n">
        <v>32.52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IF(C7="","",(COUNTIFS($D$2:$D$36,D7,$C$2:$C$36,"&gt;0",$C$2:$C$36,"&lt;"&amp;C7)+(COUNTIFS($D$2:$D$36,D7,$C$2:$C$36,C7)+1)/2)/COUNTIFS($D$2:$D$36,D7,$C$2:$C$36,"&gt;0"))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43646</v>
      </c>
      <c r="B8" s="6" t="n">
        <v>5960.89</v>
      </c>
      <c r="C8" s="7" t="n">
        <v>31.59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IF(C8="","",(COUNTIFS($D$2:$D$36,D8,$C$2:$C$36,"&gt;0",$C$2:$C$36,"&lt;"&amp;C8)+(COUNTIFS($D$2:$D$36,D8,$C$2:$C$36,C8)+1)/2)/COUNTIFS($D$2:$D$36,D8,$C$2:$C$36,"&gt;0"))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43738</v>
      </c>
      <c r="B9" s="6" t="n">
        <v>5687.47</v>
      </c>
      <c r="C9" s="7" t="n">
        <v>27.11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IF(C9="","",(COUNTIFS($D$2:$D$36,D9,$C$2:$C$36,"&gt;0",$C$2:$C$36,"&lt;"&amp;C9)+(COUNTIFS($D$2:$D$36,D9,$C$2:$C$36,C9)+1)/2)/COUNTIFS($D$2:$D$36,D9,$C$2:$C$36,"&gt;0"))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43830</v>
      </c>
      <c r="B10" s="6" t="n">
        <v>6045.55</v>
      </c>
      <c r="C10" s="7" t="n">
        <v>28.73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IF(C10="","",(COUNTIFS($D$2:$D$36,D10,$C$2:$C$36,"&gt;0",$C$2:$C$36,"&lt;"&amp;C10)+(COUNTIFS($D$2:$D$36,D10,$C$2:$C$36,C10)+1)/2)/COUNTIFS($D$2:$D$36,D10,$C$2:$C$36,"&gt;0"))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43921</v>
      </c>
      <c r="B11" s="6" t="n">
        <v>4304.47</v>
      </c>
      <c r="C11" s="7" t="n">
        <v>20.51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IF(C11="","",(COUNTIFS($D$2:$D$36,D11,$C$2:$C$36,"&gt;0",$C$2:$C$36,"&lt;"&amp;C11)+(COUNTIFS($D$2:$D$36,D11,$C$2:$C$36,C11)+1)/2)/COUNTIFS($D$2:$D$36,D11,$C$2:$C$36,"&gt;0"))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44012</v>
      </c>
      <c r="B12" s="6" t="n">
        <v>5276.28</v>
      </c>
      <c r="C12" s="7" t="n">
        <v>38.42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IF(C12="","",(COUNTIFS($D$2:$D$36,D12,$C$2:$C$36,"&gt;0",$C$2:$C$36,"&lt;"&amp;C12)+(COUNTIFS($D$2:$D$36,D12,$C$2:$C$36,C12)+1)/2)/COUNTIFS($D$2:$D$36,D12,$C$2:$C$36,"&gt;0"))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44104</v>
      </c>
      <c r="B13" s="6" t="n">
        <v>5902.99</v>
      </c>
      <c r="C13" s="7" t="n">
        <v>78.3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IF(C13="","",(COUNTIFS($D$2:$D$36,D13,$C$2:$C$36,"&gt;0",$C$2:$C$36,"&lt;"&amp;C13)+(COUNTIFS($D$2:$D$36,D13,$C$2:$C$36,C13)+1)/2)/COUNTIFS($D$2:$D$36,D13,$C$2:$C$36,"&gt;0"))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44196</v>
      </c>
      <c r="B14" s="6" t="n">
        <v>7234.79</v>
      </c>
      <c r="C14" s="7" t="n">
        <v>60.9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IF(C14="","",(COUNTIFS($D$2:$D$36,D14,$C$2:$C$36,"&gt;0",$C$2:$C$36,"&lt;"&amp;C14)+(COUNTIFS($D$2:$D$36,D14,$C$2:$C$36,C14)+1)/2)/COUNTIFS($D$2:$D$36,D14,$C$2:$C$36,"&gt;0"))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44286</v>
      </c>
      <c r="B15" s="6" t="n">
        <v>7935.05</v>
      </c>
      <c r="C15" s="7" t="n">
        <v>37.22</v>
      </c>
      <c r="D15" s="2" t="inlineStr">
        <is>
          <t>Consolidated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IF(C15="","",(COUNTIFS($D$2:$D$36,D15,$C$2:$C$36,"&gt;0",$C$2:$C$36,"&lt;"&amp;C15)+(COUNTIFS($D$2:$D$36,D15,$C$2:$C$36,C15)+1)/2)/COUNTIFS($D$2:$D$36,D15,$C$2:$C$36,"&gt;0"))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44377</v>
      </c>
      <c r="B16" s="6" t="n">
        <v>8768.450000000001</v>
      </c>
      <c r="C16" s="7" t="n">
        <v>31.45</v>
      </c>
      <c r="D16" s="2" t="inlineStr">
        <is>
          <t>Consolidated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IF(C16="","",(COUNTIFS($D$2:$D$36,D16,$C$2:$C$36,"&gt;0",$C$2:$C$36,"&lt;"&amp;C16)+(COUNTIFS($D$2:$D$36,D16,$C$2:$C$36,C16)+1)/2)/COUNTIFS($D$2:$D$36,D16,$C$2:$C$36,"&gt;0"))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44469</v>
      </c>
      <c r="B17" s="6" t="n">
        <v>9797.049999999999</v>
      </c>
      <c r="C17" s="7" t="n">
        <v>29.75</v>
      </c>
      <c r="D17" s="2" t="inlineStr">
        <is>
          <t>Consolidated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IF(C17="","",(COUNTIFS($D$2:$D$36,D17,$C$2:$C$36,"&gt;0",$C$2:$C$36,"&lt;"&amp;C17)+(COUNTIFS($D$2:$D$36,D17,$C$2:$C$36,C17)+1)/2)/COUNTIFS($D$2:$D$36,D17,$C$2:$C$36,"&gt;0"))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 t="n"/>
      <c r="L17" s="16" t="n"/>
    </row>
    <row r="18">
      <c r="A18" s="18" t="n">
        <v>44561</v>
      </c>
      <c r="B18" s="6" t="n">
        <v>9814.15</v>
      </c>
      <c r="C18" s="7" t="n">
        <v>26.94</v>
      </c>
      <c r="D18" s="2" t="inlineStr">
        <is>
          <t>Consolidated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IF(C18="","",(COUNTIFS($D$2:$D$36,D18,$C$2:$C$36,"&gt;0",$C$2:$C$36,"&lt;"&amp;C18)+(COUNTIFS($D$2:$D$36,D18,$C$2:$C$36,C18)+1)/2)/COUNTIFS($D$2:$D$36,D18,$C$2:$C$36,"&gt;0"))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 t="n"/>
      <c r="L18" s="16" t="n"/>
    </row>
    <row r="19">
      <c r="A19" s="18" t="n">
        <v>44651</v>
      </c>
      <c r="B19" s="6" t="n">
        <v>9650.200000000001</v>
      </c>
      <c r="C19" s="7" t="n">
        <v>24.82</v>
      </c>
      <c r="D19" s="2" t="inlineStr">
        <is>
          <t>Consolidated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IF(C19="","",(COUNTIFS($D$2:$D$36,D19,$C$2:$C$36,"&gt;0",$C$2:$C$36,"&lt;"&amp;C19)+(COUNTIFS($D$2:$D$36,D19,$C$2:$C$36,C19)+1)/2)/COUNTIFS($D$2:$D$36,D19,$C$2:$C$36,"&gt;0"))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 t="n"/>
      <c r="L19" s="16" t="n"/>
    </row>
    <row r="20">
      <c r="A20" s="18" t="n">
        <v>44742</v>
      </c>
      <c r="B20" s="6" t="n">
        <v>8705.950000000001</v>
      </c>
      <c r="C20" s="7" t="n">
        <v>21.02</v>
      </c>
      <c r="D20" s="2" t="inlineStr">
        <is>
          <t>Consolidated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IF(C20="","",(COUNTIFS($D$2:$D$36,D20,$C$2:$C$36,"&gt;0",$C$2:$C$36,"&lt;"&amp;C20)+(COUNTIFS($D$2:$D$36,D20,$C$2:$C$36,C20)+1)/2)/COUNTIFS($D$2:$D$36,D20,$C$2:$C$36,"&gt;0"))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 t="n"/>
      <c r="L20" s="16" t="n"/>
    </row>
    <row r="21">
      <c r="A21" s="18" t="n">
        <v>44834</v>
      </c>
      <c r="B21" s="6" t="n">
        <v>9815.5</v>
      </c>
      <c r="C21" s="7" t="n">
        <v>22.9</v>
      </c>
      <c r="D21" s="2" t="inlineStr">
        <is>
          <t>Consolidated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IF(C21="","",(COUNTIFS($D$2:$D$36,D21,$C$2:$C$36,"&gt;0",$C$2:$C$36,"&lt;"&amp;C21)+(COUNTIFS($D$2:$D$36,D21,$C$2:$C$36,C21)+1)/2)/COUNTIFS($D$2:$D$36,D21,$C$2:$C$36,"&gt;0"))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 t="n"/>
      <c r="L21" s="16" t="n"/>
    </row>
    <row r="22">
      <c r="A22" s="18" t="n">
        <v>44926</v>
      </c>
      <c r="B22" s="6" t="n">
        <v>10143.55</v>
      </c>
      <c r="C22" s="7" t="n">
        <v>24.28</v>
      </c>
      <c r="D22" s="2" t="inlineStr">
        <is>
          <t>Consolidated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IF(C22="","",(COUNTIFS($D$2:$D$36,D22,$C$2:$C$36,"&gt;0",$C$2:$C$36,"&lt;"&amp;C22)+(COUNTIFS($D$2:$D$36,D22,$C$2:$C$36,C22)+1)/2)/COUNTIFS($D$2:$D$36,D22,$C$2:$C$36,"&gt;0"))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 t="n"/>
      <c r="L22" s="16" t="n"/>
    </row>
    <row r="23">
      <c r="A23" s="18" t="n">
        <v>45016</v>
      </c>
      <c r="B23" s="6" t="n">
        <v>9618.9</v>
      </c>
      <c r="C23" s="7" t="n">
        <v>22.28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IF(C23="","",(COUNTIFS($D$2:$D$36,D23,$C$2:$C$36,"&gt;0",$C$2:$C$36,"&lt;"&amp;C23)+(COUNTIFS($D$2:$D$36,D23,$C$2:$C$36,C23)+1)/2)/COUNTIFS($D$2:$D$36,D23,$C$2:$C$36,"&gt;0"))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 t="n"/>
      <c r="L23" s="16" t="n"/>
    </row>
    <row r="24">
      <c r="A24" s="18" t="n">
        <v>45107</v>
      </c>
      <c r="B24" s="6" t="n">
        <v>11023.85</v>
      </c>
      <c r="C24" s="7" t="n">
        <v>24.77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IF(C24="","",(COUNTIFS($D$2:$D$36,D24,$C$2:$C$36,"&gt;0",$C$2:$C$36,"&lt;"&amp;C24)+(COUNTIFS($D$2:$D$36,D24,$C$2:$C$36,C24)+1)/2)/COUNTIFS($D$2:$D$36,D24,$C$2:$C$36,"&gt;0"))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 t="n"/>
      <c r="L24" s="16" t="n"/>
    </row>
    <row r="25">
      <c r="A25" s="18" t="n">
        <v>45199</v>
      </c>
      <c r="B25" s="6" t="n">
        <v>11877.5</v>
      </c>
      <c r="C25" s="7" t="n">
        <v>24.58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IF(C25="","",(COUNTIFS($D$2:$D$36,D25,$C$2:$C$36,"&gt;0",$C$2:$C$36,"&lt;"&amp;C25)+(COUNTIFS($D$2:$D$36,D25,$C$2:$C$36,C25)+1)/2)/COUNTIFS($D$2:$D$36,D25,$C$2:$C$36,"&gt;0"))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 t="n"/>
      <c r="K25" s="16" t="n"/>
      <c r="L25" s="16" t="n"/>
    </row>
    <row r="26">
      <c r="A26" s="18" t="n">
        <v>45291</v>
      </c>
      <c r="B26" s="6" t="n">
        <v>13347</v>
      </c>
      <c r="C26" s="7" t="n">
        <v>25.06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IF(C26="","",(COUNTIFS($D$2:$D$36,D26,$C$2:$C$36,"&gt;0",$C$2:$C$36,"&lt;"&amp;C26)+(COUNTIFS($D$2:$D$36,D26,$C$2:$C$36,C26)+1)/2)/COUNTIFS($D$2:$D$36,D26,$C$2:$C$36,"&gt;0"))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 t="n"/>
      <c r="K26" s="16" t="n"/>
      <c r="L26" s="16" t="n"/>
    </row>
    <row r="27">
      <c r="A27" s="18" t="n">
        <v>45382</v>
      </c>
      <c r="B27" s="6" t="n">
        <v>13921.1</v>
      </c>
      <c r="C27" s="7" t="n">
        <v>27.46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IF(C27="","",(COUNTIFS($D$2:$D$36,D27,$C$2:$C$36,"&gt;0",$C$2:$C$36,"&lt;"&amp;C27)+(COUNTIFS($D$2:$D$36,D27,$C$2:$C$36,C27)+1)/2)/COUNTIFS($D$2:$D$36,D27,$C$2:$C$36,"&gt;0"))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 t="n"/>
      <c r="K27" s="16" t="n"/>
      <c r="L27" s="16" t="n"/>
    </row>
    <row r="28">
      <c r="A28" s="18" t="n">
        <v>45473</v>
      </c>
      <c r="B28" s="6" t="n">
        <v>15756.45</v>
      </c>
      <c r="C28" s="7" t="n">
        <v>30.28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IF(C28="","",(COUNTIFS($D$2:$D$36,D28,$C$2:$C$36,"&gt;0",$C$2:$C$36,"&lt;"&amp;C28)+(COUNTIFS($D$2:$D$36,D28,$C$2:$C$36,C28)+1)/2)/COUNTIFS($D$2:$D$36,D28,$C$2:$C$36,"&gt;0"))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 t="n"/>
      <c r="K28" s="16" t="n"/>
      <c r="L28" s="16" t="n"/>
    </row>
    <row r="29">
      <c r="A29" s="18" t="n">
        <v>45565</v>
      </c>
      <c r="B29" s="6" t="n">
        <v>16910.05</v>
      </c>
      <c r="C29" s="7" t="n">
        <v>32.24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IF(C29="","",(COUNTIFS($D$2:$D$36,D29,$C$2:$C$36,"&gt;0",$C$2:$C$36,"&lt;"&amp;C29)+(COUNTIFS($D$2:$D$36,D29,$C$2:$C$36,C29)+1)/2)/COUNTIFS($D$2:$D$36,D29,$C$2:$C$36,"&gt;0"))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 t="n"/>
      <c r="K29" s="16" t="n"/>
      <c r="L29" s="16" t="n"/>
    </row>
    <row r="30">
      <c r="A30" s="18" t="n">
        <v>45657</v>
      </c>
      <c r="B30" s="6" t="n">
        <v>15714.8</v>
      </c>
      <c r="C30" s="7" t="n">
        <v>29.48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IF(C30="","",(COUNTIFS($D$2:$D$36,D30,$C$2:$C$36,"&gt;0",$C$2:$C$36,"&lt;"&amp;C30)+(COUNTIFS($D$2:$D$36,D30,$C$2:$C$36,C30)+1)/2)/COUNTIFS($D$2:$D$36,D30,$C$2:$C$36,"&gt;0"))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 t="n"/>
      <c r="K30" s="16" t="n"/>
      <c r="L30" s="16" t="n"/>
    </row>
    <row r="31">
      <c r="A31" s="18" t="n">
        <v>45747</v>
      </c>
      <c r="B31" s="6" t="n">
        <v>14821.1</v>
      </c>
      <c r="C31" s="7" t="n">
        <v>26.18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IF(C31="","",(COUNTIFS($D$2:$D$36,D31,$C$2:$C$36,"&gt;0",$C$2:$C$36,"&lt;"&amp;C31)+(COUNTIFS($D$2:$D$36,D31,$C$2:$C$36,C31)+1)/2)/COUNTIFS($D$2:$D$36,D31,$C$2:$C$36,"&gt;0"))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 t="n"/>
      <c r="K31" s="16" t="n"/>
      <c r="L31" s="16" t="n"/>
    </row>
    <row r="32">
      <c r="A32" s="18" t="n">
        <v>45838</v>
      </c>
      <c r="B32" s="6" t="n">
        <v>16572.25</v>
      </c>
      <c r="C32" s="7" t="n">
        <v>27.72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IF(C32="","",(COUNTIFS($D$2:$D$36,D32,$C$2:$C$36,"&gt;0",$C$2:$C$36,"&lt;"&amp;C32)+(COUNTIFS($D$2:$D$36,D32,$C$2:$C$36,C32)+1)/2)/COUNTIFS($D$2:$D$36,D32,$C$2:$C$36,"&gt;0"))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 t="n"/>
      <c r="K32" s="16" t="n"/>
      <c r="L32" s="16" t="n"/>
    </row>
    <row r="33">
      <c r="A33" s="18" t="n">
        <v>45930</v>
      </c>
      <c r="B33" s="6" t="n">
        <v>15946.5</v>
      </c>
      <c r="C33" s="7" t="n">
        <v>26.02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IF(C33="","",(COUNTIFS($D$2:$D$36,D33,$C$2:$C$36,"&gt;0",$C$2:$C$36,"&lt;"&amp;C33)+(COUNTIFS($D$2:$D$36,D33,$C$2:$C$36,C33)+1)/2)/COUNTIFS($D$2:$D$36,D33,$C$2:$C$36,"&gt;0"))</f>
        <v/>
      </c>
      <c r="H33">
        <f>IF(G33="","",IF(G33&lt;=20%,"Q1 Cheapest",IF(G33&lt;=40%,"Q2",IF(G33&lt;=60%,"Q3",IF(G33&lt;=80%,"Q4","Q5 Most Expensive")))))</f>
        <v/>
      </c>
      <c r="I33" s="16" t="n"/>
      <c r="J33" s="16" t="n"/>
      <c r="K33" s="16" t="n"/>
      <c r="L33" s="16" t="n"/>
    </row>
    <row r="34">
      <c r="A34" s="18" t="n">
        <v>46022</v>
      </c>
      <c r="B34" s="6" t="n">
        <v>16854.95</v>
      </c>
      <c r="C34" s="7" t="n">
        <v>26.79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IF(C34="","",(COUNTIFS($D$2:$D$36,D34,$C$2:$C$36,"&gt;0",$C$2:$C$36,"&lt;"&amp;C34)+(COUNTIFS($D$2:$D$36,D34,$C$2:$C$36,C34)+1)/2)/COUNTIFS($D$2:$D$36,D34,$C$2:$C$36,"&gt;0"))</f>
        <v/>
      </c>
      <c r="H34">
        <f>IF(G34="","",IF(G34&lt;=20%,"Q1 Cheapest",IF(G34&lt;=40%,"Q2",IF(G34&lt;=60%,"Q3",IF(G34&lt;=80%,"Q4","Q5 Most Expensive")))))</f>
        <v/>
      </c>
      <c r="I34" s="16" t="n"/>
      <c r="J34" s="16" t="n"/>
      <c r="K34" s="16" t="n"/>
      <c r="L34" s="16" t="n"/>
    </row>
    <row r="35">
      <c r="A35" s="18" t="n">
        <v>46112</v>
      </c>
      <c r="B35" s="6" t="n">
        <v>14574.5</v>
      </c>
      <c r="C35" s="7" t="n">
        <v>23.55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IF(C35="","",(COUNTIFS($D$2:$D$36,D35,$C$2:$C$36,"&gt;0",$C$2:$C$36,"&lt;"&amp;C35)+(COUNTIFS($D$2:$D$36,D35,$C$2:$C$36,C35)+1)/2)/COUNTIFS($D$2:$D$36,D35,$C$2:$C$36,"&gt;0"))</f>
        <v/>
      </c>
      <c r="H35">
        <f>IF(G35="","",IF(G35&lt;=20%,"Q1 Cheapest",IF(G35&lt;=40%,"Q2",IF(G35&lt;=60%,"Q3",IF(G35&lt;=80%,"Q4","Q5 Most Expensive")))))</f>
        <v/>
      </c>
      <c r="I35" s="16" t="n"/>
      <c r="J35" s="16" t="n"/>
      <c r="K35" s="16" t="n"/>
      <c r="L35" s="16" t="n"/>
    </row>
    <row r="36">
      <c r="A36" s="18" t="n">
        <v>46203</v>
      </c>
      <c r="B36" s="6" t="n">
        <v>16476.35</v>
      </c>
      <c r="C36" s="7" t="n">
        <v>23.88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IF(C36="","",(COUNTIFS($D$2:$D$36,D36,$C$2:$C$36,"&gt;0",$C$2:$C$36,"&lt;"&amp;C36)+(COUNTIFS($D$2:$D$36,D36,$C$2:$C$36,C36)+1)/2)/COUNTIFS($D$2:$D$36,D36,$C$2:$C$36,"&gt;0"))</f>
        <v/>
      </c>
      <c r="H36">
        <f>IF(G36="","",IF(G36&lt;=20%,"Q1 Cheapest",IF(G36&lt;=40%,"Q2",IF(G36&lt;=60%,"Q3",IF(G36&lt;=80%,"Q4","Q5 Most Expensive")))))</f>
        <v/>
      </c>
      <c r="I36" s="16" t="n"/>
      <c r="J36" s="16" t="n"/>
      <c r="K36" s="16" t="n"/>
      <c r="L36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16385.6</v>
      </c>
      <c r="C2" s="7" t="n">
        <v>23.35</v>
      </c>
      <c r="D2" s="8" t="n">
        <v>0.174242424242</v>
      </c>
      <c r="E2" s="8" t="n">
        <v>0.138831853487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  <row r="3">
      <c r="A3" s="18" t="n">
        <v>46286</v>
      </c>
      <c r="B3" s="6" t="n">
        <v>16374.9</v>
      </c>
      <c r="C3" s="7" t="n">
        <v>23.34</v>
      </c>
      <c r="D3" s="8" t="n">
        <v>0.174242424242</v>
      </c>
      <c r="E3" s="8" t="n">
        <v>0.138476739779</v>
      </c>
      <c r="F3" s="22">
        <f>IF(D3="","",100*(1-D3))</f>
        <v/>
      </c>
      <c r="G3" s="22">
        <f>IF(E3="","",IF(E3&lt;=0,20,IF(E3&lt;5%,20+400*E3,IF(E3&lt;10%,40+400*(E3-5%),IF(E3&lt;15%,60+400*(E3-10%),IF(E3&lt;25%,80+200*(E3-15%),100))))))</f>
        <v/>
      </c>
      <c r="H3" s="22">
        <f>IF(OR(F3="",G3=""),"",70%*F3+30%*G3)</f>
        <v/>
      </c>
      <c r="I3">
        <f>IF(H3="","",IF(H3&gt;=70,"BUY",IF(H3&gt;=40,"HOLD","SELL")))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2026-09-22T09:28:55Z</dcterms:created>
  <dcterms:modified xsi:type="dcterms:W3CDTF">2026-09-22T09:28:55Z</dcterms:modified>
</cp:coreProperties>
</file>