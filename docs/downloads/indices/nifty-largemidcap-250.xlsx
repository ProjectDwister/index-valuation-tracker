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LargeMidcap 250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16334.35</v>
      </c>
      <c r="D5" s="2" t="inlineStr">
        <is>
          <t>P/E</t>
        </is>
      </c>
      <c r="E5" s="25" t="n">
        <v>23.28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701.6473367697595</v>
      </c>
    </row>
    <row r="7">
      <c r="A7" s="2" t="inlineStr">
        <is>
          <t>YoY implied EPS growth</t>
        </is>
      </c>
      <c r="B7" s="26" t="n">
        <v>0.1386849609214822</v>
      </c>
      <c r="D7" s="2" t="inlineStr">
        <is>
          <t>Earnings yield</t>
        </is>
      </c>
      <c r="E7" s="10" t="n">
        <v>0.0429553264604811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75.47398436859288</v>
      </c>
    </row>
    <row r="9">
      <c r="A9" s="2" t="inlineStr">
        <is>
          <t>Composite score</t>
        </is>
      </c>
      <c r="B9" s="28" t="n">
        <v>81.50583167421422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24.4514937387322</v>
      </c>
      <c r="C13" s="15" t="n">
        <v>17156.32546182389</v>
      </c>
      <c r="D13" s="30" t="n">
        <v>0.05032189599365089</v>
      </c>
    </row>
    <row r="14">
      <c r="A14" t="inlineStr">
        <is>
          <t>HOLD → SELL</t>
        </is>
      </c>
      <c r="B14" s="29" t="n">
        <v>27.6187669304823</v>
      </c>
      <c r="C14" s="15" t="n">
        <v>19378.63426163761</v>
      </c>
      <c r="D14" s="30" t="n">
        <v>0.1863731499348069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0.2662432014886371</v>
      </c>
      <c r="D18" s="30" t="n">
        <v>0.1994931426521214</v>
      </c>
      <c r="E18" s="30" t="n">
        <v>0.2620176187134372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0.2562624052644633</v>
      </c>
      <c r="D19" s="30" t="n">
        <v>0.1708810140258157</v>
      </c>
      <c r="E19" s="30" t="n">
        <v>0.2105273557405587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0.003521828810183036</v>
      </c>
      <c r="D20" s="30" t="n">
        <v>0.1941157391430326</v>
      </c>
      <c r="E20" s="30" t="n">
        <v>0.1711753432147336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0.03356378290529483</v>
      </c>
      <c r="D21" s="30" t="n">
        <v>0.1330013384186792</v>
      </c>
      <c r="E21" s="30" t="n">
        <v>0.1100952663254819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0.133962114272929</v>
      </c>
      <c r="D22" s="30" t="n">
        <v>0.2211051188007948</v>
      </c>
      <c r="E22" s="30" t="n">
        <v>0.1842961236465905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7992.27</v>
      </c>
      <c r="C2" s="25" t="n">
        <v>36.87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8521.200000000001</v>
      </c>
      <c r="C3" s="25" t="n">
        <v>32.9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8768.450000000001</v>
      </c>
      <c r="C4" s="25" t="n">
        <v>31.45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8930.27</v>
      </c>
      <c r="C5" s="25" t="n">
        <v>30.66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9391.65</v>
      </c>
      <c r="C6" s="25" t="n">
        <v>27.46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9797.049999999999</v>
      </c>
      <c r="C7" s="25" t="n">
        <v>29.75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9819.549999999999</v>
      </c>
      <c r="C8" s="25" t="n">
        <v>28.48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9580.5</v>
      </c>
      <c r="C9" s="25" t="n">
        <v>26.19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9814.15</v>
      </c>
      <c r="C10" s="25" t="n">
        <v>26.94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9738.950000000001</v>
      </c>
      <c r="C11" s="25" t="n">
        <v>26.37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9253.5</v>
      </c>
      <c r="C12" s="25" t="n">
        <v>23.89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9650.200000000001</v>
      </c>
      <c r="C13" s="25" t="n">
        <v>24.82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9625.549999999999</v>
      </c>
      <c r="C14" s="25" t="n">
        <v>24.45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9183.549999999999</v>
      </c>
      <c r="C15" s="25" t="n">
        <v>22.01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8705.950000000001</v>
      </c>
      <c r="C16" s="25" t="n">
        <v>21.02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9607.299999999999</v>
      </c>
      <c r="C17" s="25" t="n">
        <v>22.66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10092.6</v>
      </c>
      <c r="C18" s="25" t="n">
        <v>23.74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9815.5</v>
      </c>
      <c r="C19" s="25" t="n">
        <v>22.9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10131.25</v>
      </c>
      <c r="C20" s="25" t="n">
        <v>23.19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10415.9</v>
      </c>
      <c r="C21" s="25" t="n">
        <v>24.72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10143.55</v>
      </c>
      <c r="C22" s="25" t="n">
        <v>24.28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9837.799999999999</v>
      </c>
      <c r="C23" s="25" t="n">
        <v>23.24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9615.6</v>
      </c>
      <c r="C24" s="25" t="n">
        <v>22.42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9618.9</v>
      </c>
      <c r="C25" s="25" t="n">
        <v>22.28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10070.35</v>
      </c>
      <c r="C26" s="25" t="n">
        <v>23.12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10508.1</v>
      </c>
      <c r="C27" s="25" t="n">
        <v>23.69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11023.85</v>
      </c>
      <c r="C28" s="25" t="n">
        <v>24.77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11495.15</v>
      </c>
      <c r="C29" s="25" t="n">
        <v>25.55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11587.05</v>
      </c>
      <c r="C30" s="25" t="n">
        <v>23.92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11877.5</v>
      </c>
      <c r="C31" s="25" t="n">
        <v>24.58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11487.45</v>
      </c>
      <c r="C32" s="25" t="n">
        <v>22.85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12389.8</v>
      </c>
      <c r="C33" s="25" t="n">
        <v>23.32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13347</v>
      </c>
      <c r="C34" s="25" t="n">
        <v>25.06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13703.45</v>
      </c>
      <c r="C35" s="25" t="n">
        <v>25.13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13826.85</v>
      </c>
      <c r="C36" s="25" t="n">
        <v>25.05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13921.1</v>
      </c>
      <c r="C37" s="25" t="n">
        <v>27.46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14520.25</v>
      </c>
      <c r="C38" s="25" t="n">
        <v>27.83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14708.6</v>
      </c>
      <c r="C39" s="25" t="n">
        <v>28.67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15756.45</v>
      </c>
      <c r="C40" s="25" t="n">
        <v>30.28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16466.25</v>
      </c>
      <c r="C41" s="25" t="n">
        <v>31.61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16568.95</v>
      </c>
      <c r="C42" s="25" t="n">
        <v>31.46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16910.05</v>
      </c>
      <c r="C43" s="25" t="n">
        <v>32.24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15790.55</v>
      </c>
      <c r="C44" s="25" t="n">
        <v>30.16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15800.2</v>
      </c>
      <c r="C45" s="25" t="n">
        <v>29.59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15714.8</v>
      </c>
      <c r="C46" s="25" t="n">
        <v>29.48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15092.3</v>
      </c>
      <c r="C47" s="25" t="n">
        <v>27.64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13805.6</v>
      </c>
      <c r="C48" s="25" t="n">
        <v>24.61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14821.1</v>
      </c>
      <c r="C49" s="25" t="n">
        <v>26.18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15355.15</v>
      </c>
      <c r="C50" s="25" t="n">
        <v>26.69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15994.95</v>
      </c>
      <c r="C51" s="25" t="n">
        <v>27.11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16572.25</v>
      </c>
      <c r="C52" s="25" t="n">
        <v>27.72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16095.25</v>
      </c>
      <c r="C53" s="25" t="n">
        <v>26.55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15745.15</v>
      </c>
      <c r="C54" s="25" t="n">
        <v>25.55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15946.5</v>
      </c>
      <c r="C55" s="25" t="n">
        <v>26.02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16666.75</v>
      </c>
      <c r="C56" s="25" t="n">
        <v>26.96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16915.1</v>
      </c>
      <c r="C57" s="25" t="n">
        <v>26.79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16854.95</v>
      </c>
      <c r="C58" s="25" t="n">
        <v>26.79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16309</v>
      </c>
      <c r="C59" s="25" t="n">
        <v>25.69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16442.55</v>
      </c>
      <c r="C60" s="25" t="n">
        <v>25.98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14574.5</v>
      </c>
      <c r="C61" s="25" t="n">
        <v>23.55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16181.9</v>
      </c>
      <c r="C62" s="25" t="n">
        <v>25.69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16304.65</v>
      </c>
      <c r="C63" s="25" t="n">
        <v>23.86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16476.35</v>
      </c>
      <c r="C64" s="25" t="n">
        <v>23.88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16796.85</v>
      </c>
      <c r="C65" s="25" t="n">
        <v>24.51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16858.65</v>
      </c>
      <c r="C66" s="25" t="n">
        <v>24.03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6145.35</v>
      </c>
      <c r="C2" s="25" t="n">
        <v>37.55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IF(C2="","",(COUNTIFS($D$2:$D$36,D2,$C$2:$C$36,"&gt;0",$C$2:$C$36,"&lt;"&amp;C2)+(COUNTIFS($D$2:$D$36,D2,$C$2:$C$36,C2)+1)/2)/COUNTIFS($D$2:$D$36,D2,$C$2:$C$36,"&gt;0"))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5705.9</v>
      </c>
      <c r="C3" s="25" t="n">
        <v>34.51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IF(C3="","",(COUNTIFS($D$2:$D$36,D3,$C$2:$C$36,"&gt;0",$C$2:$C$36,"&lt;"&amp;C3)+(COUNTIFS($D$2:$D$36,D3,$C$2:$C$36,C3)+1)/2)/COUNTIFS($D$2:$D$36,D3,$C$2:$C$36,"&gt;0"))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5768.36</v>
      </c>
      <c r="C4" s="25" t="n">
        <v>33.94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IF(C4="","",(COUNTIFS($D$2:$D$36,D4,$C$2:$C$36,"&gt;0",$C$2:$C$36,"&lt;"&amp;C4)+(COUNTIFS($D$2:$D$36,D4,$C$2:$C$36,C4)+1)/2)/COUNTIFS($D$2:$D$36,D4,$C$2:$C$36,"&gt;0"))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5667.51</v>
      </c>
      <c r="C5" s="25" t="n">
        <v>33.54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IF(C5="","",(COUNTIFS($D$2:$D$36,D5,$C$2:$C$36,"&gt;0",$C$2:$C$36,"&lt;"&amp;C5)+(COUNTIFS($D$2:$D$36,D5,$C$2:$C$36,C5)+1)/2)/COUNTIFS($D$2:$D$36,D5,$C$2:$C$36,"&gt;0"))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5763.86</v>
      </c>
      <c r="C6" s="25" t="n">
        <v>32.64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IF(C6="","",(COUNTIFS($D$2:$D$36,D6,$C$2:$C$36,"&gt;0",$C$2:$C$36,"&lt;"&amp;C6)+(COUNTIFS($D$2:$D$36,D6,$C$2:$C$36,C6)+1)/2)/COUNTIFS($D$2:$D$36,D6,$C$2:$C$36,"&gt;0"))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6011.71</v>
      </c>
      <c r="C7" s="25" t="n">
        <v>32.52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IF(C7="","",(COUNTIFS($D$2:$D$36,D7,$C$2:$C$36,"&gt;0",$C$2:$C$36,"&lt;"&amp;C7)+(COUNTIFS($D$2:$D$36,D7,$C$2:$C$36,C7)+1)/2)/COUNTIFS($D$2:$D$36,D7,$C$2:$C$36,"&gt;0"))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5960.89</v>
      </c>
      <c r="C8" s="25" t="n">
        <v>31.59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IF(C8="","",(COUNTIFS($D$2:$D$36,D8,$C$2:$C$36,"&gt;0",$C$2:$C$36,"&lt;"&amp;C8)+(COUNTIFS($D$2:$D$36,D8,$C$2:$C$36,C8)+1)/2)/COUNTIFS($D$2:$D$36,D8,$C$2:$C$36,"&gt;0"))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5687.47</v>
      </c>
      <c r="C9" s="25" t="n">
        <v>27.11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IF(C9="","",(COUNTIFS($D$2:$D$36,D9,$C$2:$C$36,"&gt;0",$C$2:$C$36,"&lt;"&amp;C9)+(COUNTIFS($D$2:$D$36,D9,$C$2:$C$36,C9)+1)/2)/COUNTIFS($D$2:$D$36,D9,$C$2:$C$36,"&gt;0"))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6045.55</v>
      </c>
      <c r="C10" s="25" t="n">
        <v>28.73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IF(C10="","",(COUNTIFS($D$2:$D$36,D10,$C$2:$C$36,"&gt;0",$C$2:$C$36,"&lt;"&amp;C10)+(COUNTIFS($D$2:$D$36,D10,$C$2:$C$36,C10)+1)/2)/COUNTIFS($D$2:$D$36,D10,$C$2:$C$36,"&gt;0"))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4304.47</v>
      </c>
      <c r="C11" s="25" t="n">
        <v>20.51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IF(C11="","",(COUNTIFS($D$2:$D$36,D11,$C$2:$C$36,"&gt;0",$C$2:$C$36,"&lt;"&amp;C11)+(COUNTIFS($D$2:$D$36,D11,$C$2:$C$36,C11)+1)/2)/COUNTIFS($D$2:$D$36,D11,$C$2:$C$36,"&gt;0"))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5276.28</v>
      </c>
      <c r="C12" s="25" t="n">
        <v>38.42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IF(C12="","",(COUNTIFS($D$2:$D$36,D12,$C$2:$C$36,"&gt;0",$C$2:$C$36,"&lt;"&amp;C12)+(COUNTIFS($D$2:$D$36,D12,$C$2:$C$36,C12)+1)/2)/COUNTIFS($D$2:$D$36,D12,$C$2:$C$36,"&gt;0"))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5902.99</v>
      </c>
      <c r="C13" s="25" t="n">
        <v>78.3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IF(C13="","",(COUNTIFS($D$2:$D$36,D13,$C$2:$C$36,"&gt;0",$C$2:$C$36,"&lt;"&amp;C13)+(COUNTIFS($D$2:$D$36,D13,$C$2:$C$36,C13)+1)/2)/COUNTIFS($D$2:$D$36,D13,$C$2:$C$36,"&gt;0"))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7234.79</v>
      </c>
      <c r="C14" s="25" t="n">
        <v>60.9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IF(C14="","",(COUNTIFS($D$2:$D$36,D14,$C$2:$C$36,"&gt;0",$C$2:$C$36,"&lt;"&amp;C14)+(COUNTIFS($D$2:$D$36,D14,$C$2:$C$36,C14)+1)/2)/COUNTIFS($D$2:$D$36,D14,$C$2:$C$36,"&gt;0"))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7935.05</v>
      </c>
      <c r="C15" s="25" t="n">
        <v>37.22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IF(C15="","",(COUNTIFS($D$2:$D$36,D15,$C$2:$C$36,"&gt;0",$C$2:$C$36,"&lt;"&amp;C15)+(COUNTIFS($D$2:$D$36,D15,$C$2:$C$36,C15)+1)/2)/COUNTIFS($D$2:$D$36,D15,$C$2:$C$36,"&gt;0"))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8768.450000000001</v>
      </c>
      <c r="C16" s="25" t="n">
        <v>31.45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IF(C16="","",(COUNTIFS($D$2:$D$36,D16,$C$2:$C$36,"&gt;0",$C$2:$C$36,"&lt;"&amp;C16)+(COUNTIFS($D$2:$D$36,D16,$C$2:$C$36,C16)+1)/2)/COUNTIFS($D$2:$D$36,D16,$C$2:$C$36,"&gt;0"))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9797.049999999999</v>
      </c>
      <c r="C17" s="25" t="n">
        <v>29.75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IF(C17="","",(COUNTIFS($D$2:$D$36,D17,$C$2:$C$36,"&gt;0",$C$2:$C$36,"&lt;"&amp;C17)+(COUNTIFS($D$2:$D$36,D17,$C$2:$C$36,C17)+1)/2)/COUNTIFS($D$2:$D$36,D17,$C$2:$C$36,"&gt;0"))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44561</v>
      </c>
      <c r="B18" s="24" t="n">
        <v>9814.15</v>
      </c>
      <c r="C18" s="25" t="n">
        <v>26.94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IF(C18="","",(COUNTIFS($D$2:$D$36,D18,$C$2:$C$36,"&gt;0",$C$2:$C$36,"&lt;"&amp;C18)+(COUNTIFS($D$2:$D$36,D18,$C$2:$C$36,C18)+1)/2)/COUNTIFS($D$2:$D$36,D18,$C$2:$C$36,"&gt;0"))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9650.200000000001</v>
      </c>
      <c r="C19" s="25" t="n">
        <v>24.82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IF(C19="","",(COUNTIFS($D$2:$D$36,D19,$C$2:$C$36,"&gt;0",$C$2:$C$36,"&lt;"&amp;C19)+(COUNTIFS($D$2:$D$36,D19,$C$2:$C$36,C19)+1)/2)/COUNTIFS($D$2:$D$36,D19,$C$2:$C$36,"&gt;0"))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8705.950000000001</v>
      </c>
      <c r="C20" s="25" t="n">
        <v>21.02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IF(C20="","",(COUNTIFS($D$2:$D$36,D20,$C$2:$C$36,"&gt;0",$C$2:$C$36,"&lt;"&amp;C20)+(COUNTIFS($D$2:$D$36,D20,$C$2:$C$36,C20)+1)/2)/COUNTIFS($D$2:$D$36,D20,$C$2:$C$36,"&gt;0"))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9815.5</v>
      </c>
      <c r="C21" s="25" t="n">
        <v>22.9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IF(C21="","",(COUNTIFS($D$2:$D$36,D21,$C$2:$C$36,"&gt;0",$C$2:$C$36,"&lt;"&amp;C21)+(COUNTIFS($D$2:$D$36,D21,$C$2:$C$36,C21)+1)/2)/COUNTIFS($D$2:$D$36,D21,$C$2:$C$36,"&gt;0"))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10143.55</v>
      </c>
      <c r="C22" s="25" t="n">
        <v>24.28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IF(C22="","",(COUNTIFS($D$2:$D$36,D22,$C$2:$C$36,"&gt;0",$C$2:$C$36,"&lt;"&amp;C22)+(COUNTIFS($D$2:$D$36,D22,$C$2:$C$36,C22)+1)/2)/COUNTIFS($D$2:$D$36,D22,$C$2:$C$36,"&gt;0"))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9618.9</v>
      </c>
      <c r="C23" s="25" t="n">
        <v>22.28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IF(C23="","",(COUNTIFS($D$2:$D$36,D23,$C$2:$C$36,"&gt;0",$C$2:$C$36,"&lt;"&amp;C23)+(COUNTIFS($D$2:$D$36,D23,$C$2:$C$36,C23)+1)/2)/COUNTIFS($D$2:$D$36,D23,$C$2:$C$36,"&gt;0"))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11023.85</v>
      </c>
      <c r="C24" s="25" t="n">
        <v>24.77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IF(C24="","",(COUNTIFS($D$2:$D$36,D24,$C$2:$C$36,"&gt;0",$C$2:$C$36,"&lt;"&amp;C24)+(COUNTIFS($D$2:$D$36,D24,$C$2:$C$36,C24)+1)/2)/COUNTIFS($D$2:$D$36,D24,$C$2:$C$36,"&gt;0"))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11877.5</v>
      </c>
      <c r="C25" s="25" t="n">
        <v>24.58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IF(C25="","",(COUNTIFS($D$2:$D$36,D25,$C$2:$C$36,"&gt;0",$C$2:$C$36,"&lt;"&amp;C25)+(COUNTIFS($D$2:$D$36,D25,$C$2:$C$36,C25)+1)/2)/COUNTIFS($D$2:$D$36,D25,$C$2:$C$36,"&gt;0"))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45291</v>
      </c>
      <c r="B26" s="24" t="n">
        <v>13347</v>
      </c>
      <c r="C26" s="25" t="n">
        <v>25.06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IF(C26="","",(COUNTIFS($D$2:$D$36,D26,$C$2:$C$36,"&gt;0",$C$2:$C$36,"&lt;"&amp;C26)+(COUNTIFS($D$2:$D$36,D26,$C$2:$C$36,C26)+1)/2)/COUNTIFS($D$2:$D$36,D26,$C$2:$C$36,"&gt;0"))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13921.1</v>
      </c>
      <c r="C27" s="25" t="n">
        <v>27.46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IF(C27="","",(COUNTIFS($D$2:$D$36,D27,$C$2:$C$36,"&gt;0",$C$2:$C$36,"&lt;"&amp;C27)+(COUNTIFS($D$2:$D$36,D27,$C$2:$C$36,C27)+1)/2)/COUNTIFS($D$2:$D$36,D27,$C$2:$C$36,"&gt;0"))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15756.45</v>
      </c>
      <c r="C28" s="25" t="n">
        <v>30.28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IF(C28="","",(COUNTIFS($D$2:$D$36,D28,$C$2:$C$36,"&gt;0",$C$2:$C$36,"&lt;"&amp;C28)+(COUNTIFS($D$2:$D$36,D28,$C$2:$C$36,C28)+1)/2)/COUNTIFS($D$2:$D$36,D28,$C$2:$C$36,"&gt;0"))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16910.05</v>
      </c>
      <c r="C29" s="25" t="n">
        <v>32.24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IF(C29="","",(COUNTIFS($D$2:$D$36,D29,$C$2:$C$36,"&gt;0",$C$2:$C$36,"&lt;"&amp;C29)+(COUNTIFS($D$2:$D$36,D29,$C$2:$C$36,C29)+1)/2)/COUNTIFS($D$2:$D$36,D29,$C$2:$C$36,"&gt;0"))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15714.8</v>
      </c>
      <c r="C30" s="25" t="n">
        <v>29.48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IF(C30="","",(COUNTIFS($D$2:$D$36,D30,$C$2:$C$36,"&gt;0",$C$2:$C$36,"&lt;"&amp;C30)+(COUNTIFS($D$2:$D$36,D30,$C$2:$C$36,C30)+1)/2)/COUNTIFS($D$2:$D$36,D30,$C$2:$C$36,"&gt;0"))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14821.1</v>
      </c>
      <c r="C31" s="25" t="n">
        <v>26.18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IF(C31="","",(COUNTIFS($D$2:$D$36,D31,$C$2:$C$36,"&gt;0",$C$2:$C$36,"&lt;"&amp;C31)+(COUNTIFS($D$2:$D$36,D31,$C$2:$C$36,C31)+1)/2)/COUNTIFS($D$2:$D$36,D31,$C$2:$C$36,"&gt;0"))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16572.25</v>
      </c>
      <c r="C32" s="25" t="n">
        <v>27.72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IF(C32="","",(COUNTIFS($D$2:$D$36,D32,$C$2:$C$36,"&gt;0",$C$2:$C$36,"&lt;"&amp;C32)+(COUNTIFS($D$2:$D$36,D32,$C$2:$C$36,C32)+1)/2)/COUNTIFS($D$2:$D$36,D32,$C$2:$C$36,"&gt;0"))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15946.5</v>
      </c>
      <c r="C33" s="25" t="n">
        <v>26.02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IF(C33="","",(COUNTIFS($D$2:$D$36,D33,$C$2:$C$36,"&gt;0",$C$2:$C$36,"&lt;"&amp;C33)+(COUNTIFS($D$2:$D$36,D33,$C$2:$C$36,C33)+1)/2)/COUNTIFS($D$2:$D$36,D33,$C$2:$C$36,"&gt;0"))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46022</v>
      </c>
      <c r="B34" s="24" t="n">
        <v>16854.95</v>
      </c>
      <c r="C34" s="25" t="n">
        <v>26.79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IF(C34="","",(COUNTIFS($D$2:$D$36,D34,$C$2:$C$36,"&gt;0",$C$2:$C$36,"&lt;"&amp;C34)+(COUNTIFS($D$2:$D$36,D34,$C$2:$C$36,C34)+1)/2)/COUNTIFS($D$2:$D$36,D34,$C$2:$C$36,"&gt;0"))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14574.5</v>
      </c>
      <c r="C35" s="25" t="n">
        <v>23.55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IF(C35="","",(COUNTIFS($D$2:$D$36,D35,$C$2:$C$36,"&gt;0",$C$2:$C$36,"&lt;"&amp;C35)+(COUNTIFS($D$2:$D$36,D35,$C$2:$C$36,C35)+1)/2)/COUNTIFS($D$2:$D$36,D35,$C$2:$C$36,"&gt;0"))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16476.35</v>
      </c>
      <c r="C36" s="25" t="n">
        <v>23.88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IF(C36="","",(COUNTIFS($D$2:$D$36,D36,$C$2:$C$36,"&gt;0",$C$2:$C$36,"&lt;"&amp;C36)+(COUNTIFS($D$2:$D$36,D36,$C$2:$C$36,C36)+1)/2)/COUNTIFS($D$2:$D$36,D36,$C$2:$C$36,"&gt;0"))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16385.6</v>
      </c>
      <c r="C2" s="25" t="n">
        <v>23.35</v>
      </c>
      <c r="D2" s="26" t="n">
        <v>0.174242424242</v>
      </c>
      <c r="E2" s="26" t="n">
        <v>0.138831853487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16374.9</v>
      </c>
      <c r="C3" s="25" t="n">
        <v>23.34</v>
      </c>
      <c r="D3" s="26" t="n">
        <v>0.174242424242</v>
      </c>
      <c r="E3" s="26" t="n">
        <v>0.138476739779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16334.35</v>
      </c>
      <c r="C4" s="25" t="n">
        <v>23.28</v>
      </c>
      <c r="D4" s="26" t="n">
        <v>0.159090909091</v>
      </c>
      <c r="E4" s="26" t="n">
        <v>0.138684960921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 Largemidcap 250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2026-09-23T03:45:19Z</dcterms:modified>
</cp:coreProperties>
</file>