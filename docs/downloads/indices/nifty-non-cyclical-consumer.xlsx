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Non-Cyclical Consumer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14807.8</v>
      </c>
      <c r="D5" s="2" t="inlineStr">
        <is>
          <t>P/E</t>
        </is>
      </c>
      <c r="E5" s="7" t="n">
        <v>53.78</v>
      </c>
    </row>
    <row r="6">
      <c r="A6" s="2" t="inlineStr">
        <is>
          <t>P/E percentile</t>
        </is>
      </c>
      <c r="B6" s="8" t="n">
        <v>0.3474576271186441</v>
      </c>
      <c r="D6" s="2" t="inlineStr">
        <is>
          <t>Implied EPS</t>
        </is>
      </c>
      <c r="E6" s="9" t="n">
        <v>275.3402751952398</v>
      </c>
    </row>
    <row r="7">
      <c r="A7" s="2" t="inlineStr">
        <is>
          <t>YoY implied EPS growth</t>
        </is>
      </c>
      <c r="B7" s="8" t="n">
        <v>0.07364133331077261</v>
      </c>
      <c r="D7" s="2" t="inlineStr">
        <is>
          <t>Earnings yield</t>
        </is>
      </c>
      <c r="E7" s="10" t="n">
        <v>0.01859427296392711</v>
      </c>
    </row>
    <row r="8">
      <c r="A8" s="2" t="inlineStr">
        <is>
          <t>Valuation score</t>
        </is>
      </c>
      <c r="B8" s="11" t="n">
        <v>65.2542372881356</v>
      </c>
      <c r="D8" s="2" t="inlineStr">
        <is>
          <t>Growth score</t>
        </is>
      </c>
      <c r="E8" s="11" t="n">
        <v>49.45653332430904</v>
      </c>
    </row>
    <row r="9">
      <c r="A9" s="2" t="inlineStr">
        <is>
          <t>Composite score</t>
        </is>
      </c>
      <c r="B9" s="11" t="n">
        <v>60.51492609898763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50.69576141671665</v>
      </c>
      <c r="C13" s="15" t="n">
        <v>13958.58489971098</v>
      </c>
      <c r="D13" s="16" t="n">
        <v>-0.05734917410344653</v>
      </c>
    </row>
    <row r="14">
      <c r="A14" t="inlineStr">
        <is>
          <t>HOLD → SELL</t>
        </is>
      </c>
      <c r="B14" s="14" t="n">
        <v>60.03790559854193</v>
      </c>
      <c r="C14" s="15" t="n">
        <v>16530.85344964836</v>
      </c>
      <c r="D14" s="16" t="n">
        <v>0.1163612048817761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0.1092825862661928</v>
      </c>
      <c r="D18" s="16" t="n">
        <v>0.1459921256468535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0.2956642246050765</v>
      </c>
      <c r="D19" s="16" t="n">
        <v>0.1496334272286601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0.3729082197913289</v>
      </c>
      <c r="D20" s="16" t="n">
        <v>0.1253374211510438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0.1223720796380362</v>
      </c>
      <c r="D21" s="16" t="n">
        <v>0.08157444778479039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-0.09214754677723402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58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44530</v>
      </c>
      <c r="B2" s="6" t="n">
        <v>10248.58</v>
      </c>
      <c r="C2" s="7" t="n">
        <v>59.08</v>
      </c>
      <c r="D2" s="19">
        <f>IFERROR(B2/C2,"")</f>
        <v/>
      </c>
      <c r="E2" s="20">
        <f>IFERROR(1/C2,"")</f>
        <v/>
      </c>
    </row>
    <row r="3">
      <c r="A3" s="18" t="n">
        <v>44561</v>
      </c>
      <c r="B3" s="6" t="n">
        <v>10363.74</v>
      </c>
      <c r="C3" s="7" t="n">
        <v>59.04</v>
      </c>
      <c r="D3" s="19">
        <f>IFERROR(B3/C3,"")</f>
        <v/>
      </c>
      <c r="E3" s="20">
        <f>IFERROR(1/C3,"")</f>
        <v/>
      </c>
    </row>
    <row r="4">
      <c r="A4" s="18" t="n">
        <v>44592</v>
      </c>
      <c r="B4" s="6" t="n">
        <v>9924.59</v>
      </c>
      <c r="C4" s="7" t="n">
        <v>56.43</v>
      </c>
      <c r="D4" s="19">
        <f>IFERROR(B4/C4,"")</f>
        <v/>
      </c>
      <c r="E4" s="20">
        <f>IFERROR(1/C4,"")</f>
        <v/>
      </c>
    </row>
    <row r="5">
      <c r="A5" s="18" t="n">
        <v>44620</v>
      </c>
      <c r="B5" s="6" t="n">
        <v>9764.610000000001</v>
      </c>
      <c r="C5" s="7" t="n">
        <v>43.23</v>
      </c>
      <c r="D5" s="19">
        <f>IFERROR(B5/C5,"")</f>
        <v/>
      </c>
      <c r="E5" s="20">
        <f>IFERROR(1/C5,"")</f>
        <v/>
      </c>
    </row>
    <row r="6">
      <c r="A6" s="18" t="n">
        <v>44651</v>
      </c>
      <c r="B6" s="6" t="n">
        <v>9934.16</v>
      </c>
      <c r="C6" s="7" t="n">
        <v>46.46</v>
      </c>
      <c r="D6" s="19">
        <f>IFERROR(B6/C6,"")</f>
        <v/>
      </c>
      <c r="E6" s="20">
        <f>IFERROR(1/C6,"")</f>
        <v/>
      </c>
    </row>
    <row r="7">
      <c r="A7" s="18" t="n">
        <v>44681</v>
      </c>
      <c r="B7" s="6" t="n">
        <v>10131.42</v>
      </c>
      <c r="C7" s="7" t="n">
        <v>47.33</v>
      </c>
      <c r="D7" s="19">
        <f>IFERROR(B7/C7,"")</f>
        <v/>
      </c>
      <c r="E7" s="20">
        <f>IFERROR(1/C7,"")</f>
        <v/>
      </c>
    </row>
    <row r="8">
      <c r="A8" s="18" t="n">
        <v>44712</v>
      </c>
      <c r="B8" s="6" t="n">
        <v>9764.379999999999</v>
      </c>
      <c r="C8" s="7" t="n">
        <v>44.55</v>
      </c>
      <c r="D8" s="19">
        <f>IFERROR(B8/C8,"")</f>
        <v/>
      </c>
      <c r="E8" s="20">
        <f>IFERROR(1/C8,"")</f>
        <v/>
      </c>
    </row>
    <row r="9">
      <c r="A9" s="18" t="n">
        <v>44742</v>
      </c>
      <c r="B9" s="6" t="n">
        <v>9151.360000000001</v>
      </c>
      <c r="C9" s="7" t="n">
        <v>41.56</v>
      </c>
      <c r="D9" s="19">
        <f>IFERROR(B9/C9,"")</f>
        <v/>
      </c>
      <c r="E9" s="20">
        <f>IFERROR(1/C9,"")</f>
        <v/>
      </c>
    </row>
    <row r="10">
      <c r="A10" s="18" t="n">
        <v>44773</v>
      </c>
      <c r="B10" s="6" t="n">
        <v>10384.52</v>
      </c>
      <c r="C10" s="7" t="n">
        <v>46.14</v>
      </c>
      <c r="D10" s="19">
        <f>IFERROR(B10/C10,"")</f>
        <v/>
      </c>
      <c r="E10" s="20">
        <f>IFERROR(1/C10,"")</f>
        <v/>
      </c>
    </row>
    <row r="11">
      <c r="A11" s="18" t="n">
        <v>44804</v>
      </c>
      <c r="B11" s="6" t="n">
        <v>10867.95</v>
      </c>
      <c r="C11" s="7" t="n">
        <v>44.76</v>
      </c>
      <c r="D11" s="19">
        <f>IFERROR(B11/C11,"")</f>
        <v/>
      </c>
      <c r="E11" s="20">
        <f>IFERROR(1/C11,"")</f>
        <v/>
      </c>
    </row>
    <row r="12">
      <c r="A12" s="18" t="n">
        <v>44834</v>
      </c>
      <c r="B12" s="6" t="n">
        <v>10903.75</v>
      </c>
      <c r="C12" s="7" t="n">
        <v>45.31</v>
      </c>
      <c r="D12" s="19">
        <f>IFERROR(B12/C12,"")</f>
        <v/>
      </c>
      <c r="E12" s="20">
        <f>IFERROR(1/C12,"")</f>
        <v/>
      </c>
    </row>
    <row r="13">
      <c r="A13" s="18" t="n">
        <v>44865</v>
      </c>
      <c r="B13" s="6" t="n">
        <v>10876.47</v>
      </c>
      <c r="C13" s="7" t="n">
        <v>44.14</v>
      </c>
      <c r="D13" s="19">
        <f>IFERROR(B13/C13,"")</f>
        <v/>
      </c>
      <c r="E13" s="20">
        <f>IFERROR(1/C13,"")</f>
        <v/>
      </c>
    </row>
    <row r="14">
      <c r="A14" s="18" t="n">
        <v>44895</v>
      </c>
      <c r="B14" s="6" t="n">
        <v>10945.98</v>
      </c>
      <c r="C14" s="7" t="n">
        <v>51.01</v>
      </c>
      <c r="D14" s="19">
        <f>IFERROR(B14/C14,"")</f>
        <v/>
      </c>
      <c r="E14" s="20">
        <f>IFERROR(1/C14,"")</f>
        <v/>
      </c>
    </row>
    <row r="15">
      <c r="A15" s="18" t="n">
        <v>44926</v>
      </c>
      <c r="B15" s="6" t="n">
        <v>10527.99</v>
      </c>
      <c r="C15" s="7" t="n">
        <v>49.69</v>
      </c>
      <c r="D15" s="19">
        <f>IFERROR(B15/C15,"")</f>
        <v/>
      </c>
      <c r="E15" s="20">
        <f>IFERROR(1/C15,"")</f>
        <v/>
      </c>
    </row>
    <row r="16">
      <c r="A16" s="18" t="n">
        <v>44957</v>
      </c>
      <c r="B16" s="6" t="n">
        <v>10115.22</v>
      </c>
      <c r="C16" s="7" t="n">
        <v>47.68</v>
      </c>
      <c r="D16" s="19">
        <f>IFERROR(B16/C16,"")</f>
        <v/>
      </c>
      <c r="E16" s="20">
        <f>IFERROR(1/C16,"")</f>
        <v/>
      </c>
    </row>
    <row r="17">
      <c r="A17" s="18" t="n">
        <v>44985</v>
      </c>
      <c r="B17" s="6" t="n">
        <v>10055.66</v>
      </c>
      <c r="C17" s="7" t="n">
        <v>50.64</v>
      </c>
      <c r="D17" s="19">
        <f>IFERROR(B17/C17,"")</f>
        <v/>
      </c>
      <c r="E17" s="20">
        <f>IFERROR(1/C17,"")</f>
        <v/>
      </c>
    </row>
    <row r="18">
      <c r="A18" s="18" t="n">
        <v>45016</v>
      </c>
      <c r="B18" s="6" t="n">
        <v>10208.41</v>
      </c>
      <c r="C18" s="7" t="n">
        <v>54.87</v>
      </c>
      <c r="D18" s="19">
        <f>IFERROR(B18/C18,"")</f>
        <v/>
      </c>
      <c r="E18" s="20">
        <f>IFERROR(1/C18,"")</f>
        <v/>
      </c>
    </row>
    <row r="19">
      <c r="A19" s="18" t="n">
        <v>45046</v>
      </c>
      <c r="B19" s="6" t="n">
        <v>10624.7</v>
      </c>
      <c r="C19" s="7" t="n">
        <v>56.94</v>
      </c>
      <c r="D19" s="19">
        <f>IFERROR(B19/C19,"")</f>
        <v/>
      </c>
      <c r="E19" s="20">
        <f>IFERROR(1/C19,"")</f>
        <v/>
      </c>
    </row>
    <row r="20">
      <c r="A20" s="18" t="n">
        <v>45077</v>
      </c>
      <c r="B20" s="6" t="n">
        <v>11375.34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45107</v>
      </c>
      <c r="B21" s="6" t="n">
        <v>11862.79</v>
      </c>
      <c r="C21" s="7" t="n">
        <v>61.42</v>
      </c>
      <c r="D21" s="19">
        <f>IFERROR(B21/C21,"")</f>
        <v/>
      </c>
      <c r="E21" s="20">
        <f>IFERROR(1/C21,"")</f>
        <v/>
      </c>
    </row>
    <row r="22">
      <c r="A22" s="18" t="n">
        <v>45138</v>
      </c>
      <c r="B22" s="6" t="n">
        <v>11961.33</v>
      </c>
      <c r="C22" s="7" t="n">
        <v>60.8</v>
      </c>
      <c r="D22" s="19">
        <f>IFERROR(B22/C22,"")</f>
        <v/>
      </c>
      <c r="E22" s="20">
        <f>IFERROR(1/C22,"")</f>
        <v/>
      </c>
    </row>
    <row r="23">
      <c r="A23" s="18" t="n">
        <v>45169</v>
      </c>
      <c r="B23" s="6" t="n">
        <v>11926.16</v>
      </c>
      <c r="C23" s="7" t="n">
        <v>57.76</v>
      </c>
      <c r="D23" s="19">
        <f>IFERROR(B23/C23,"")</f>
        <v/>
      </c>
      <c r="E23" s="20">
        <f>IFERROR(1/C23,"")</f>
        <v/>
      </c>
    </row>
    <row r="24">
      <c r="A24" s="18" t="n">
        <v>45199</v>
      </c>
      <c r="B24" s="6" t="n">
        <v>12095.34</v>
      </c>
      <c r="C24" s="7" t="n">
        <v>58.31</v>
      </c>
      <c r="D24" s="19">
        <f>IFERROR(B24/C24,"")</f>
        <v/>
      </c>
      <c r="E24" s="20">
        <f>IFERROR(1/C24,"")</f>
        <v/>
      </c>
    </row>
    <row r="25">
      <c r="A25" s="18" t="n">
        <v>45230</v>
      </c>
      <c r="B25" s="6" t="n">
        <v>11926.76</v>
      </c>
      <c r="C25" s="7" t="n">
        <v>56.79</v>
      </c>
      <c r="D25" s="19">
        <f>IFERROR(B25/C25,"")</f>
        <v/>
      </c>
      <c r="E25" s="20">
        <f>IFERROR(1/C25,"")</f>
        <v/>
      </c>
    </row>
    <row r="26">
      <c r="A26" s="18" t="n">
        <v>45260</v>
      </c>
      <c r="B26" s="6" t="n">
        <v>12736.38</v>
      </c>
      <c r="C26" s="7" t="n">
        <v>59.17</v>
      </c>
      <c r="D26" s="19">
        <f>IFERROR(B26/C26,"")</f>
        <v/>
      </c>
      <c r="E26" s="20">
        <f>IFERROR(1/C26,"")</f>
        <v/>
      </c>
    </row>
    <row r="27">
      <c r="A27" s="18" t="n">
        <v>45291</v>
      </c>
      <c r="B27" s="6" t="n">
        <v>13640.74</v>
      </c>
      <c r="C27" s="7" t="n">
        <v>62.75</v>
      </c>
      <c r="D27" s="19">
        <f>IFERROR(B27/C27,"")</f>
        <v/>
      </c>
      <c r="E27" s="20">
        <f>IFERROR(1/C27,"")</f>
        <v/>
      </c>
    </row>
    <row r="28">
      <c r="A28" s="18" t="n">
        <v>45322</v>
      </c>
      <c r="B28" s="6" t="n">
        <v>13471.67</v>
      </c>
      <c r="C28" s="7" t="n">
        <v>61.44</v>
      </c>
      <c r="D28" s="19">
        <f>IFERROR(B28/C28,"")</f>
        <v/>
      </c>
      <c r="E28" s="20">
        <f>IFERROR(1/C28,"")</f>
        <v/>
      </c>
    </row>
    <row r="29">
      <c r="A29" s="18" t="n">
        <v>45351</v>
      </c>
      <c r="B29" s="6" t="n">
        <v>13671.78</v>
      </c>
      <c r="C29" s="7" t="n">
        <v>59.94</v>
      </c>
      <c r="D29" s="19">
        <f>IFERROR(B29/C29,"")</f>
        <v/>
      </c>
      <c r="E29" s="20">
        <f>IFERROR(1/C29,"")</f>
        <v/>
      </c>
    </row>
    <row r="30">
      <c r="A30" s="18" t="n">
        <v>45382</v>
      </c>
      <c r="B30" s="6" t="n">
        <v>14015.21</v>
      </c>
      <c r="C30" s="7" t="n">
        <v>60.64</v>
      </c>
      <c r="D30" s="19">
        <f>IFERROR(B30/C30,"")</f>
        <v/>
      </c>
      <c r="E30" s="20">
        <f>IFERROR(1/C30,"")</f>
        <v/>
      </c>
    </row>
    <row r="31">
      <c r="A31" s="18" t="n">
        <v>45412</v>
      </c>
      <c r="B31" s="6" t="n">
        <v>14419.96</v>
      </c>
      <c r="C31" s="7" t="n">
        <v>62.26</v>
      </c>
      <c r="D31" s="19">
        <f>IFERROR(B31/C31,"")</f>
        <v/>
      </c>
      <c r="E31" s="20">
        <f>IFERROR(1/C31,"")</f>
        <v/>
      </c>
    </row>
    <row r="32">
      <c r="A32" s="18" t="n">
        <v>45443</v>
      </c>
      <c r="B32" s="6" t="n">
        <v>14411.67</v>
      </c>
      <c r="C32" s="7" t="n">
        <v>61.66</v>
      </c>
      <c r="D32" s="19">
        <f>IFERROR(B32/C32,"")</f>
        <v/>
      </c>
      <c r="E32" s="20">
        <f>IFERROR(1/C32,"")</f>
        <v/>
      </c>
    </row>
    <row r="33">
      <c r="A33" s="18" t="n">
        <v>45473</v>
      </c>
      <c r="B33" s="6" t="n">
        <v>15402.79</v>
      </c>
      <c r="C33" s="7" t="n">
        <v>64.05</v>
      </c>
      <c r="D33" s="19">
        <f>IFERROR(B33/C33,"")</f>
        <v/>
      </c>
      <c r="E33" s="20">
        <f>IFERROR(1/C33,"")</f>
        <v/>
      </c>
    </row>
    <row r="34">
      <c r="A34" s="18" t="n">
        <v>45504</v>
      </c>
      <c r="B34" s="6" t="n">
        <v>16426.36</v>
      </c>
      <c r="C34" s="7" t="n">
        <v>68.72</v>
      </c>
      <c r="D34" s="19">
        <f>IFERROR(B34/C34,"")</f>
        <v/>
      </c>
      <c r="E34" s="20">
        <f>IFERROR(1/C34,"")</f>
        <v/>
      </c>
    </row>
    <row r="35">
      <c r="A35" s="18" t="n">
        <v>45535</v>
      </c>
      <c r="B35" s="6" t="n">
        <v>17136.74</v>
      </c>
      <c r="C35" s="7" t="n">
        <v>68.2</v>
      </c>
      <c r="D35" s="19">
        <f>IFERROR(B35/C35,"")</f>
        <v/>
      </c>
      <c r="E35" s="20">
        <f>IFERROR(1/C35,"")</f>
        <v/>
      </c>
    </row>
    <row r="36">
      <c r="A36" s="18" t="n">
        <v>45565</v>
      </c>
      <c r="B36" s="6" t="n">
        <v>17947.62</v>
      </c>
      <c r="C36" s="7" t="n">
        <v>71.69</v>
      </c>
      <c r="D36" s="19">
        <f>IFERROR(B36/C36,"")</f>
        <v/>
      </c>
      <c r="E36" s="20">
        <f>IFERROR(1/C36,"")</f>
        <v/>
      </c>
    </row>
    <row r="37">
      <c r="A37" s="18" t="n">
        <v>45596</v>
      </c>
      <c r="B37" s="6" t="n">
        <v>16094.12</v>
      </c>
      <c r="C37" s="7" t="n">
        <v>63.39</v>
      </c>
      <c r="D37" s="19">
        <f>IFERROR(B37/C37,"")</f>
        <v/>
      </c>
      <c r="E37" s="20">
        <f>IFERROR(1/C37,"")</f>
        <v/>
      </c>
    </row>
    <row r="38">
      <c r="A38" s="18" t="n">
        <v>45626</v>
      </c>
      <c r="B38" s="6" t="n">
        <v>16146.67</v>
      </c>
      <c r="C38" s="7" t="n">
        <v>63.68</v>
      </c>
      <c r="D38" s="19">
        <f>IFERROR(B38/C38,"")</f>
        <v/>
      </c>
      <c r="E38" s="20">
        <f>IFERROR(1/C38,"")</f>
        <v/>
      </c>
    </row>
    <row r="39">
      <c r="A39" s="18" t="n">
        <v>45657</v>
      </c>
      <c r="B39" s="6" t="n">
        <v>16068.25</v>
      </c>
      <c r="C39" s="7" t="n">
        <v>63.82</v>
      </c>
      <c r="D39" s="19">
        <f>IFERROR(B39/C39,"")</f>
        <v/>
      </c>
      <c r="E39" s="20">
        <f>IFERROR(1/C39,"")</f>
        <v/>
      </c>
    </row>
    <row r="40">
      <c r="A40" s="18" t="n">
        <v>45688</v>
      </c>
      <c r="B40" s="6" t="n">
        <v>15374.05</v>
      </c>
      <c r="C40" s="7" t="n">
        <v>60.59</v>
      </c>
      <c r="D40" s="19">
        <f>IFERROR(B40/C40,"")</f>
        <v/>
      </c>
      <c r="E40" s="20">
        <f>IFERROR(1/C40,"")</f>
        <v/>
      </c>
    </row>
    <row r="41">
      <c r="A41" s="18" t="n">
        <v>45716</v>
      </c>
      <c r="B41" s="6" t="n">
        <v>14118.45</v>
      </c>
      <c r="C41" s="7" t="n">
        <v>51.01</v>
      </c>
      <c r="D41" s="19">
        <f>IFERROR(B41/C41,"")</f>
        <v/>
      </c>
      <c r="E41" s="20">
        <f>IFERROR(1/C41,"")</f>
        <v/>
      </c>
    </row>
    <row r="42">
      <c r="A42" s="18" t="n">
        <v>45747</v>
      </c>
      <c r="B42" s="6" t="n">
        <v>14951.2</v>
      </c>
      <c r="C42" s="7" t="n">
        <v>74.7</v>
      </c>
      <c r="D42" s="19">
        <f>IFERROR(B42/C42,"")</f>
        <v/>
      </c>
      <c r="E42" s="20">
        <f>IFERROR(1/C42,"")</f>
        <v/>
      </c>
    </row>
    <row r="43">
      <c r="A43" s="18" t="n">
        <v>45777</v>
      </c>
      <c r="B43" s="6" t="n">
        <v>15782.05</v>
      </c>
      <c r="C43" s="7" t="n">
        <v>70.73</v>
      </c>
      <c r="D43" s="19">
        <f>IFERROR(B43/C43,"")</f>
        <v/>
      </c>
      <c r="E43" s="20">
        <f>IFERROR(1/C43,"")</f>
        <v/>
      </c>
    </row>
    <row r="44">
      <c r="A44" s="18" t="n">
        <v>45808</v>
      </c>
      <c r="B44" s="6" t="n">
        <v>15691.05</v>
      </c>
      <c r="C44" s="7" t="n">
        <v>64.20999999999999</v>
      </c>
      <c r="D44" s="19">
        <f>IFERROR(B44/C44,"")</f>
        <v/>
      </c>
      <c r="E44" s="20">
        <f>IFERROR(1/C44,"")</f>
        <v/>
      </c>
    </row>
    <row r="45">
      <c r="A45" s="18" t="n">
        <v>45838</v>
      </c>
      <c r="B45" s="6" t="n">
        <v>16252.6</v>
      </c>
      <c r="C45" s="7" t="n">
        <v>64.02</v>
      </c>
      <c r="D45" s="19">
        <f>IFERROR(B45/C45,"")</f>
        <v/>
      </c>
      <c r="E45" s="20">
        <f>IFERROR(1/C45,"")</f>
        <v/>
      </c>
    </row>
    <row r="46">
      <c r="A46" s="18" t="n">
        <v>45869</v>
      </c>
      <c r="B46" s="6" t="n">
        <v>16172.05</v>
      </c>
      <c r="C46" s="7" t="n">
        <v>63.93</v>
      </c>
      <c r="D46" s="19">
        <f>IFERROR(B46/C46,"")</f>
        <v/>
      </c>
      <c r="E46" s="20">
        <f>IFERROR(1/C46,"")</f>
        <v/>
      </c>
    </row>
    <row r="47">
      <c r="A47" s="18" t="n">
        <v>45900</v>
      </c>
      <c r="B47" s="6" t="n">
        <v>16393.8</v>
      </c>
      <c r="C47" s="7" t="n">
        <v>63.93</v>
      </c>
      <c r="D47" s="19">
        <f>IFERROR(B47/C47,"")</f>
        <v/>
      </c>
      <c r="E47" s="20">
        <f>IFERROR(1/C47,"")</f>
        <v/>
      </c>
    </row>
    <row r="48">
      <c r="A48" s="18" t="n">
        <v>45930</v>
      </c>
      <c r="B48" s="6" t="n">
        <v>15962.8</v>
      </c>
      <c r="C48" s="7" t="n">
        <v>53.23</v>
      </c>
      <c r="D48" s="19">
        <f>IFERROR(B48/C48,"")</f>
        <v/>
      </c>
      <c r="E48" s="20">
        <f>IFERROR(1/C48,"")</f>
        <v/>
      </c>
    </row>
    <row r="49">
      <c r="A49" s="18" t="n">
        <v>45961</v>
      </c>
      <c r="B49" s="6" t="n">
        <v>16389.1</v>
      </c>
      <c r="C49" s="7" t="n">
        <v>54.51</v>
      </c>
      <c r="D49" s="19">
        <f>IFERROR(B49/C49,"")</f>
        <v/>
      </c>
      <c r="E49" s="20">
        <f>IFERROR(1/C49,"")</f>
        <v/>
      </c>
    </row>
    <row r="50">
      <c r="A50" s="18" t="n">
        <v>45991</v>
      </c>
      <c r="B50" s="6" t="n">
        <v>16344.65</v>
      </c>
      <c r="C50" s="7" t="n">
        <v>53.84</v>
      </c>
      <c r="D50" s="19">
        <f>IFERROR(B50/C50,"")</f>
        <v/>
      </c>
      <c r="E50" s="20">
        <f>IFERROR(1/C50,"")</f>
        <v/>
      </c>
    </row>
    <row r="51">
      <c r="A51" s="18" t="n">
        <v>46022</v>
      </c>
      <c r="B51" s="6" t="n">
        <v>15996.45</v>
      </c>
      <c r="C51" s="7" t="n">
        <v>54.72</v>
      </c>
      <c r="D51" s="19">
        <f>IFERROR(B51/C51,"")</f>
        <v/>
      </c>
      <c r="E51" s="20">
        <f>IFERROR(1/C51,"")</f>
        <v/>
      </c>
    </row>
    <row r="52">
      <c r="A52" s="18" t="n">
        <v>46053</v>
      </c>
      <c r="B52" s="6" t="n">
        <v>14926.3</v>
      </c>
      <c r="C52" s="7" t="n">
        <v>52.15</v>
      </c>
      <c r="D52" s="19">
        <f>IFERROR(B52/C52,"")</f>
        <v/>
      </c>
      <c r="E52" s="20">
        <f>IFERROR(1/C52,"")</f>
        <v/>
      </c>
    </row>
    <row r="53">
      <c r="A53" s="18" t="n">
        <v>46081</v>
      </c>
      <c r="B53" s="6" t="n">
        <v>14897.05</v>
      </c>
      <c r="C53" s="7" t="n">
        <v>53.24</v>
      </c>
      <c r="D53" s="19">
        <f>IFERROR(B53/C53,"")</f>
        <v/>
      </c>
      <c r="E53" s="20">
        <f>IFERROR(1/C53,"")</f>
        <v/>
      </c>
    </row>
    <row r="54">
      <c r="A54" s="18" t="n">
        <v>46112</v>
      </c>
      <c r="B54" s="6" t="n">
        <v>13339.65</v>
      </c>
      <c r="C54" s="7" t="n">
        <v>47.13</v>
      </c>
      <c r="D54" s="19">
        <f>IFERROR(B54/C54,"")</f>
        <v/>
      </c>
      <c r="E54" s="20">
        <f>IFERROR(1/C54,"")</f>
        <v/>
      </c>
    </row>
    <row r="55">
      <c r="A55" s="18" t="n">
        <v>46142</v>
      </c>
      <c r="B55" s="6" t="n">
        <v>14851.55</v>
      </c>
      <c r="C55" s="7" t="n">
        <v>52.24</v>
      </c>
      <c r="D55" s="19">
        <f>IFERROR(B55/C55,"")</f>
        <v/>
      </c>
      <c r="E55" s="20">
        <f>IFERROR(1/C55,"")</f>
        <v/>
      </c>
    </row>
    <row r="56">
      <c r="A56" s="18" t="n">
        <v>46173</v>
      </c>
      <c r="B56" s="6" t="n">
        <v>14584.9</v>
      </c>
      <c r="C56" s="7" t="n">
        <v>50.83</v>
      </c>
      <c r="D56" s="19">
        <f>IFERROR(B56/C56,"")</f>
        <v/>
      </c>
      <c r="E56" s="20">
        <f>IFERROR(1/C56,"")</f>
        <v/>
      </c>
    </row>
    <row r="57">
      <c r="A57" s="18" t="n">
        <v>46203</v>
      </c>
      <c r="B57" s="6" t="n">
        <v>15009.15</v>
      </c>
      <c r="C57" s="7" t="n">
        <v>54.79</v>
      </c>
      <c r="D57" s="19">
        <f>IFERROR(B57/C57,"")</f>
        <v/>
      </c>
      <c r="E57" s="20">
        <f>IFERROR(1/C57,"")</f>
        <v/>
      </c>
    </row>
    <row r="58">
      <c r="A58" s="18" t="n">
        <v>46234</v>
      </c>
      <c r="B58" s="6" t="n">
        <v>15526.2</v>
      </c>
      <c r="C58" s="7" t="n">
        <v>58.26</v>
      </c>
      <c r="D58" s="19">
        <f>IFERROR(B58/C58,"")</f>
        <v/>
      </c>
      <c r="E58" s="20">
        <f>IFERROR(1/C58,"")</f>
        <v/>
      </c>
    </row>
    <row r="59">
      <c r="A59" s="18" t="n">
        <v>46265</v>
      </c>
      <c r="B59" s="6" t="n">
        <v>15180.1</v>
      </c>
      <c r="C59" s="7" t="n">
        <v>55.13</v>
      </c>
      <c r="D59" s="19">
        <f>IFERROR(B59/C59,"")</f>
        <v/>
      </c>
      <c r="E59" s="20">
        <f>IFERROR(1/C59,"")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10363.74</v>
      </c>
      <c r="C2" s="7" t="n">
        <v>59.04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9934.16</v>
      </c>
      <c r="C3" s="7" t="n">
        <v>46.46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9151.360000000001</v>
      </c>
      <c r="C4" s="7" t="n">
        <v>41.56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10903.75</v>
      </c>
      <c r="C5" s="7" t="n">
        <v>45.31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10527.99</v>
      </c>
      <c r="C6" s="7" t="n">
        <v>49.69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10208.41</v>
      </c>
      <c r="C7" s="7" t="n">
        <v>54.87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11862.79</v>
      </c>
      <c r="C8" s="7" t="n">
        <v>61.42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12095.34</v>
      </c>
      <c r="C9" s="7" t="n">
        <v>58.31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13640.74</v>
      </c>
      <c r="C10" s="7" t="n">
        <v>62.75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14015.21</v>
      </c>
      <c r="C11" s="7" t="n">
        <v>60.64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15402.79</v>
      </c>
      <c r="C12" s="7" t="n">
        <v>64.05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17947.62</v>
      </c>
      <c r="C13" s="7" t="n">
        <v>71.69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16068.25</v>
      </c>
      <c r="C14" s="7" t="n">
        <v>63.82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14951.2</v>
      </c>
      <c r="C15" s="7" t="n">
        <v>74.7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16252.6</v>
      </c>
      <c r="C16" s="7" t="n">
        <v>64.02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15962.8</v>
      </c>
      <c r="C17" s="7" t="n">
        <v>53.23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15996.45</v>
      </c>
      <c r="C18" s="7" t="n">
        <v>54.72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13339.65</v>
      </c>
      <c r="C19" s="7" t="n">
        <v>47.13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15009.15</v>
      </c>
      <c r="C20" s="7" t="n">
        <v>54.79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14807.8</v>
      </c>
      <c r="C2" s="7" t="n">
        <v>53.78</v>
      </c>
      <c r="D2" s="8" t="n">
        <v>0.347457627119</v>
      </c>
      <c r="E2" s="8" t="n">
        <v>0.0736413333108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