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Midcap150 Momentum 50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63369.2</v>
      </c>
      <c r="D5" s="2" t="inlineStr">
        <is>
          <t>P/E</t>
        </is>
      </c>
      <c r="E5" s="7" t="n">
        <v>26.98</v>
      </c>
    </row>
    <row r="6">
      <c r="A6" s="2" t="inlineStr">
        <is>
          <t>P/E percentile</t>
        </is>
      </c>
      <c r="B6" s="8" t="n">
        <v>0.39</v>
      </c>
      <c r="D6" s="2" t="inlineStr">
        <is>
          <t>Implied EPS</t>
        </is>
      </c>
      <c r="E6" s="9" t="n">
        <v>2348.747220163084</v>
      </c>
    </row>
    <row r="7">
      <c r="A7" s="2" t="inlineStr">
        <is>
          <t>YoY implied EPS growth</t>
        </is>
      </c>
      <c r="B7" s="8" t="n">
        <v>0.5868075722145329</v>
      </c>
      <c r="D7" s="2" t="inlineStr">
        <is>
          <t>Earnings yield</t>
        </is>
      </c>
      <c r="E7" s="10" t="n">
        <v>0.03706449221645663</v>
      </c>
    </row>
    <row r="8">
      <c r="A8" s="2" t="inlineStr">
        <is>
          <t>Valuation score</t>
        </is>
      </c>
      <c r="B8" s="11" t="n">
        <v>61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72.69999999999999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27.81</v>
      </c>
      <c r="C13" s="15" t="n">
        <v>65318.66019273535</v>
      </c>
      <c r="D13" s="16" t="n">
        <v>0.0307635285396588</v>
      </c>
    </row>
    <row r="14">
      <c r="A14" t="inlineStr">
        <is>
          <t>HOLD → SELL</t>
        </is>
      </c>
      <c r="B14" s="14" t="n">
        <v>38.68</v>
      </c>
      <c r="C14" s="15" t="n">
        <v>90849.54247590806</v>
      </c>
      <c r="D14" s="16" t="n">
        <v>0.4336545589325425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0.7009538178284662</v>
      </c>
      <c r="D18" s="16" t="n">
        <v>0.2029262026151236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0.3157961949242636</v>
      </c>
      <c r="D19" s="16" t="n">
        <v>0.2420740870881155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0.2734490287959386</v>
      </c>
      <c r="D20" s="16" t="n">
        <v>0.2099453303155991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3</v>
      </c>
      <c r="C21" s="16" t="n">
        <v>-0.05243639644062958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-0.02009967972938931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49</v>
      </c>
    </row>
    <row r="26">
      <c r="A26" s="2" t="inlineStr">
        <is>
          <t>Quarter-end P/E observations</t>
        </is>
      </c>
      <c r="B26" t="n">
        <v>16</v>
      </c>
    </row>
    <row r="27">
      <c r="A27" s="2" t="inlineStr">
        <is>
          <t>Backtest start</t>
        </is>
      </c>
      <c r="B27" t="inlineStr">
        <is>
          <t>2022-09-30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44804</v>
      </c>
      <c r="B2" s="6" t="n">
        <v>33116.87</v>
      </c>
      <c r="C2" s="7" t="n">
        <v>29.58</v>
      </c>
      <c r="D2" s="19">
        <f>IFERROR(B2/C2,"")</f>
        <v/>
      </c>
      <c r="E2" s="20">
        <f>IFERROR(1/C2,"")</f>
        <v/>
      </c>
    </row>
    <row r="3">
      <c r="A3" s="18" t="n">
        <v>44834</v>
      </c>
      <c r="B3" s="6" t="n">
        <v>33143.91</v>
      </c>
      <c r="C3" s="7" t="n">
        <v>29.6</v>
      </c>
      <c r="D3" s="19">
        <f>IFERROR(B3/C3,"")</f>
        <v/>
      </c>
      <c r="E3" s="20">
        <f>IFERROR(1/C3,"")</f>
        <v/>
      </c>
    </row>
    <row r="4">
      <c r="A4" s="18" t="n">
        <v>44865</v>
      </c>
      <c r="B4" s="6" t="n">
        <v>33895.35</v>
      </c>
      <c r="C4" s="7" t="n">
        <v>29.11</v>
      </c>
      <c r="D4" s="19">
        <f>IFERROR(B4/C4,"")</f>
        <v/>
      </c>
      <c r="E4" s="20">
        <f>IFERROR(1/C4,"")</f>
        <v/>
      </c>
    </row>
    <row r="5">
      <c r="A5" s="18" t="n">
        <v>44895</v>
      </c>
      <c r="B5" s="6" t="n">
        <v>33847.33</v>
      </c>
      <c r="C5" s="7" t="n">
        <v>27.68</v>
      </c>
      <c r="D5" s="19">
        <f>IFERROR(B5/C5,"")</f>
        <v/>
      </c>
      <c r="E5" s="20">
        <f>IFERROR(1/C5,"")</f>
        <v/>
      </c>
    </row>
    <row r="6">
      <c r="A6" s="18" t="n">
        <v>44926</v>
      </c>
      <c r="B6" s="6" t="n">
        <v>32311.43</v>
      </c>
      <c r="C6" s="7" t="n">
        <v>24.03</v>
      </c>
      <c r="D6" s="19">
        <f>IFERROR(B6/C6,"")</f>
        <v/>
      </c>
      <c r="E6" s="20">
        <f>IFERROR(1/C6,"")</f>
        <v/>
      </c>
    </row>
    <row r="7">
      <c r="A7" s="18" t="n">
        <v>44957</v>
      </c>
      <c r="B7" s="6" t="n">
        <v>31359.23</v>
      </c>
      <c r="C7" s="7" t="n">
        <v>22.2</v>
      </c>
      <c r="D7" s="19">
        <f>IFERROR(B7/C7,"")</f>
        <v/>
      </c>
      <c r="E7" s="20">
        <f>IFERROR(1/C7,"")</f>
        <v/>
      </c>
    </row>
    <row r="8">
      <c r="A8" s="18" t="n">
        <v>44985</v>
      </c>
      <c r="B8" s="6" t="n">
        <v>31226.25</v>
      </c>
      <c r="C8" s="7" t="n">
        <v>21.42</v>
      </c>
      <c r="D8" s="19">
        <f>IFERROR(B8/C8,"")</f>
        <v/>
      </c>
      <c r="E8" s="20">
        <f>IFERROR(1/C8,"")</f>
        <v/>
      </c>
    </row>
    <row r="9">
      <c r="A9" s="18" t="n">
        <v>45016</v>
      </c>
      <c r="B9" s="6" t="n">
        <v>31284.8</v>
      </c>
      <c r="C9" s="7" t="n">
        <v>21.46</v>
      </c>
      <c r="D9" s="19">
        <f>IFERROR(B9/C9,"")</f>
        <v/>
      </c>
      <c r="E9" s="20">
        <f>IFERROR(1/C9,"")</f>
        <v/>
      </c>
    </row>
    <row r="10">
      <c r="A10" s="18" t="n">
        <v>45046</v>
      </c>
      <c r="B10" s="6" t="n">
        <v>32738.63</v>
      </c>
      <c r="C10" s="7" t="n">
        <v>22.55</v>
      </c>
      <c r="D10" s="19">
        <f>IFERROR(B10/C10,"")</f>
        <v/>
      </c>
      <c r="E10" s="20">
        <f>IFERROR(1/C10,"")</f>
        <v/>
      </c>
    </row>
    <row r="11">
      <c r="A11" s="18" t="n">
        <v>45077</v>
      </c>
      <c r="B11" s="6" t="n">
        <v>34866.66</v>
      </c>
      <c r="C11" s="7" t="n">
        <v>21.92</v>
      </c>
      <c r="D11" s="19">
        <f>IFERROR(B11/C11,"")</f>
        <v/>
      </c>
      <c r="E11" s="20">
        <f>IFERROR(1/C11,"")</f>
        <v/>
      </c>
    </row>
    <row r="12">
      <c r="A12" s="18" t="n">
        <v>45107</v>
      </c>
      <c r="B12" s="6" t="n">
        <v>36327.13</v>
      </c>
      <c r="C12" s="7" t="n">
        <v>18.35</v>
      </c>
      <c r="D12" s="19">
        <f>IFERROR(B12/C12,"")</f>
        <v/>
      </c>
      <c r="E12" s="20">
        <f>IFERROR(1/C12,"")</f>
        <v/>
      </c>
    </row>
    <row r="13">
      <c r="A13" s="18" t="n">
        <v>45138</v>
      </c>
      <c r="B13" s="6" t="n">
        <v>38726.36</v>
      </c>
      <c r="C13" s="7" t="n">
        <v>19.23</v>
      </c>
      <c r="D13" s="19">
        <f>IFERROR(B13/C13,"")</f>
        <v/>
      </c>
      <c r="E13" s="20">
        <f>IFERROR(1/C13,"")</f>
        <v/>
      </c>
    </row>
    <row r="14">
      <c r="A14" s="18" t="n">
        <v>45169</v>
      </c>
      <c r="B14" s="6" t="n">
        <v>40250.54</v>
      </c>
      <c r="C14" s="7" t="n">
        <v>19.06</v>
      </c>
      <c r="D14" s="19">
        <f>IFERROR(B14/C14,"")</f>
        <v/>
      </c>
      <c r="E14" s="20">
        <f>IFERROR(1/C14,"")</f>
        <v/>
      </c>
    </row>
    <row r="15">
      <c r="A15" s="18" t="n">
        <v>45199</v>
      </c>
      <c r="B15" s="6" t="n">
        <v>42207.08</v>
      </c>
      <c r="C15" s="7" t="n">
        <v>20.04</v>
      </c>
      <c r="D15" s="19">
        <f>IFERROR(B15/C15,"")</f>
        <v/>
      </c>
      <c r="E15" s="20">
        <f>IFERROR(1/C15,"")</f>
        <v/>
      </c>
    </row>
    <row r="16">
      <c r="A16" s="18" t="n">
        <v>45230</v>
      </c>
      <c r="B16" s="6" t="n">
        <v>40981.83</v>
      </c>
      <c r="C16" s="7" t="n">
        <v>19.02</v>
      </c>
      <c r="D16" s="19">
        <f>IFERROR(B16/C16,"")</f>
        <v/>
      </c>
      <c r="E16" s="20">
        <f>IFERROR(1/C16,"")</f>
        <v/>
      </c>
    </row>
    <row r="17">
      <c r="A17" s="18" t="n">
        <v>45260</v>
      </c>
      <c r="B17" s="6" t="n">
        <v>45797.11</v>
      </c>
      <c r="C17" s="7" t="n">
        <v>20.09</v>
      </c>
      <c r="D17" s="19">
        <f>IFERROR(B17/C17,"")</f>
        <v/>
      </c>
      <c r="E17" s="20">
        <f>IFERROR(1/C17,"")</f>
        <v/>
      </c>
    </row>
    <row r="18">
      <c r="A18" s="18" t="n">
        <v>45291</v>
      </c>
      <c r="B18" s="6" t="n">
        <v>48941.47</v>
      </c>
      <c r="C18" s="7" t="n">
        <v>23.67</v>
      </c>
      <c r="D18" s="19">
        <f>IFERROR(B18/C18,"")</f>
        <v/>
      </c>
      <c r="E18" s="20">
        <f>IFERROR(1/C18,"")</f>
        <v/>
      </c>
    </row>
    <row r="19">
      <c r="A19" s="18" t="n">
        <v>45322</v>
      </c>
      <c r="B19" s="6" t="n">
        <v>52673.45</v>
      </c>
      <c r="C19" s="7" t="n">
        <v>24.56</v>
      </c>
      <c r="D19" s="19">
        <f>IFERROR(B19/C19,"")</f>
        <v/>
      </c>
      <c r="E19" s="20">
        <f>IFERROR(1/C19,"")</f>
        <v/>
      </c>
    </row>
    <row r="20">
      <c r="A20" s="18" t="n">
        <v>45351</v>
      </c>
      <c r="B20" s="6" t="n">
        <v>52443</v>
      </c>
      <c r="C20" s="7" t="n">
        <v>23.55</v>
      </c>
      <c r="D20" s="19">
        <f>IFERROR(B20/C20,"")</f>
        <v/>
      </c>
      <c r="E20" s="20">
        <f>IFERROR(1/C20,"")</f>
        <v/>
      </c>
    </row>
    <row r="21">
      <c r="A21" s="18" t="n">
        <v>45382</v>
      </c>
      <c r="B21" s="6" t="n">
        <v>53214</v>
      </c>
      <c r="C21" s="7" t="n">
        <v>23.93</v>
      </c>
      <c r="D21" s="19">
        <f>IFERROR(B21/C21,"")</f>
        <v/>
      </c>
      <c r="E21" s="20">
        <f>IFERROR(1/C21,"")</f>
        <v/>
      </c>
    </row>
    <row r="22">
      <c r="A22" s="18" t="n">
        <v>45412</v>
      </c>
      <c r="B22" s="6" t="n">
        <v>57300.95</v>
      </c>
      <c r="C22" s="7" t="n">
        <v>25.6</v>
      </c>
      <c r="D22" s="19">
        <f>IFERROR(B22/C22,"")</f>
        <v/>
      </c>
      <c r="E22" s="20">
        <f>IFERROR(1/C22,"")</f>
        <v/>
      </c>
    </row>
    <row r="23">
      <c r="A23" s="18" t="n">
        <v>45443</v>
      </c>
      <c r="B23" s="6" t="n">
        <v>59932.25</v>
      </c>
      <c r="C23" s="7" t="n">
        <v>26.04</v>
      </c>
      <c r="D23" s="19">
        <f>IFERROR(B23/C23,"")</f>
        <v/>
      </c>
      <c r="E23" s="20">
        <f>IFERROR(1/C23,"")</f>
        <v/>
      </c>
    </row>
    <row r="24">
      <c r="A24" s="18" t="n">
        <v>45473</v>
      </c>
      <c r="B24" s="6" t="n">
        <v>62756.05</v>
      </c>
      <c r="C24" s="7" t="n">
        <v>34.08</v>
      </c>
      <c r="D24" s="19">
        <f>IFERROR(B24/C24,"")</f>
        <v/>
      </c>
      <c r="E24" s="20">
        <f>IFERROR(1/C24,"")</f>
        <v/>
      </c>
    </row>
    <row r="25">
      <c r="A25" s="18" t="n">
        <v>45504</v>
      </c>
      <c r="B25" s="6" t="n">
        <v>65642.75</v>
      </c>
      <c r="C25" s="7" t="n">
        <v>37.26</v>
      </c>
      <c r="D25" s="19">
        <f>IFERROR(B25/C25,"")</f>
        <v/>
      </c>
      <c r="E25" s="20">
        <f>IFERROR(1/C25,"")</f>
        <v/>
      </c>
    </row>
    <row r="26">
      <c r="A26" s="18" t="n">
        <v>45535</v>
      </c>
      <c r="B26" s="6" t="n">
        <v>66418</v>
      </c>
      <c r="C26" s="7" t="n">
        <v>36.11</v>
      </c>
      <c r="D26" s="19">
        <f>IFERROR(B26/C26,"")</f>
        <v/>
      </c>
      <c r="E26" s="20">
        <f>IFERROR(1/C26,"")</f>
        <v/>
      </c>
    </row>
    <row r="27">
      <c r="A27" s="18" t="n">
        <v>45565</v>
      </c>
      <c r="B27" s="6" t="n">
        <v>67046.95</v>
      </c>
      <c r="C27" s="7" t="n">
        <v>36.43</v>
      </c>
      <c r="D27" s="19">
        <f>IFERROR(B27/C27,"")</f>
        <v/>
      </c>
      <c r="E27" s="20">
        <f>IFERROR(1/C27,"")</f>
        <v/>
      </c>
    </row>
    <row r="28">
      <c r="A28" s="18" t="n">
        <v>45596</v>
      </c>
      <c r="B28" s="6" t="n">
        <v>63043.1</v>
      </c>
      <c r="C28" s="7" t="n">
        <v>34.85</v>
      </c>
      <c r="D28" s="19">
        <f>IFERROR(B28/C28,"")</f>
        <v/>
      </c>
      <c r="E28" s="20">
        <f>IFERROR(1/C28,"")</f>
        <v/>
      </c>
    </row>
    <row r="29">
      <c r="A29" s="18" t="n">
        <v>45626</v>
      </c>
      <c r="B29" s="6" t="n">
        <v>63774</v>
      </c>
      <c r="C29" s="7" t="n">
        <v>34.45</v>
      </c>
      <c r="D29" s="19">
        <f>IFERROR(B29/C29,"")</f>
        <v/>
      </c>
      <c r="E29" s="20">
        <f>IFERROR(1/C29,"")</f>
        <v/>
      </c>
    </row>
    <row r="30">
      <c r="A30" s="18" t="n">
        <v>45657</v>
      </c>
      <c r="B30" s="6" t="n">
        <v>64397</v>
      </c>
      <c r="C30" s="7" t="n">
        <v>45.04</v>
      </c>
      <c r="D30" s="19">
        <f>IFERROR(B30/C30,"")</f>
        <v/>
      </c>
      <c r="E30" s="20">
        <f>IFERROR(1/C30,"")</f>
        <v/>
      </c>
    </row>
    <row r="31">
      <c r="A31" s="18" t="n">
        <v>45688</v>
      </c>
      <c r="B31" s="6" t="n">
        <v>57144.4</v>
      </c>
      <c r="C31" s="7" t="n">
        <v>38.01</v>
      </c>
      <c r="D31" s="19">
        <f>IFERROR(B31/C31,"")</f>
        <v/>
      </c>
      <c r="E31" s="20">
        <f>IFERROR(1/C31,"")</f>
        <v/>
      </c>
    </row>
    <row r="32">
      <c r="A32" s="18" t="n">
        <v>45716</v>
      </c>
      <c r="B32" s="6" t="n">
        <v>50836.35</v>
      </c>
      <c r="C32" s="7" t="n">
        <v>33.74</v>
      </c>
      <c r="D32" s="19">
        <f>IFERROR(B32/C32,"")</f>
        <v/>
      </c>
      <c r="E32" s="20">
        <f>IFERROR(1/C32,"")</f>
        <v/>
      </c>
    </row>
    <row r="33">
      <c r="A33" s="18" t="n">
        <v>45747</v>
      </c>
      <c r="B33" s="6" t="n">
        <v>55578</v>
      </c>
      <c r="C33" s="7" t="n">
        <v>36.9</v>
      </c>
      <c r="D33" s="19">
        <f>IFERROR(B33/C33,"")</f>
        <v/>
      </c>
      <c r="E33" s="20">
        <f>IFERROR(1/C33,"")</f>
        <v/>
      </c>
    </row>
    <row r="34">
      <c r="A34" s="18" t="n">
        <v>45777</v>
      </c>
      <c r="B34" s="6" t="n">
        <v>57721.15</v>
      </c>
      <c r="C34" s="7" t="n">
        <v>38.29</v>
      </c>
      <c r="D34" s="19">
        <f>IFERROR(B34/C34,"")</f>
        <v/>
      </c>
      <c r="E34" s="20">
        <f>IFERROR(1/C34,"")</f>
        <v/>
      </c>
    </row>
    <row r="35">
      <c r="A35" s="18" t="n">
        <v>45808</v>
      </c>
      <c r="B35" s="6" t="n">
        <v>60946.05</v>
      </c>
      <c r="C35" s="7" t="n">
        <v>38.68</v>
      </c>
      <c r="D35" s="19">
        <f>IFERROR(B35/C35,"")</f>
        <v/>
      </c>
      <c r="E35" s="20">
        <f>IFERROR(1/C35,"")</f>
        <v/>
      </c>
    </row>
    <row r="36">
      <c r="A36" s="18" t="n">
        <v>45838</v>
      </c>
      <c r="B36" s="6" t="n">
        <v>63979.45</v>
      </c>
      <c r="C36" s="7" t="n">
        <v>47.08</v>
      </c>
      <c r="D36" s="19">
        <f>IFERROR(B36/C36,"")</f>
        <v/>
      </c>
      <c r="E36" s="20">
        <f>IFERROR(1/C36,"")</f>
        <v/>
      </c>
    </row>
    <row r="37">
      <c r="A37" s="18" t="n">
        <v>45869</v>
      </c>
      <c r="B37" s="6" t="n">
        <v>61231.2</v>
      </c>
      <c r="C37" s="7" t="n">
        <v>43.32</v>
      </c>
      <c r="D37" s="19">
        <f>IFERROR(B37/C37,"")</f>
        <v/>
      </c>
      <c r="E37" s="20">
        <f>IFERROR(1/C37,"")</f>
        <v/>
      </c>
    </row>
    <row r="38">
      <c r="A38" s="18" t="n">
        <v>45900</v>
      </c>
      <c r="B38" s="6" t="n">
        <v>59410.45</v>
      </c>
      <c r="C38" s="7" t="n">
        <v>40.14</v>
      </c>
      <c r="D38" s="19">
        <f>IFERROR(B38/C38,"")</f>
        <v/>
      </c>
      <c r="E38" s="20">
        <f>IFERROR(1/C38,"")</f>
        <v/>
      </c>
    </row>
    <row r="39">
      <c r="A39" s="18" t="n">
        <v>45930</v>
      </c>
      <c r="B39" s="6" t="n">
        <v>58708.5</v>
      </c>
      <c r="C39" s="7" t="n">
        <v>39.77</v>
      </c>
      <c r="D39" s="19">
        <f>IFERROR(B39/C39,"")</f>
        <v/>
      </c>
      <c r="E39" s="20">
        <f>IFERROR(1/C39,"")</f>
        <v/>
      </c>
    </row>
    <row r="40">
      <c r="A40" s="18" t="n">
        <v>45961</v>
      </c>
      <c r="B40" s="6" t="n">
        <v>61909</v>
      </c>
      <c r="C40" s="7" t="n">
        <v>39.87</v>
      </c>
      <c r="D40" s="19">
        <f>IFERROR(B40/C40,"")</f>
        <v/>
      </c>
      <c r="E40" s="20">
        <f>IFERROR(1/C40,"")</f>
        <v/>
      </c>
    </row>
    <row r="41">
      <c r="A41" s="18" t="n">
        <v>45991</v>
      </c>
      <c r="B41" s="6" t="n">
        <v>63596.6</v>
      </c>
      <c r="C41" s="7" t="n">
        <v>38.99</v>
      </c>
      <c r="D41" s="19">
        <f>IFERROR(B41/C41,"")</f>
        <v/>
      </c>
      <c r="E41" s="20">
        <f>IFERROR(1/C41,"")</f>
        <v/>
      </c>
    </row>
    <row r="42">
      <c r="A42" s="18" t="n">
        <v>46022</v>
      </c>
      <c r="B42" s="6" t="n">
        <v>61915.4</v>
      </c>
      <c r="C42" s="7" t="n">
        <v>34.07</v>
      </c>
      <c r="D42" s="19">
        <f>IFERROR(B42/C42,"")</f>
        <v/>
      </c>
      <c r="E42" s="20">
        <f>IFERROR(1/C42,"")</f>
        <v/>
      </c>
    </row>
    <row r="43">
      <c r="A43" s="18" t="n">
        <v>46053</v>
      </c>
      <c r="B43" s="6" t="n">
        <v>60518.55</v>
      </c>
      <c r="C43" s="7" t="n">
        <v>32.27</v>
      </c>
      <c r="D43" s="19">
        <f>IFERROR(B43/C43,"")</f>
        <v/>
      </c>
      <c r="E43" s="20">
        <f>IFERROR(1/C43,"")</f>
        <v/>
      </c>
    </row>
    <row r="44">
      <c r="A44" s="18" t="n">
        <v>46081</v>
      </c>
      <c r="B44" s="6" t="n">
        <v>61701.4</v>
      </c>
      <c r="C44" s="7" t="n">
        <v>32.22</v>
      </c>
      <c r="D44" s="19">
        <f>IFERROR(B44/C44,"")</f>
        <v/>
      </c>
      <c r="E44" s="20">
        <f>IFERROR(1/C44,"")</f>
        <v/>
      </c>
    </row>
    <row r="45">
      <c r="A45" s="18" t="n">
        <v>46112</v>
      </c>
      <c r="B45" s="6" t="n">
        <v>54460.9</v>
      </c>
      <c r="C45" s="7" t="n">
        <v>28.45</v>
      </c>
      <c r="D45" s="19">
        <f>IFERROR(B45/C45,"")</f>
        <v/>
      </c>
      <c r="E45" s="20">
        <f>IFERROR(1/C45,"")</f>
        <v/>
      </c>
    </row>
    <row r="46">
      <c r="A46" s="18" t="n">
        <v>46142</v>
      </c>
      <c r="B46" s="6" t="n">
        <v>61128.35</v>
      </c>
      <c r="C46" s="7" t="n">
        <v>31.41</v>
      </c>
      <c r="D46" s="19">
        <f>IFERROR(B46/C46,"")</f>
        <v/>
      </c>
      <c r="E46" s="20">
        <f>IFERROR(1/C46,"")</f>
        <v/>
      </c>
    </row>
    <row r="47">
      <c r="A47" s="18" t="n">
        <v>46173</v>
      </c>
      <c r="B47" s="6" t="n">
        <v>63420.95</v>
      </c>
      <c r="C47" s="7" t="n">
        <v>25.22</v>
      </c>
      <c r="D47" s="19">
        <f>IFERROR(B47/C47,"")</f>
        <v/>
      </c>
      <c r="E47" s="20">
        <f>IFERROR(1/C47,"")</f>
        <v/>
      </c>
    </row>
    <row r="48">
      <c r="A48" s="18" t="n">
        <v>46203</v>
      </c>
      <c r="B48" s="6" t="n">
        <v>63228.6</v>
      </c>
      <c r="C48" s="7" t="n">
        <v>29.52</v>
      </c>
      <c r="D48" s="19">
        <f>IFERROR(B48/C48,"")</f>
        <v/>
      </c>
      <c r="E48" s="20">
        <f>IFERROR(1/C48,"")</f>
        <v/>
      </c>
    </row>
    <row r="49">
      <c r="A49" s="18" t="n">
        <v>46234</v>
      </c>
      <c r="B49" s="6" t="n">
        <v>62913.45</v>
      </c>
      <c r="C49" s="7" t="n">
        <v>28.11</v>
      </c>
      <c r="D49" s="19">
        <f>IFERROR(B49/C49,"")</f>
        <v/>
      </c>
      <c r="E49" s="20">
        <f>IFERROR(1/C49,"")</f>
        <v/>
      </c>
    </row>
    <row r="50">
      <c r="A50" s="18" t="n">
        <v>46265</v>
      </c>
      <c r="B50" s="6" t="n">
        <v>65309.35</v>
      </c>
      <c r="C50" s="7" t="n">
        <v>27.81</v>
      </c>
      <c r="D50" s="19">
        <f>IFERROR(B50/C50,"")</f>
        <v/>
      </c>
      <c r="E50" s="20">
        <f>IFERROR(1/C50,"")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44834</v>
      </c>
      <c r="B2" s="6" t="n">
        <v>33143.91</v>
      </c>
      <c r="C2" s="7" t="n">
        <v>29.6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IF(C2="","",(COUNTIFS($D$2:$D$17,D2,$C$2:$C$17,"&gt;0",$C$2:$C$17,"&lt;"&amp;C2)+(COUNTIFS($D$2:$D$17,D2,$C$2:$C$17,C2)+1)/2)/COUNTIFS($D$2:$D$17,D2,$C$2:$C$17,"&gt;0"))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44926</v>
      </c>
      <c r="B3" s="6" t="n">
        <v>32311.43</v>
      </c>
      <c r="C3" s="7" t="n">
        <v>24.03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IF(C3="","",(COUNTIFS($D$2:$D$17,D3,$C$2:$C$17,"&gt;0",$C$2:$C$17,"&lt;"&amp;C3)+(COUNTIFS($D$2:$D$17,D3,$C$2:$C$17,C3)+1)/2)/COUNTIFS($D$2:$D$17,D3,$C$2:$C$17,"&gt;0"))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45016</v>
      </c>
      <c r="B4" s="6" t="n">
        <v>31284.8</v>
      </c>
      <c r="C4" s="7" t="n">
        <v>21.46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IF(C4="","",(COUNTIFS($D$2:$D$17,D4,$C$2:$C$17,"&gt;0",$C$2:$C$17,"&lt;"&amp;C4)+(COUNTIFS($D$2:$D$17,D4,$C$2:$C$17,C4)+1)/2)/COUNTIFS($D$2:$D$17,D4,$C$2:$C$17,"&gt;0"))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45107</v>
      </c>
      <c r="B5" s="6" t="n">
        <v>36327.13</v>
      </c>
      <c r="C5" s="7" t="n">
        <v>18.35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IF(C5="","",(COUNTIFS($D$2:$D$17,D5,$C$2:$C$17,"&gt;0",$C$2:$C$17,"&lt;"&amp;C5)+(COUNTIFS($D$2:$D$17,D5,$C$2:$C$17,C5)+1)/2)/COUNTIFS($D$2:$D$17,D5,$C$2:$C$17,"&gt;0"))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45199</v>
      </c>
      <c r="B6" s="6" t="n">
        <v>42207.08</v>
      </c>
      <c r="C6" s="7" t="n">
        <v>20.04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IF(C6="","",(COUNTIFS($D$2:$D$17,D6,$C$2:$C$17,"&gt;0",$C$2:$C$17,"&lt;"&amp;C6)+(COUNTIFS($D$2:$D$17,D6,$C$2:$C$17,C6)+1)/2)/COUNTIFS($D$2:$D$17,D6,$C$2:$C$17,"&gt;0"))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45291</v>
      </c>
      <c r="B7" s="6" t="n">
        <v>48941.47</v>
      </c>
      <c r="C7" s="7" t="n">
        <v>23.67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IF(C7="","",(COUNTIFS($D$2:$D$17,D7,$C$2:$C$17,"&gt;0",$C$2:$C$17,"&lt;"&amp;C7)+(COUNTIFS($D$2:$D$17,D7,$C$2:$C$17,C7)+1)/2)/COUNTIFS($D$2:$D$17,D7,$C$2:$C$17,"&gt;0"))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45382</v>
      </c>
      <c r="B8" s="6" t="n">
        <v>53214</v>
      </c>
      <c r="C8" s="7" t="n">
        <v>23.93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IF(C8="","",(COUNTIFS($D$2:$D$17,D8,$C$2:$C$17,"&gt;0",$C$2:$C$17,"&lt;"&amp;C8)+(COUNTIFS($D$2:$D$17,D8,$C$2:$C$17,C8)+1)/2)/COUNTIFS($D$2:$D$17,D8,$C$2:$C$17,"&gt;0"))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45473</v>
      </c>
      <c r="B9" s="6" t="n">
        <v>62756.05</v>
      </c>
      <c r="C9" s="7" t="n">
        <v>34.08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IF(C9="","",(COUNTIFS($D$2:$D$17,D9,$C$2:$C$17,"&gt;0",$C$2:$C$17,"&lt;"&amp;C9)+(COUNTIFS($D$2:$D$17,D9,$C$2:$C$17,C9)+1)/2)/COUNTIFS($D$2:$D$17,D9,$C$2:$C$17,"&gt;0"))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45565</v>
      </c>
      <c r="B10" s="6" t="n">
        <v>67046.95</v>
      </c>
      <c r="C10" s="7" t="n">
        <v>36.43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IF(C10="","",(COUNTIFS($D$2:$D$17,D10,$C$2:$C$17,"&gt;0",$C$2:$C$17,"&lt;"&amp;C10)+(COUNTIFS($D$2:$D$17,D10,$C$2:$C$17,C10)+1)/2)/COUNTIFS($D$2:$D$17,D10,$C$2:$C$17,"&gt;0"))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45657</v>
      </c>
      <c r="B11" s="6" t="n">
        <v>64397</v>
      </c>
      <c r="C11" s="7" t="n">
        <v>45.04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IF(C11="","",(COUNTIFS($D$2:$D$17,D11,$C$2:$C$17,"&gt;0",$C$2:$C$17,"&lt;"&amp;C11)+(COUNTIFS($D$2:$D$17,D11,$C$2:$C$17,C11)+1)/2)/COUNTIFS($D$2:$D$17,D11,$C$2:$C$17,"&gt;0"))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45747</v>
      </c>
      <c r="B12" s="6" t="n">
        <v>55578</v>
      </c>
      <c r="C12" s="7" t="n">
        <v>36.9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IF(C12="","",(COUNTIFS($D$2:$D$17,D12,$C$2:$C$17,"&gt;0",$C$2:$C$17,"&lt;"&amp;C12)+(COUNTIFS($D$2:$D$17,D12,$C$2:$C$17,C12)+1)/2)/COUNTIFS($D$2:$D$17,D12,$C$2:$C$17,"&gt;0"))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45838</v>
      </c>
      <c r="B13" s="6" t="n">
        <v>63979.45</v>
      </c>
      <c r="C13" s="7" t="n">
        <v>47.08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IF(C13="","",(COUNTIFS($D$2:$D$17,D13,$C$2:$C$17,"&gt;0",$C$2:$C$17,"&lt;"&amp;C13)+(COUNTIFS($D$2:$D$17,D13,$C$2:$C$17,C13)+1)/2)/COUNTIFS($D$2:$D$17,D13,$C$2:$C$17,"&gt;0"))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45930</v>
      </c>
      <c r="B14" s="6" t="n">
        <v>58708.5</v>
      </c>
      <c r="C14" s="7" t="n">
        <v>39.77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IF(C14="","",(COUNTIFS($D$2:$D$17,D14,$C$2:$C$17,"&gt;0",$C$2:$C$17,"&lt;"&amp;C14)+(COUNTIFS($D$2:$D$17,D14,$C$2:$C$17,C14)+1)/2)/COUNTIFS($D$2:$D$17,D14,$C$2:$C$17,"&gt;0"))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46022</v>
      </c>
      <c r="B15" s="6" t="n">
        <v>61915.4</v>
      </c>
      <c r="C15" s="7" t="n">
        <v>34.07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IF(C15="","",(COUNTIFS($D$2:$D$17,D15,$C$2:$C$17,"&gt;0",$C$2:$C$17,"&lt;"&amp;C15)+(COUNTIFS($D$2:$D$17,D15,$C$2:$C$17,C15)+1)/2)/COUNTIFS($D$2:$D$17,D15,$C$2:$C$17,"&gt;0"))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46112</v>
      </c>
      <c r="B16" s="6" t="n">
        <v>54460.9</v>
      </c>
      <c r="C16" s="7" t="n">
        <v>28.45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IF(C16="","",(COUNTIFS($D$2:$D$17,D16,$C$2:$C$17,"&gt;0",$C$2:$C$17,"&lt;"&amp;C16)+(COUNTIFS($D$2:$D$17,D16,$C$2:$C$17,C16)+1)/2)/COUNTIFS($D$2:$D$17,D16,$C$2:$C$17,"&gt;0"))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46203</v>
      </c>
      <c r="B17" s="6" t="n">
        <v>63228.6</v>
      </c>
      <c r="C17" s="7" t="n">
        <v>29.52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IF(C17="","",(COUNTIFS($D$2:$D$17,D17,$C$2:$C$17,"&gt;0",$C$2:$C$17,"&lt;"&amp;C17)+(COUNTIFS($D$2:$D$17,D17,$C$2:$C$17,C17)+1)/2)/COUNTIFS($D$2:$D$17,D17,$C$2:$C$17,"&gt;0"))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63369.2</v>
      </c>
      <c r="C2" s="7" t="n">
        <v>26.98</v>
      </c>
      <c r="D2" s="8" t="n">
        <v>0.39</v>
      </c>
      <c r="E2" s="8" t="n">
        <v>0.586807572215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2026-09-21T10:07:37Z</dcterms:created>
  <dcterms:modified xsi:type="dcterms:W3CDTF">2026-09-21T10:07:37Z</dcterms:modified>
</cp:coreProperties>
</file>