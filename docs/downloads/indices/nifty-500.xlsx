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exConstituent/ind_nifty500list.csv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2" customWidth="1" min="4" max="4"/>
    <col width="21" customWidth="1" min="5" max="5"/>
    <col width="21" customWidth="1" min="6" max="6"/>
    <col width="21" customWidth="1" min="7" max="7"/>
  </cols>
  <sheetData>
    <row r="1" ht="26" customHeight="1">
      <c r="A1" s="1" t="inlineStr">
        <is>
          <t>NIFTY 500 Valuation Tracker</t>
        </is>
      </c>
    </row>
    <row r="2">
      <c r="A2" s="2" t="inlineStr">
        <is>
          <t>As of</t>
        </is>
      </c>
      <c r="B2" s="23" t="n">
        <v>46310</v>
      </c>
      <c r="D2" s="2" t="inlineStr">
        <is>
          <t>Group</t>
        </is>
      </c>
      <c r="E2" s="4" t="inlineStr">
        <is>
          <t>Broad Market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22180.8</v>
      </c>
      <c r="D5" s="2" t="inlineStr">
        <is>
          <t>P/E</t>
        </is>
      </c>
      <c r="E5" s="25" t="n">
        <v>21.83</v>
      </c>
    </row>
    <row r="6">
      <c r="A6" s="2" t="inlineStr">
        <is>
          <t>P/E percentile</t>
        </is>
      </c>
      <c r="B6" s="26" t="n">
        <v>0.1716417910447761</v>
      </c>
      <c r="D6" s="2" t="inlineStr">
        <is>
          <t>Implied EPS</t>
        </is>
      </c>
      <c r="E6" s="27" t="n">
        <v>1016.069628950985</v>
      </c>
    </row>
    <row r="7">
      <c r="A7" s="2" t="inlineStr">
        <is>
          <t>YoY implied EPS growth</t>
        </is>
      </c>
      <c r="B7" s="26" t="n">
        <v>0.06399504292488722</v>
      </c>
      <c r="D7" s="2" t="inlineStr">
        <is>
          <t>Earnings yield</t>
        </is>
      </c>
      <c r="E7" s="10" t="n">
        <v>0.04580852038479157</v>
      </c>
    </row>
    <row r="8">
      <c r="A8" s="2" t="inlineStr">
        <is>
          <t>Valuation score</t>
        </is>
      </c>
      <c r="B8" s="28" t="n">
        <v>82.83582089552239</v>
      </c>
      <c r="D8" s="2" t="inlineStr">
        <is>
          <t>Growth score</t>
        </is>
      </c>
      <c r="E8" s="28" t="n">
        <v>45.59801716995489</v>
      </c>
    </row>
    <row r="9">
      <c r="A9" s="2" t="inlineStr">
        <is>
          <t>Composite score</t>
        </is>
      </c>
      <c r="B9" s="28" t="n">
        <v>71.66447977785214</v>
      </c>
      <c r="D9" s="2" t="inlineStr">
        <is>
          <t>Signal</t>
        </is>
      </c>
      <c r="E9" s="12" t="inlineStr">
        <is>
          <t>BUY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22.17215819695842</v>
      </c>
      <c r="C13" s="15" t="n">
        <v>22528.45655222609</v>
      </c>
      <c r="D13" s="30" t="n">
        <v>0.01567376074019355</v>
      </c>
    </row>
    <row r="14">
      <c r="A14" t="inlineStr">
        <is>
          <t>HOLD → SELL</t>
        </is>
      </c>
      <c r="B14" s="29" t="n">
        <v>24.45</v>
      </c>
      <c r="C14" s="15" t="n">
        <v>24842.90242785158</v>
      </c>
      <c r="D14" s="30" t="n">
        <v>0.1200183234081538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8</v>
      </c>
      <c r="C18" s="30" t="n">
        <v>0.2391295924614276</v>
      </c>
      <c r="D18" s="30" t="n">
        <v>0.1441412966122997</v>
      </c>
      <c r="E18" s="30" t="n">
        <v>0.1515792551121545</v>
      </c>
      <c r="F18" s="30" t="n">
        <v>0.1288829053514899</v>
      </c>
      <c r="G18" s="30" t="n">
        <v>0</v>
      </c>
    </row>
    <row r="19">
      <c r="A19" t="inlineStr">
        <is>
          <t>Q2</t>
        </is>
      </c>
      <c r="B19" t="n">
        <v>9</v>
      </c>
      <c r="C19" s="30" t="n">
        <v>0.1935021774008709</v>
      </c>
      <c r="D19" s="30" t="n">
        <v>0.08474532333213247</v>
      </c>
      <c r="E19" s="30" t="n">
        <v>0.1365299354764277</v>
      </c>
      <c r="F19" s="30" t="n">
        <v>0.1210836476657601</v>
      </c>
      <c r="G19" s="30" t="n">
        <v>0.1428571428571428</v>
      </c>
    </row>
    <row r="20">
      <c r="A20" t="inlineStr">
        <is>
          <t>Q3</t>
        </is>
      </c>
      <c r="B20" t="n">
        <v>8</v>
      </c>
      <c r="C20" s="30" t="n">
        <v>9.09976554721581e-05</v>
      </c>
      <c r="D20" s="30" t="n">
        <v>0.166570878823761</v>
      </c>
      <c r="E20" s="30" t="n">
        <v>0.1861008326237956</v>
      </c>
      <c r="F20" s="30" t="n"/>
      <c r="G20" s="30" t="n">
        <v>0</v>
      </c>
    </row>
    <row r="21">
      <c r="A21" t="inlineStr">
        <is>
          <t>Q4</t>
        </is>
      </c>
      <c r="B21" t="n">
        <v>9</v>
      </c>
      <c r="C21" s="30" t="n">
        <v>0.05407942198866023</v>
      </c>
      <c r="D21" s="30" t="n">
        <v>0.1426937745530534</v>
      </c>
      <c r="E21" s="30" t="n">
        <v>0.1302514261207753</v>
      </c>
      <c r="F21" s="30" t="n"/>
      <c r="G21" s="30" t="n">
        <v>0</v>
      </c>
    </row>
    <row r="22">
      <c r="A22" t="inlineStr">
        <is>
          <t>Q5 Most Expensive</t>
        </is>
      </c>
      <c r="B22" t="n">
        <v>10</v>
      </c>
      <c r="C22" s="30" t="n">
        <v>-0.0106087366549088</v>
      </c>
      <c r="D22" s="30" t="n">
        <v>0.1763303040153759</v>
      </c>
      <c r="E22" s="30" t="n">
        <v>0.1348735006127858</v>
      </c>
      <c r="F22" s="30" t="n"/>
      <c r="G22" s="30" t="n">
        <v>0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44</v>
      </c>
    </row>
    <row r="27">
      <c r="A27" s="2" t="inlineStr">
        <is>
          <t>Backtest start</t>
        </is>
      </c>
      <c r="B27" t="inlineStr">
        <is>
          <t>2015-12-31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12364.35</v>
      </c>
      <c r="C2" s="25" t="n">
        <v>35.37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13226.35</v>
      </c>
      <c r="C3" s="25" t="n">
        <v>31.33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13473.55</v>
      </c>
      <c r="C4" s="25" t="n">
        <v>30.2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13664.25</v>
      </c>
      <c r="C5" s="25" t="n">
        <v>28.82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14555.9</v>
      </c>
      <c r="C6" s="25" t="n">
        <v>27.21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15052.65</v>
      </c>
      <c r="C7" s="25" t="n">
        <v>28.02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15086.9</v>
      </c>
      <c r="C8" s="25" t="n">
        <v>26.92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14648.35</v>
      </c>
      <c r="C9" s="25" t="n">
        <v>24.7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14996.2</v>
      </c>
      <c r="C10" s="25" t="n">
        <v>25.44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14921.45</v>
      </c>
      <c r="C11" s="25" t="n">
        <v>24.77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14307.95</v>
      </c>
      <c r="C12" s="25" t="n">
        <v>22.67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14894.5</v>
      </c>
      <c r="C13" s="25" t="n">
        <v>23.67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14783.35</v>
      </c>
      <c r="C14" s="25" t="n">
        <v>23.15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14119.6</v>
      </c>
      <c r="C15" s="25" t="n">
        <v>21.07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13387.55</v>
      </c>
      <c r="C16" s="25" t="n">
        <v>20.05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14665.65</v>
      </c>
      <c r="C17" s="25" t="n">
        <v>21.47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15325.05</v>
      </c>
      <c r="C18" s="25" t="n">
        <v>22.25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14829.35</v>
      </c>
      <c r="C19" s="25" t="n">
        <v>21.65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15424</v>
      </c>
      <c r="C20" s="25" t="n">
        <v>22.21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15946.15</v>
      </c>
      <c r="C21" s="25" t="n">
        <v>23.43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15448.85</v>
      </c>
      <c r="C22" s="25" t="n">
        <v>22.85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14935.5</v>
      </c>
      <c r="C23" s="25" t="n">
        <v>21.76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14518.75</v>
      </c>
      <c r="C24" s="25" t="n">
        <v>21.21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14557.85</v>
      </c>
      <c r="C25" s="25" t="n">
        <v>21.14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15219.55</v>
      </c>
      <c r="C26" s="25" t="n">
        <v>21.82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15766.4</v>
      </c>
      <c r="C27" s="25" t="n">
        <v>22.56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16430</v>
      </c>
      <c r="C28" s="25" t="n">
        <v>23.51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17059</v>
      </c>
      <c r="C29" s="25" t="n">
        <v>24.24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16924.3</v>
      </c>
      <c r="C30" s="25" t="n">
        <v>23.07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17292.6</v>
      </c>
      <c r="C31" s="25" t="n">
        <v>23.45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16801.1</v>
      </c>
      <c r="C32" s="25" t="n">
        <v>21.78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17987.95</v>
      </c>
      <c r="C33" s="25" t="n">
        <v>22.68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19429.15</v>
      </c>
      <c r="C34" s="25" t="n">
        <v>24.48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19802.1</v>
      </c>
      <c r="C35" s="25" t="n">
        <v>24.2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20090.05</v>
      </c>
      <c r="C36" s="25" t="n">
        <v>24.37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20255.15</v>
      </c>
      <c r="C37" s="25" t="n">
        <v>24.74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20997.2</v>
      </c>
      <c r="C38" s="25" t="n">
        <v>24.73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21103.3</v>
      </c>
      <c r="C39" s="25" t="n">
        <v>24.48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22559.7</v>
      </c>
      <c r="C40" s="25" t="n">
        <v>26.23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23530.8</v>
      </c>
      <c r="C41" s="25" t="n">
        <v>27.1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23734.55</v>
      </c>
      <c r="C42" s="25" t="n">
        <v>27.19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24245.2</v>
      </c>
      <c r="C43" s="25" t="n">
        <v>27.87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22689.35</v>
      </c>
      <c r="C44" s="25" t="n">
        <v>26.07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22687</v>
      </c>
      <c r="C45" s="25" t="n">
        <v>25.77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22375.4</v>
      </c>
      <c r="C46" s="25" t="n">
        <v>25.56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21580.9</v>
      </c>
      <c r="C47" s="25" t="n">
        <v>24.27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19880.9</v>
      </c>
      <c r="C48" s="25" t="n">
        <v>21.84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21339.55</v>
      </c>
      <c r="C49" s="25" t="n">
        <v>23.54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22030.05</v>
      </c>
      <c r="C50" s="25" t="n">
        <v>24.09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22801.95</v>
      </c>
      <c r="C51" s="25" t="n">
        <v>24.59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23617.2</v>
      </c>
      <c r="C52" s="25" t="n">
        <v>25.34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22914.95</v>
      </c>
      <c r="C53" s="25" t="n">
        <v>24.27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22462.95</v>
      </c>
      <c r="C54" s="25" t="n">
        <v>23.49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22734.1</v>
      </c>
      <c r="C55" s="25" t="n">
        <v>23.8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23710.4</v>
      </c>
      <c r="C56" s="25" t="n">
        <v>24.6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23933.2</v>
      </c>
      <c r="C57" s="25" t="n">
        <v>24.45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23871.55</v>
      </c>
      <c r="C58" s="25" t="n">
        <v>24.45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23079.5</v>
      </c>
      <c r="C59" s="25" t="n">
        <v>23.48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23166.85</v>
      </c>
      <c r="C60" s="25" t="n">
        <v>23.5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20528.05</v>
      </c>
      <c r="C61" s="25" t="n">
        <v>21.24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22683.55</v>
      </c>
      <c r="C62" s="25" t="n">
        <v>23.23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22657</v>
      </c>
      <c r="C63" s="25" t="n">
        <v>22.45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22995.65</v>
      </c>
      <c r="C64" s="25" t="n">
        <v>22.72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23460.7</v>
      </c>
      <c r="C65" s="25" t="n">
        <v>23.09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23450.35</v>
      </c>
      <c r="C66" s="25" t="n">
        <v>22.73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22072.1</v>
      </c>
      <c r="C67" s="25" t="n">
        <v>21.77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32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42369</v>
      </c>
      <c r="B2" s="24" t="n">
        <v>6724.75</v>
      </c>
      <c r="C2" s="25" t="n">
        <v>23.6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IF(C2="","",(COUNTIFS($D$2:$D$45,D2,$C$2:$C$45,"&gt;0",$C$2:$C$45,"&lt;"&amp;C2)+(COUNTIFS($D$2:$D$45,D2,$C$2:$C$45,C2)+1)/2)/COUNTIFS($D$2:$D$45,D2,$C$2:$C$45,"&gt;0"))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>
        <f>IFERROR((B42/B2)^(1/10)-1,"")</f>
        <v/>
      </c>
    </row>
    <row r="3">
      <c r="A3" s="31" t="n">
        <v>42460</v>
      </c>
      <c r="B3" s="24" t="n">
        <v>6452.15</v>
      </c>
      <c r="C3" s="25" t="n">
        <v>22.81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IF(C3="","",(COUNTIFS($D$2:$D$45,D3,$C$2:$C$45,"&gt;0",$C$2:$C$45,"&lt;"&amp;C3)+(COUNTIFS($D$2:$D$45,D3,$C$2:$C$45,C3)+1)/2)/COUNTIFS($D$2:$D$45,D3,$C$2:$C$45,"&gt;0"))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>
        <f>IFERROR((B43/B3)^(1/10)-1,"")</f>
        <v/>
      </c>
    </row>
    <row r="4">
      <c r="A4" s="31" t="n">
        <v>42551</v>
      </c>
      <c r="B4" s="24" t="n">
        <v>6980.8</v>
      </c>
      <c r="C4" s="25" t="n">
        <v>25.89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IF(C4="","",(COUNTIFS($D$2:$D$45,D4,$C$2:$C$45,"&gt;0",$C$2:$C$45,"&lt;"&amp;C4)+(COUNTIFS($D$2:$D$45,D4,$C$2:$C$45,C4)+1)/2)/COUNTIFS($D$2:$D$45,D4,$C$2:$C$45,"&gt;0"))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>
        <f>IFERROR((B44/B4)^(1/10)-1,"")</f>
        <v/>
      </c>
    </row>
    <row r="5">
      <c r="A5" s="31" t="n">
        <v>42643</v>
      </c>
      <c r="B5" s="24" t="n">
        <v>7394.85</v>
      </c>
      <c r="C5" s="25" t="n">
        <v>27.49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IF(C5="","",(COUNTIFS($D$2:$D$45,D5,$C$2:$C$45,"&gt;0",$C$2:$C$45,"&lt;"&amp;C5)+(COUNTIFS($D$2:$D$45,D5,$C$2:$C$45,C5)+1)/2)/COUNTIFS($D$2:$D$45,D5,$C$2:$C$45,"&gt;0"))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>
        <f>IFERROR((B45/B5)^(1/10)-1,"")</f>
        <v/>
      </c>
    </row>
    <row r="6">
      <c r="A6" s="31" t="n">
        <v>42735</v>
      </c>
      <c r="B6" s="24" t="n">
        <v>6982.8</v>
      </c>
      <c r="C6" s="25" t="n">
        <v>25.3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IF(C6="","",(COUNTIFS($D$2:$D$45,D6,$C$2:$C$45,"&gt;0",$C$2:$C$45,"&lt;"&amp;C6)+(COUNTIFS($D$2:$D$45,D6,$C$2:$C$45,C6)+1)/2)/COUNTIFS($D$2:$D$45,D6,$C$2:$C$45,"&gt;0"))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42825</v>
      </c>
      <c r="B7" s="24" t="n">
        <v>7995.05</v>
      </c>
      <c r="C7" s="25" t="n">
        <v>26.82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IF(C7="","",(COUNTIFS($D$2:$D$45,D7,$C$2:$C$45,"&gt;0",$C$2:$C$45,"&lt;"&amp;C7)+(COUNTIFS($D$2:$D$45,D7,$C$2:$C$45,C7)+1)/2)/COUNTIFS($D$2:$D$45,D7,$C$2:$C$45,"&gt;0"))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42916</v>
      </c>
      <c r="B8" s="24" t="n">
        <v>8331.6</v>
      </c>
      <c r="C8" s="25" t="n">
        <v>27.72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IF(C8="","",(COUNTIFS($D$2:$D$45,D8,$C$2:$C$45,"&gt;0",$C$2:$C$45,"&lt;"&amp;C8)+(COUNTIFS($D$2:$D$45,D8,$C$2:$C$45,C8)+1)/2)/COUNTIFS($D$2:$D$45,D8,$C$2:$C$45,"&gt;0"))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43008</v>
      </c>
      <c r="B9" s="24" t="n">
        <v>8600</v>
      </c>
      <c r="C9" s="25" t="n">
        <v>29.58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IF(C9="","",(COUNTIFS($D$2:$D$45,D9,$C$2:$C$45,"&gt;0",$C$2:$C$45,"&lt;"&amp;C9)+(COUNTIFS($D$2:$D$45,D9,$C$2:$C$45,C9)+1)/2)/COUNTIFS($D$2:$D$45,D9,$C$2:$C$45,"&gt;0"))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43100</v>
      </c>
      <c r="B10" s="24" t="n">
        <v>9490.65</v>
      </c>
      <c r="C10" s="25" t="n">
        <v>32.55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IF(C10="","",(COUNTIFS($D$2:$D$45,D10,$C$2:$C$45,"&gt;0",$C$2:$C$45,"&lt;"&amp;C10)+(COUNTIFS($D$2:$D$45,D10,$C$2:$C$45,C10)+1)/2)/COUNTIFS($D$2:$D$45,D10,$C$2:$C$45,"&gt;0"))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43190</v>
      </c>
      <c r="B11" s="24" t="n">
        <v>8912.1</v>
      </c>
      <c r="C11" s="25" t="n">
        <v>29.65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IF(C11="","",(COUNTIFS($D$2:$D$45,D11,$C$2:$C$45,"&gt;0",$C$2:$C$45,"&lt;"&amp;C11)+(COUNTIFS($D$2:$D$45,D11,$C$2:$C$45,C11)+1)/2)/COUNTIFS($D$2:$D$45,D11,$C$2:$C$45,"&gt;0"))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43281</v>
      </c>
      <c r="B12" s="24" t="n">
        <v>9162.450000000001</v>
      </c>
      <c r="C12" s="25" t="n">
        <v>30.47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IF(C12="","",(COUNTIFS($D$2:$D$45,D12,$C$2:$C$45,"&gt;0",$C$2:$C$45,"&lt;"&amp;C12)+(COUNTIFS($D$2:$D$45,D12,$C$2:$C$45,C12)+1)/2)/COUNTIFS($D$2:$D$45,D12,$C$2:$C$45,"&gt;0"))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43373</v>
      </c>
      <c r="B13" s="24" t="n">
        <v>9116</v>
      </c>
      <c r="C13" s="25" t="n">
        <v>30.21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IF(C13="","",(COUNTIFS($D$2:$D$45,D13,$C$2:$C$45,"&gt;0",$C$2:$C$45,"&lt;"&amp;C13)+(COUNTIFS($D$2:$D$45,D13,$C$2:$C$45,C13)+1)/2)/COUNTIFS($D$2:$D$45,D13,$C$2:$C$45,"&gt;0"))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43465</v>
      </c>
      <c r="B14" s="24" t="n">
        <v>9170</v>
      </c>
      <c r="C14" s="25" t="n">
        <v>29.61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IF(C14="","",(COUNTIFS($D$2:$D$45,D14,$C$2:$C$45,"&gt;0",$C$2:$C$45,"&lt;"&amp;C14)+(COUNTIFS($D$2:$D$45,D14,$C$2:$C$45,C14)+1)/2)/COUNTIFS($D$2:$D$45,D14,$C$2:$C$45,"&gt;0"))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43555</v>
      </c>
      <c r="B15" s="24" t="n">
        <v>9663.700000000001</v>
      </c>
      <c r="C15" s="25" t="n">
        <v>31.22</v>
      </c>
      <c r="D15" s="2" t="inlineStr">
        <is>
          <t>Standalone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IF(C15="","",(COUNTIFS($D$2:$D$45,D15,$C$2:$C$45,"&gt;0",$C$2:$C$45,"&lt;"&amp;C15)+(COUNTIFS($D$2:$D$45,D15,$C$2:$C$45,C15)+1)/2)/COUNTIFS($D$2:$D$45,D15,$C$2:$C$45,"&gt;0"))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43646</v>
      </c>
      <c r="B16" s="24" t="n">
        <v>9657.950000000001</v>
      </c>
      <c r="C16" s="25" t="n">
        <v>30.96</v>
      </c>
      <c r="D16" s="2" t="inlineStr">
        <is>
          <t>Standalone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IF(C16="","",(COUNTIFS($D$2:$D$45,D16,$C$2:$C$45,"&gt;0",$C$2:$C$45,"&lt;"&amp;C16)+(COUNTIFS($D$2:$D$45,D16,$C$2:$C$45,C16)+1)/2)/COUNTIFS($D$2:$D$45,D16,$C$2:$C$45,"&gt;0"))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43738</v>
      </c>
      <c r="B17" s="24" t="n">
        <v>9340.9</v>
      </c>
      <c r="C17" s="25" t="n">
        <v>28.22</v>
      </c>
      <c r="D17" s="2" t="inlineStr">
        <is>
          <t>Standalone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IF(C17="","",(COUNTIFS($D$2:$D$45,D17,$C$2:$C$45,"&gt;0",$C$2:$C$45,"&lt;"&amp;C17)+(COUNTIFS($D$2:$D$45,D17,$C$2:$C$45,C17)+1)/2)/COUNTIFS($D$2:$D$45,D17,$C$2:$C$45,"&gt;0"))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 t="n"/>
    </row>
    <row r="18">
      <c r="A18" s="31" t="n">
        <v>43830</v>
      </c>
      <c r="B18" s="24" t="n">
        <v>9872.549999999999</v>
      </c>
      <c r="C18" s="25" t="n">
        <v>30.84</v>
      </c>
      <c r="D18" s="2" t="inlineStr">
        <is>
          <t>Standalone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IF(C18="","",(COUNTIFS($D$2:$D$45,D18,$C$2:$C$45,"&gt;0",$C$2:$C$45,"&lt;"&amp;C18)+(COUNTIFS($D$2:$D$45,D18,$C$2:$C$45,C18)+1)/2)/COUNTIFS($D$2:$D$45,D18,$C$2:$C$45,"&gt;0"))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>
        <f>IFERROR((B38/B18)^(1/5)-1,"")</f>
        <v/>
      </c>
      <c r="L18" s="30" t="n"/>
    </row>
    <row r="19">
      <c r="A19" s="31" t="n">
        <v>43921</v>
      </c>
      <c r="B19" s="24" t="n">
        <v>6996.75</v>
      </c>
      <c r="C19" s="25" t="n">
        <v>21.8</v>
      </c>
      <c r="D19" s="2" t="inlineStr">
        <is>
          <t>Standalone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IF(C19="","",(COUNTIFS($D$2:$D$45,D19,$C$2:$C$45,"&gt;0",$C$2:$C$45,"&lt;"&amp;C19)+(COUNTIFS($D$2:$D$45,D19,$C$2:$C$45,C19)+1)/2)/COUNTIFS($D$2:$D$45,D19,$C$2:$C$45,"&gt;0"))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>
        <f>IFERROR((B39/B19)^(1/5)-1,"")</f>
        <v/>
      </c>
      <c r="L19" s="30" t="n"/>
    </row>
    <row r="20">
      <c r="A20" s="31" t="n">
        <v>44012</v>
      </c>
      <c r="B20" s="24" t="n">
        <v>8474.799999999999</v>
      </c>
      <c r="C20" s="25" t="n">
        <v>29.35</v>
      </c>
      <c r="D20" s="2" t="inlineStr">
        <is>
          <t>Standalone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IF(C20="","",(COUNTIFS($D$2:$D$45,D20,$C$2:$C$45,"&gt;0",$C$2:$C$45,"&lt;"&amp;C20)+(COUNTIFS($D$2:$D$45,D20,$C$2:$C$45,C20)+1)/2)/COUNTIFS($D$2:$D$45,D20,$C$2:$C$45,"&gt;0"))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>
        <f>IFERROR((B40/B20)^(1/5)-1,"")</f>
        <v/>
      </c>
      <c r="L20" s="30" t="n"/>
    </row>
    <row r="21">
      <c r="A21" s="31" t="n">
        <v>44104</v>
      </c>
      <c r="B21" s="24" t="n">
        <v>9341.75</v>
      </c>
      <c r="C21" s="25" t="n">
        <v>40.63</v>
      </c>
      <c r="D21" s="2" t="inlineStr">
        <is>
          <t>Standalone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IF(C21="","",(COUNTIFS($D$2:$D$45,D21,$C$2:$C$45,"&gt;0",$C$2:$C$45,"&lt;"&amp;C21)+(COUNTIFS($D$2:$D$45,D21,$C$2:$C$45,C21)+1)/2)/COUNTIFS($D$2:$D$45,D21,$C$2:$C$45,"&gt;0"))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>
        <f>IFERROR((B41/B21)^(1/5)-1,"")</f>
        <v/>
      </c>
      <c r="L21" s="30" t="n"/>
    </row>
    <row r="22">
      <c r="A22" s="31" t="n">
        <v>44196</v>
      </c>
      <c r="B22" s="24" t="n">
        <v>11518.3</v>
      </c>
      <c r="C22" s="25" t="n">
        <v>43.39</v>
      </c>
      <c r="D22" s="2" t="inlineStr">
        <is>
          <t>Standalone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IF(C22="","",(COUNTIFS($D$2:$D$45,D22,$C$2:$C$45,"&gt;0",$C$2:$C$45,"&lt;"&amp;C22)+(COUNTIFS($D$2:$D$45,D22,$C$2:$C$45,C22)+1)/2)/COUNTIFS($D$2:$D$45,D22,$C$2:$C$45,"&gt;0"))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>
        <f>IFERROR((B42/B22)^(1/5)-1,"")</f>
        <v/>
      </c>
      <c r="L22" s="30" t="n"/>
    </row>
    <row r="23">
      <c r="A23" s="31" t="n">
        <v>44286</v>
      </c>
      <c r="B23" s="24" t="n">
        <v>12313.7</v>
      </c>
      <c r="C23" s="25" t="n">
        <v>35.89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IF(C23="","",(COUNTIFS($D$2:$D$45,D23,$C$2:$C$45,"&gt;0",$C$2:$C$45,"&lt;"&amp;C23)+(COUNTIFS($D$2:$D$45,D23,$C$2:$C$45,C23)+1)/2)/COUNTIFS($D$2:$D$45,D23,$C$2:$C$45,"&gt;0"))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>
        <f>IFERROR((B43/B23)^(1/5)-1,"")</f>
        <v/>
      </c>
      <c r="L23" s="30" t="n"/>
    </row>
    <row r="24">
      <c r="A24" s="31" t="n">
        <v>44377</v>
      </c>
      <c r="B24" s="24" t="n">
        <v>13473.55</v>
      </c>
      <c r="C24" s="25" t="n">
        <v>30.2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IF(C24="","",(COUNTIFS($D$2:$D$45,D24,$C$2:$C$45,"&gt;0",$C$2:$C$45,"&lt;"&amp;C24)+(COUNTIFS($D$2:$D$45,D24,$C$2:$C$45,C24)+1)/2)/COUNTIFS($D$2:$D$45,D24,$C$2:$C$45,"&gt;0"))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>
        <f>IFERROR((B44/B24)^(1/5)-1,"")</f>
        <v/>
      </c>
      <c r="L24" s="30" t="n"/>
    </row>
    <row r="25">
      <c r="A25" s="31" t="n">
        <v>44469</v>
      </c>
      <c r="B25" s="24" t="n">
        <v>15052.65</v>
      </c>
      <c r="C25" s="25" t="n">
        <v>28.02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IF(C25="","",(COUNTIFS($D$2:$D$45,D25,$C$2:$C$45,"&gt;0",$C$2:$C$45,"&lt;"&amp;C25)+(COUNTIFS($D$2:$D$45,D25,$C$2:$C$45,C25)+1)/2)/COUNTIFS($D$2:$D$45,D25,$C$2:$C$45,"&gt;0"))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>
        <f>IFERROR((B45/B25)^(1/5)-1,"")</f>
        <v/>
      </c>
      <c r="L25" s="30" t="n"/>
    </row>
    <row r="26">
      <c r="A26" s="31" t="n">
        <v>44561</v>
      </c>
      <c r="B26" s="24" t="n">
        <v>14996.2</v>
      </c>
      <c r="C26" s="25" t="n">
        <v>25.44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IF(C26="","",(COUNTIFS($D$2:$D$45,D26,$C$2:$C$45,"&gt;0",$C$2:$C$45,"&lt;"&amp;C26)+(COUNTIFS($D$2:$D$45,D26,$C$2:$C$45,C26)+1)/2)/COUNTIFS($D$2:$D$45,D26,$C$2:$C$45,"&gt;0"))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>
        <f>IFERROR((B38/B26)^(1/3)-1,"")</f>
        <v/>
      </c>
      <c r="K26" s="30" t="n"/>
      <c r="L26" s="30" t="n"/>
    </row>
    <row r="27">
      <c r="A27" s="31" t="n">
        <v>44651</v>
      </c>
      <c r="B27" s="24" t="n">
        <v>14894.5</v>
      </c>
      <c r="C27" s="25" t="n">
        <v>23.67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IF(C27="","",(COUNTIFS($D$2:$D$45,D27,$C$2:$C$45,"&gt;0",$C$2:$C$45,"&lt;"&amp;C27)+(COUNTIFS($D$2:$D$45,D27,$C$2:$C$45,C27)+1)/2)/COUNTIFS($D$2:$D$45,D27,$C$2:$C$45,"&gt;0"))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>
        <f>IFERROR((B39/B27)^(1/3)-1,"")</f>
        <v/>
      </c>
      <c r="K27" s="30" t="n"/>
      <c r="L27" s="30" t="n"/>
    </row>
    <row r="28">
      <c r="A28" s="31" t="n">
        <v>44742</v>
      </c>
      <c r="B28" s="24" t="n">
        <v>13387.55</v>
      </c>
      <c r="C28" s="25" t="n">
        <v>20.05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IF(C28="","",(COUNTIFS($D$2:$D$45,D28,$C$2:$C$45,"&gt;0",$C$2:$C$45,"&lt;"&amp;C28)+(COUNTIFS($D$2:$D$45,D28,$C$2:$C$45,C28)+1)/2)/COUNTIFS($D$2:$D$45,D28,$C$2:$C$45,"&gt;0"))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>
        <f>IFERROR((B40/B28)^(1/3)-1,"")</f>
        <v/>
      </c>
      <c r="K28" s="30" t="n"/>
      <c r="L28" s="30" t="n"/>
    </row>
    <row r="29">
      <c r="A29" s="31" t="n">
        <v>44834</v>
      </c>
      <c r="B29" s="24" t="n">
        <v>14829.35</v>
      </c>
      <c r="C29" s="25" t="n">
        <v>21.65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IF(C29="","",(COUNTIFS($D$2:$D$45,D29,$C$2:$C$45,"&gt;0",$C$2:$C$45,"&lt;"&amp;C29)+(COUNTIFS($D$2:$D$45,D29,$C$2:$C$45,C29)+1)/2)/COUNTIFS($D$2:$D$45,D29,$C$2:$C$45,"&gt;0"))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>
        <f>IFERROR((B41/B29)^(1/3)-1,"")</f>
        <v/>
      </c>
      <c r="K29" s="30" t="n"/>
      <c r="L29" s="30" t="n"/>
    </row>
    <row r="30">
      <c r="A30" s="31" t="n">
        <v>44926</v>
      </c>
      <c r="B30" s="24" t="n">
        <v>15448.85</v>
      </c>
      <c r="C30" s="25" t="n">
        <v>22.85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IF(C30="","",(COUNTIFS($D$2:$D$45,D30,$C$2:$C$45,"&gt;0",$C$2:$C$45,"&lt;"&amp;C30)+(COUNTIFS($D$2:$D$45,D30,$C$2:$C$45,C30)+1)/2)/COUNTIFS($D$2:$D$45,D30,$C$2:$C$45,"&gt;0"))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>
        <f>IFERROR((B42/B30)^(1/3)-1,"")</f>
        <v/>
      </c>
      <c r="K30" s="30" t="n"/>
      <c r="L30" s="30" t="n"/>
    </row>
    <row r="31">
      <c r="A31" s="31" t="n">
        <v>45016</v>
      </c>
      <c r="B31" s="24" t="n">
        <v>14557.85</v>
      </c>
      <c r="C31" s="25" t="n">
        <v>21.14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IF(C31="","",(COUNTIFS($D$2:$D$45,D31,$C$2:$C$45,"&gt;0",$C$2:$C$45,"&lt;"&amp;C31)+(COUNTIFS($D$2:$D$45,D31,$C$2:$C$45,C31)+1)/2)/COUNTIFS($D$2:$D$45,D31,$C$2:$C$45,"&gt;0"))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>
        <f>IFERROR((B43/B31)^(1/3)-1,"")</f>
        <v/>
      </c>
      <c r="K31" s="30" t="n"/>
      <c r="L31" s="30" t="n"/>
    </row>
    <row r="32">
      <c r="A32" s="31" t="n">
        <v>45107</v>
      </c>
      <c r="B32" s="24" t="n">
        <v>16430</v>
      </c>
      <c r="C32" s="25" t="n">
        <v>23.51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IF(C32="","",(COUNTIFS($D$2:$D$45,D32,$C$2:$C$45,"&gt;0",$C$2:$C$45,"&lt;"&amp;C32)+(COUNTIFS($D$2:$D$45,D32,$C$2:$C$45,C32)+1)/2)/COUNTIFS($D$2:$D$45,D32,$C$2:$C$45,"&gt;0"))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>
        <f>IFERROR((B44/B32)^(1/3)-1,"")</f>
        <v/>
      </c>
      <c r="K32" s="30" t="n"/>
      <c r="L32" s="30" t="n"/>
    </row>
    <row r="33">
      <c r="A33" s="31" t="n">
        <v>45199</v>
      </c>
      <c r="B33" s="24" t="n">
        <v>17292.6</v>
      </c>
      <c r="C33" s="25" t="n">
        <v>23.45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IF(C33="","",(COUNTIFS($D$2:$D$45,D33,$C$2:$C$45,"&gt;0",$C$2:$C$45,"&lt;"&amp;C33)+(COUNTIFS($D$2:$D$45,D33,$C$2:$C$45,C33)+1)/2)/COUNTIFS($D$2:$D$45,D33,$C$2:$C$45,"&gt;0"))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>
        <f>IFERROR((B45/B33)^(1/3)-1,"")</f>
        <v/>
      </c>
      <c r="K33" s="30" t="n"/>
      <c r="L33" s="30" t="n"/>
    </row>
    <row r="34">
      <c r="A34" s="31" t="n">
        <v>45291</v>
      </c>
      <c r="B34" s="24" t="n">
        <v>19429.15</v>
      </c>
      <c r="C34" s="25" t="n">
        <v>24.48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IF(C34="","",(COUNTIFS($D$2:$D$45,D34,$C$2:$C$45,"&gt;0",$C$2:$C$45,"&lt;"&amp;C34)+(COUNTIFS($D$2:$D$45,D34,$C$2:$C$45,C34)+1)/2)/COUNTIFS($D$2:$D$45,D34,$C$2:$C$45,"&gt;0"))</f>
        <v/>
      </c>
      <c r="H34">
        <f>IF(G34="","",IF(G34&lt;=20%,"Q1 Cheapest",IF(G34&lt;=40%,"Q2",IF(G34&lt;=60%,"Q3",IF(G34&lt;=80%,"Q4","Q5 Most Expensive")))))</f>
        <v/>
      </c>
      <c r="I34" s="30">
        <f>IFERROR(B38/B34-1,"")</f>
        <v/>
      </c>
      <c r="J34" s="30" t="n"/>
      <c r="K34" s="30" t="n"/>
      <c r="L34" s="30" t="n"/>
    </row>
    <row r="35">
      <c r="A35" s="31" t="n">
        <v>45382</v>
      </c>
      <c r="B35" s="24" t="n">
        <v>20255.15</v>
      </c>
      <c r="C35" s="25" t="n">
        <v>24.74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IF(C35="","",(COUNTIFS($D$2:$D$45,D35,$C$2:$C$45,"&gt;0",$C$2:$C$45,"&lt;"&amp;C35)+(COUNTIFS($D$2:$D$45,D35,$C$2:$C$45,C35)+1)/2)/COUNTIFS($D$2:$D$45,D35,$C$2:$C$45,"&gt;0"))</f>
        <v/>
      </c>
      <c r="H35">
        <f>IF(G35="","",IF(G35&lt;=20%,"Q1 Cheapest",IF(G35&lt;=40%,"Q2",IF(G35&lt;=60%,"Q3",IF(G35&lt;=80%,"Q4","Q5 Most Expensive")))))</f>
        <v/>
      </c>
      <c r="I35" s="30">
        <f>IFERROR(B39/B35-1,"")</f>
        <v/>
      </c>
      <c r="J35" s="30" t="n"/>
      <c r="K35" s="30" t="n"/>
      <c r="L35" s="30" t="n"/>
    </row>
    <row r="36">
      <c r="A36" s="31" t="n">
        <v>45473</v>
      </c>
      <c r="B36" s="24" t="n">
        <v>22559.7</v>
      </c>
      <c r="C36" s="25" t="n">
        <v>26.23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IF(C36="","",(COUNTIFS($D$2:$D$45,D36,$C$2:$C$45,"&gt;0",$C$2:$C$45,"&lt;"&amp;C36)+(COUNTIFS($D$2:$D$45,D36,$C$2:$C$45,C36)+1)/2)/COUNTIFS($D$2:$D$45,D36,$C$2:$C$45,"&gt;0"))</f>
        <v/>
      </c>
      <c r="H36">
        <f>IF(G36="","",IF(G36&lt;=20%,"Q1 Cheapest",IF(G36&lt;=40%,"Q2",IF(G36&lt;=60%,"Q3",IF(G36&lt;=80%,"Q4","Q5 Most Expensive")))))</f>
        <v/>
      </c>
      <c r="I36" s="30">
        <f>IFERROR(B40/B36-1,"")</f>
        <v/>
      </c>
      <c r="J36" s="30" t="n"/>
      <c r="K36" s="30" t="n"/>
      <c r="L36" s="30" t="n"/>
    </row>
    <row r="37">
      <c r="A37" s="31" t="n">
        <v>45565</v>
      </c>
      <c r="B37" s="24" t="n">
        <v>24245.2</v>
      </c>
      <c r="C37" s="25" t="n">
        <v>27.87</v>
      </c>
      <c r="D37" s="2" t="inlineStr">
        <is>
          <t>Consolidated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IF(C37="","",(COUNTIFS($D$2:$D$45,D37,$C$2:$C$45,"&gt;0",$C$2:$C$45,"&lt;"&amp;C37)+(COUNTIFS($D$2:$D$45,D37,$C$2:$C$45,C37)+1)/2)/COUNTIFS($D$2:$D$45,D37,$C$2:$C$45,"&gt;0"))</f>
        <v/>
      </c>
      <c r="H37">
        <f>IF(G37="","",IF(G37&lt;=20%,"Q1 Cheapest",IF(G37&lt;=40%,"Q2",IF(G37&lt;=60%,"Q3",IF(G37&lt;=80%,"Q4","Q5 Most Expensive")))))</f>
        <v/>
      </c>
      <c r="I37" s="30">
        <f>IFERROR(B41/B37-1,"")</f>
        <v/>
      </c>
      <c r="J37" s="30" t="n"/>
      <c r="K37" s="30" t="n"/>
      <c r="L37" s="30" t="n"/>
    </row>
    <row r="38">
      <c r="A38" s="31" t="n">
        <v>45657</v>
      </c>
      <c r="B38" s="24" t="n">
        <v>22375.4</v>
      </c>
      <c r="C38" s="25" t="n">
        <v>25.56</v>
      </c>
      <c r="D38" s="2" t="inlineStr">
        <is>
          <t>Consolidated</t>
        </is>
      </c>
      <c r="E38" s="33">
        <f>IFERROR(B38/C38,"")</f>
        <v/>
      </c>
      <c r="F38" s="30">
        <f>IF(AND(D38=D34,E34&lt;&gt;""),E38/E34-1,"")</f>
        <v/>
      </c>
      <c r="G38" s="30">
        <f>IF(C38="","",(COUNTIFS($D$2:$D$45,D38,$C$2:$C$45,"&gt;0",$C$2:$C$45,"&lt;"&amp;C38)+(COUNTIFS($D$2:$D$45,D38,$C$2:$C$45,C38)+1)/2)/COUNTIFS($D$2:$D$45,D38,$C$2:$C$45,"&gt;0"))</f>
        <v/>
      </c>
      <c r="H38">
        <f>IF(G38="","",IF(G38&lt;=20%,"Q1 Cheapest",IF(G38&lt;=40%,"Q2",IF(G38&lt;=60%,"Q3",IF(G38&lt;=80%,"Q4","Q5 Most Expensive")))))</f>
        <v/>
      </c>
      <c r="I38" s="30">
        <f>IFERROR(B42/B38-1,"")</f>
        <v/>
      </c>
      <c r="J38" s="30" t="n"/>
      <c r="K38" s="30" t="n"/>
      <c r="L38" s="30" t="n"/>
    </row>
    <row r="39">
      <c r="A39" s="31" t="n">
        <v>45747</v>
      </c>
      <c r="B39" s="24" t="n">
        <v>21339.55</v>
      </c>
      <c r="C39" s="25" t="n">
        <v>23.54</v>
      </c>
      <c r="D39" s="2" t="inlineStr">
        <is>
          <t>Consolidated</t>
        </is>
      </c>
      <c r="E39" s="33">
        <f>IFERROR(B39/C39,"")</f>
        <v/>
      </c>
      <c r="F39" s="30">
        <f>IF(AND(D39=D35,E35&lt;&gt;""),E39/E35-1,"")</f>
        <v/>
      </c>
      <c r="G39" s="30">
        <f>IF(C39="","",(COUNTIFS($D$2:$D$45,D39,$C$2:$C$45,"&gt;0",$C$2:$C$45,"&lt;"&amp;C39)+(COUNTIFS($D$2:$D$45,D39,$C$2:$C$45,C39)+1)/2)/COUNTIFS($D$2:$D$45,D39,$C$2:$C$45,"&gt;0"))</f>
        <v/>
      </c>
      <c r="H39">
        <f>IF(G39="","",IF(G39&lt;=20%,"Q1 Cheapest",IF(G39&lt;=40%,"Q2",IF(G39&lt;=60%,"Q3",IF(G39&lt;=80%,"Q4","Q5 Most Expensive")))))</f>
        <v/>
      </c>
      <c r="I39" s="30">
        <f>IFERROR(B43/B39-1,"")</f>
        <v/>
      </c>
      <c r="J39" s="30" t="n"/>
      <c r="K39" s="30" t="n"/>
      <c r="L39" s="30" t="n"/>
    </row>
    <row r="40">
      <c r="A40" s="31" t="n">
        <v>45838</v>
      </c>
      <c r="B40" s="24" t="n">
        <v>23617.2</v>
      </c>
      <c r="C40" s="25" t="n">
        <v>25.34</v>
      </c>
      <c r="D40" s="2" t="inlineStr">
        <is>
          <t>Consolidated</t>
        </is>
      </c>
      <c r="E40" s="33">
        <f>IFERROR(B40/C40,"")</f>
        <v/>
      </c>
      <c r="F40" s="30">
        <f>IF(AND(D40=D36,E36&lt;&gt;""),E40/E36-1,"")</f>
        <v/>
      </c>
      <c r="G40" s="30">
        <f>IF(C40="","",(COUNTIFS($D$2:$D$45,D40,$C$2:$C$45,"&gt;0",$C$2:$C$45,"&lt;"&amp;C40)+(COUNTIFS($D$2:$D$45,D40,$C$2:$C$45,C40)+1)/2)/COUNTIFS($D$2:$D$45,D40,$C$2:$C$45,"&gt;0"))</f>
        <v/>
      </c>
      <c r="H40">
        <f>IF(G40="","",IF(G40&lt;=20%,"Q1 Cheapest",IF(G40&lt;=40%,"Q2",IF(G40&lt;=60%,"Q3",IF(G40&lt;=80%,"Q4","Q5 Most Expensive")))))</f>
        <v/>
      </c>
      <c r="I40" s="30">
        <f>IFERROR(B44/B40-1,"")</f>
        <v/>
      </c>
      <c r="J40" s="30" t="n"/>
      <c r="K40" s="30" t="n"/>
      <c r="L40" s="30" t="n"/>
    </row>
    <row r="41">
      <c r="A41" s="31" t="n">
        <v>45930</v>
      </c>
      <c r="B41" s="24" t="n">
        <v>22734.1</v>
      </c>
      <c r="C41" s="25" t="n">
        <v>23.8</v>
      </c>
      <c r="D41" s="2" t="inlineStr">
        <is>
          <t>Consolidated</t>
        </is>
      </c>
      <c r="E41" s="33">
        <f>IFERROR(B41/C41,"")</f>
        <v/>
      </c>
      <c r="F41" s="30">
        <f>IF(AND(D41=D37,E37&lt;&gt;""),E41/E37-1,"")</f>
        <v/>
      </c>
      <c r="G41" s="30">
        <f>IF(C41="","",(COUNTIFS($D$2:$D$45,D41,$C$2:$C$45,"&gt;0",$C$2:$C$45,"&lt;"&amp;C41)+(COUNTIFS($D$2:$D$45,D41,$C$2:$C$45,C41)+1)/2)/COUNTIFS($D$2:$D$45,D41,$C$2:$C$45,"&gt;0"))</f>
        <v/>
      </c>
      <c r="H41">
        <f>IF(G41="","",IF(G41&lt;=20%,"Q1 Cheapest",IF(G41&lt;=40%,"Q2",IF(G41&lt;=60%,"Q3",IF(G41&lt;=80%,"Q4","Q5 Most Expensive")))))</f>
        <v/>
      </c>
      <c r="I41" s="30">
        <f>IFERROR(B45/B41-1,"")</f>
        <v/>
      </c>
      <c r="J41" s="30" t="n"/>
      <c r="K41" s="30" t="n"/>
      <c r="L41" s="30" t="n"/>
    </row>
    <row r="42">
      <c r="A42" s="31" t="n">
        <v>46022</v>
      </c>
      <c r="B42" s="24" t="n">
        <v>23871.55</v>
      </c>
      <c r="C42" s="25" t="n">
        <v>24.45</v>
      </c>
      <c r="D42" s="2" t="inlineStr">
        <is>
          <t>Consolidated</t>
        </is>
      </c>
      <c r="E42" s="33">
        <f>IFERROR(B42/C42,"")</f>
        <v/>
      </c>
      <c r="F42" s="30">
        <f>IF(AND(D42=D38,E38&lt;&gt;""),E42/E38-1,"")</f>
        <v/>
      </c>
      <c r="G42" s="30">
        <f>IF(C42="","",(COUNTIFS($D$2:$D$45,D42,$C$2:$C$45,"&gt;0",$C$2:$C$45,"&lt;"&amp;C42)+(COUNTIFS($D$2:$D$45,D42,$C$2:$C$45,C42)+1)/2)/COUNTIFS($D$2:$D$45,D42,$C$2:$C$45,"&gt;0"))</f>
        <v/>
      </c>
      <c r="H42">
        <f>IF(G42="","",IF(G42&lt;=20%,"Q1 Cheapest",IF(G42&lt;=40%,"Q2",IF(G42&lt;=60%,"Q3",IF(G42&lt;=80%,"Q4","Q5 Most Expensive")))))</f>
        <v/>
      </c>
      <c r="I42" s="30" t="n"/>
      <c r="J42" s="30" t="n"/>
      <c r="K42" s="30" t="n"/>
      <c r="L42" s="30" t="n"/>
    </row>
    <row r="43">
      <c r="A43" s="31" t="n">
        <v>46112</v>
      </c>
      <c r="B43" s="24" t="n">
        <v>20528.05</v>
      </c>
      <c r="C43" s="25" t="n">
        <v>21.24</v>
      </c>
      <c r="D43" s="2" t="inlineStr">
        <is>
          <t>Consolidated</t>
        </is>
      </c>
      <c r="E43" s="33">
        <f>IFERROR(B43/C43,"")</f>
        <v/>
      </c>
      <c r="F43" s="30">
        <f>IF(AND(D43=D39,E39&lt;&gt;""),E43/E39-1,"")</f>
        <v/>
      </c>
      <c r="G43" s="30">
        <f>IF(C43="","",(COUNTIFS($D$2:$D$45,D43,$C$2:$C$45,"&gt;0",$C$2:$C$45,"&lt;"&amp;C43)+(COUNTIFS($D$2:$D$45,D43,$C$2:$C$45,C43)+1)/2)/COUNTIFS($D$2:$D$45,D43,$C$2:$C$45,"&gt;0"))</f>
        <v/>
      </c>
      <c r="H43">
        <f>IF(G43="","",IF(G43&lt;=20%,"Q1 Cheapest",IF(G43&lt;=40%,"Q2",IF(G43&lt;=60%,"Q3",IF(G43&lt;=80%,"Q4","Q5 Most Expensive")))))</f>
        <v/>
      </c>
      <c r="I43" s="30" t="n"/>
      <c r="J43" s="30" t="n"/>
      <c r="K43" s="30" t="n"/>
      <c r="L43" s="30" t="n"/>
    </row>
    <row r="44">
      <c r="A44" s="31" t="n">
        <v>46203</v>
      </c>
      <c r="B44" s="24" t="n">
        <v>22995.65</v>
      </c>
      <c r="C44" s="25" t="n">
        <v>22.72</v>
      </c>
      <c r="D44" s="2" t="inlineStr">
        <is>
          <t>Consolidated</t>
        </is>
      </c>
      <c r="E44" s="33">
        <f>IFERROR(B44/C44,"")</f>
        <v/>
      </c>
      <c r="F44" s="30">
        <f>IF(AND(D44=D40,E40&lt;&gt;""),E44/E40-1,"")</f>
        <v/>
      </c>
      <c r="G44" s="30">
        <f>IF(C44="","",(COUNTIFS($D$2:$D$45,D44,$C$2:$C$45,"&gt;0",$C$2:$C$45,"&lt;"&amp;C44)+(COUNTIFS($D$2:$D$45,D44,$C$2:$C$45,C44)+1)/2)/COUNTIFS($D$2:$D$45,D44,$C$2:$C$45,"&gt;0"))</f>
        <v/>
      </c>
      <c r="H44">
        <f>IF(G44="","",IF(G44&lt;=20%,"Q1 Cheapest",IF(G44&lt;=40%,"Q2",IF(G44&lt;=60%,"Q3",IF(G44&lt;=80%,"Q4","Q5 Most Expensive")))))</f>
        <v/>
      </c>
      <c r="I44" s="30" t="n"/>
      <c r="J44" s="30" t="n"/>
      <c r="K44" s="30" t="n"/>
      <c r="L44" s="30" t="n"/>
    </row>
    <row r="45">
      <c r="A45" s="31" t="n">
        <v>46295</v>
      </c>
      <c r="B45" s="24" t="n">
        <v>22072.1</v>
      </c>
      <c r="C45" s="25" t="n">
        <v>21.77</v>
      </c>
      <c r="D45" s="2" t="inlineStr">
        <is>
          <t>Consolidated</t>
        </is>
      </c>
      <c r="E45" s="33">
        <f>IFERROR(B45/C45,"")</f>
        <v/>
      </c>
      <c r="F45" s="30">
        <f>IF(AND(D45=D41,E41&lt;&gt;""),E45/E41-1,"")</f>
        <v/>
      </c>
      <c r="G45" s="30">
        <f>IF(C45="","",(COUNTIFS($D$2:$D$45,D45,$C$2:$C$45,"&gt;0",$C$2:$C$45,"&lt;"&amp;C45)+(COUNTIFS($D$2:$D$45,D45,$C$2:$C$45,C45)+1)/2)/COUNTIFS($D$2:$D$45,D45,$C$2:$C$45,"&gt;0"))</f>
        <v/>
      </c>
      <c r="H45">
        <f>IF(G45="","",IF(G45&lt;=20%,"Q1 Cheapest",IF(G45&lt;=40%,"Q2",IF(G45&lt;=60%,"Q3",IF(G45&lt;=80%,"Q4","Q5 Most Expensive")))))</f>
        <v/>
      </c>
      <c r="I45" s="30" t="n"/>
      <c r="J45" s="30" t="n"/>
      <c r="K45" s="30" t="n"/>
      <c r="L45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7" customWidth="1" min="4" max="4"/>
    <col width="17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22840.55</v>
      </c>
      <c r="C2" s="25" t="n">
        <v>22.13</v>
      </c>
      <c r="D2" s="26" t="n">
        <v>0.174242424242</v>
      </c>
      <c r="E2" s="26" t="n">
        <v>0.0795512016096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22860.05</v>
      </c>
      <c r="C3" s="25" t="n">
        <v>22.15</v>
      </c>
      <c r="D3" s="26" t="n">
        <v>0.174242424242</v>
      </c>
      <c r="E3" s="26" t="n">
        <v>0.0792218560124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22794.2</v>
      </c>
      <c r="C4" s="25" t="n">
        <v>22.09</v>
      </c>
      <c r="D4" s="26" t="n">
        <v>0.174242424242</v>
      </c>
      <c r="E4" s="26" t="n">
        <v>0.0790363164132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22935.1</v>
      </c>
      <c r="C5" s="25" t="n">
        <v>22.23</v>
      </c>
      <c r="D5" s="26" t="n">
        <v>0.189393939394</v>
      </c>
      <c r="E5" s="26" t="n">
        <v>0.0699678700626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22552.6</v>
      </c>
      <c r="C6" s="25" t="n">
        <v>21.85</v>
      </c>
      <c r="D6" s="26" t="n">
        <v>0.174242424242</v>
      </c>
      <c r="E6" s="26" t="n">
        <v>0.070530379905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22603.5</v>
      </c>
      <c r="C7" s="25" t="n">
        <v>21.9</v>
      </c>
      <c r="D7" s="26" t="n">
        <v>0.174242424242</v>
      </c>
      <c r="E7" s="26" t="n">
        <v>0.0705705795047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22232.15</v>
      </c>
      <c r="C8" s="25" t="n">
        <v>21.54</v>
      </c>
      <c r="D8" s="26" t="n">
        <v>0.09848484848480001</v>
      </c>
      <c r="E8" s="26" t="n">
        <v>0.07061588312390001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22101</v>
      </c>
      <c r="C9" s="25" t="n">
        <v>21.42</v>
      </c>
      <c r="D9" s="26" t="n">
        <v>0.08333333333329999</v>
      </c>
      <c r="E9" s="26" t="n">
        <v>0.0704025311502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22072.1</v>
      </c>
      <c r="C10" s="25" t="n">
        <v>21.77</v>
      </c>
      <c r="D10" s="26" t="n">
        <v>0.134328358209</v>
      </c>
      <c r="E10" s="26" t="n">
        <v>0.0614130357684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21857.75</v>
      </c>
      <c r="C11" s="25" t="n">
        <v>21.56</v>
      </c>
      <c r="D11" s="26" t="n">
        <v>0.0970149253731</v>
      </c>
      <c r="E11" s="26" t="n">
        <v>0.0611971722415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21971.6</v>
      </c>
      <c r="C12" s="25" t="n">
        <v>21.67</v>
      </c>
      <c r="D12" s="26" t="n">
        <v>0.111940298507</v>
      </c>
      <c r="E12" s="26" t="n">
        <v>0.0615719144965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22202.85</v>
      </c>
      <c r="C13" s="25" t="n">
        <v>21.9</v>
      </c>
      <c r="D13" s="26" t="n">
        <v>0.186567164179</v>
      </c>
      <c r="E13" s="26" t="n">
        <v>0.0615389481676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22059.9</v>
      </c>
      <c r="C14" s="25" t="n">
        <v>21.75</v>
      </c>
      <c r="D14" s="26" t="n">
        <v>0.111940298507</v>
      </c>
      <c r="E14" s="26" t="n">
        <v>0.0619028028802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21616.15</v>
      </c>
      <c r="C15" s="25" t="n">
        <v>21.32</v>
      </c>
      <c r="D15" s="26" t="n">
        <v>0.0820895522388</v>
      </c>
      <c r="E15" s="26" t="n">
        <v>0.061302734441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21866.65</v>
      </c>
      <c r="C16" s="25" t="n">
        <v>21.56</v>
      </c>
      <c r="D16" s="26" t="n">
        <v>0.0970149253731</v>
      </c>
      <c r="E16" s="26" t="n">
        <v>0.0617121336549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21822.75</v>
      </c>
      <c r="C17" s="25" t="n">
        <v>21.51</v>
      </c>
      <c r="D17" s="26" t="n">
        <v>0.0970149253731</v>
      </c>
      <c r="E17" s="26" t="n">
        <v>0.0620311929464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  <row r="18">
      <c r="A18" s="31" t="n">
        <v>46308</v>
      </c>
      <c r="B18" s="24" t="n">
        <v>22090</v>
      </c>
      <c r="C18" s="25" t="n">
        <v>21.76</v>
      </c>
      <c r="D18" s="26" t="n">
        <v>0.119402985075</v>
      </c>
      <c r="E18" s="26" t="n">
        <v>0.06289322553939999</v>
      </c>
      <c r="F18" s="34">
        <f>IF(D18="","",100*(1-D18))</f>
        <v/>
      </c>
      <c r="G18" s="34">
        <f>IF(E18="","",IF(E18&lt;=0,20,IF(E18&lt;5%,20+400*E18,IF(E18&lt;10%,40+400*(E18-5%),IF(E18&lt;15%,60+400*(E18-10%),IF(E18&lt;25%,80+200*(E18-15%),100))))))</f>
        <v/>
      </c>
      <c r="H18" s="34">
        <f>IF(OR(F18="",G18=""),"",70%*F18+30%*G18)</f>
        <v/>
      </c>
      <c r="I18">
        <f>IF(H18="","",IF(H18&gt;=70,"BUY",IF(H18&gt;=40,"HOLD","SELL")))</f>
        <v/>
      </c>
    </row>
    <row r="19">
      <c r="A19" s="31" t="n">
        <v>46309</v>
      </c>
      <c r="B19" s="24" t="n">
        <v>22038</v>
      </c>
      <c r="C19" s="25" t="n">
        <v>21.7</v>
      </c>
      <c r="D19" s="26" t="n">
        <v>0.111940298507</v>
      </c>
      <c r="E19" s="26" t="n">
        <v>0.0631460169706</v>
      </c>
      <c r="F19" s="34">
        <f>IF(D19="","",100*(1-D19))</f>
        <v/>
      </c>
      <c r="G19" s="34">
        <f>IF(E19="","",IF(E19&lt;=0,20,IF(E19&lt;5%,20+400*E19,IF(E19&lt;10%,40+400*(E19-5%),IF(E19&lt;15%,60+400*(E19-10%),IF(E19&lt;25%,80+200*(E19-15%),100))))))</f>
        <v/>
      </c>
      <c r="H19" s="34">
        <f>IF(OR(F19="",G19=""),"",70%*F19+30%*G19)</f>
        <v/>
      </c>
      <c r="I19">
        <f>IF(H19="","",IF(H19&gt;=70,"BUY",IF(H19&gt;=40,"HOLD","SELL")))</f>
        <v/>
      </c>
    </row>
    <row r="20">
      <c r="A20" s="31" t="n">
        <v>46310</v>
      </c>
      <c r="B20" s="24" t="n">
        <v>22180.8</v>
      </c>
      <c r="C20" s="25" t="n">
        <v>21.83</v>
      </c>
      <c r="D20" s="26" t="n">
        <v>0.171641791045</v>
      </c>
      <c r="E20" s="26" t="n">
        <v>0.06399504292490001</v>
      </c>
      <c r="F20" s="34">
        <f>IF(D20="","",100*(1-D20))</f>
        <v/>
      </c>
      <c r="G20" s="34">
        <f>IF(E20="","",IF(E20&lt;=0,20,IF(E20&lt;5%,20+400*E20,IF(E20&lt;10%,40+400*(E20-5%),IF(E20&lt;15%,60+400*(E20-10%),IF(E20&lt;25%,80+200*(E20-15%),100))))))</f>
        <v/>
      </c>
      <c r="H20" s="34">
        <f>IF(OR(F20="",G20=""),"",70%*F20+30%*G20)</f>
        <v/>
      </c>
      <c r="I20">
        <f>IF(H20="","",IF(H20&gt;=70,"BUY",IF(H20&gt;=40,"HOLD","SELL")))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12" customWidth="1" min="3" max="3"/>
    <col width="35" customWidth="1" min="4" max="4"/>
    <col width="15" customWidth="1" min="5" max="5"/>
  </cols>
  <sheetData>
    <row r="1">
      <c r="A1" s="35" t="inlineStr">
        <is>
          <t>NIFTY 500 Composition</t>
        </is>
      </c>
    </row>
    <row r="2">
      <c r="A2" s="2" t="inlineStr">
        <is>
          <t>As of</t>
        </is>
      </c>
      <c r="B2" s="4" t="inlineStr">
        <is>
          <t>Retrieved 2026-10-15</t>
        </is>
      </c>
      <c r="D2" s="2" t="inlineStr">
        <is>
          <t>Weight coverage</t>
        </is>
      </c>
      <c r="E2" s="4" t="inlineStr">
        <is>
          <t>Not published</t>
        </is>
      </c>
    </row>
    <row r="3">
      <c r="A3" s="2" t="inlineStr">
        <is>
          <t>Source</t>
        </is>
      </c>
      <c r="B3" s="17" t="inlineStr">
        <is>
          <t>NSE Indices — Index Constituent CSV</t>
        </is>
      </c>
      <c r="D3" s="2" t="inlineStr">
        <is>
          <t>Top 10 weight</t>
        </is>
      </c>
      <c r="E3" s="4" t="inlineStr">
        <is>
          <t>Not published</t>
        </is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Aadhar Housing Finance Ltd.</t>
        </is>
      </c>
      <c r="C6" t="inlineStr">
        <is>
          <t>AADHARHFC</t>
        </is>
      </c>
      <c r="D6" t="inlineStr">
        <is>
          <t>Financial Services</t>
        </is>
      </c>
    </row>
    <row r="7">
      <c r="A7" t="n">
        <v>2</v>
      </c>
      <c r="B7" t="inlineStr">
        <is>
          <t>Aarti Industries Ltd.</t>
        </is>
      </c>
      <c r="C7" t="inlineStr">
        <is>
          <t>AARTIIND</t>
        </is>
      </c>
      <c r="D7" t="inlineStr">
        <is>
          <t>Chemicals</t>
        </is>
      </c>
    </row>
    <row r="8">
      <c r="A8" t="n">
        <v>3</v>
      </c>
      <c r="B8" t="inlineStr">
        <is>
          <t>Aavas Financiers Ltd.</t>
        </is>
      </c>
      <c r="C8" t="inlineStr">
        <is>
          <t>AAVAS</t>
        </is>
      </c>
      <c r="D8" t="inlineStr">
        <is>
          <t>Financial Services</t>
        </is>
      </c>
    </row>
    <row r="9">
      <c r="A9" t="n">
        <v>4</v>
      </c>
      <c r="B9" t="inlineStr">
        <is>
          <t>ABB India Ltd.</t>
        </is>
      </c>
      <c r="C9" t="inlineStr">
        <is>
          <t>ABB</t>
        </is>
      </c>
      <c r="D9" t="inlineStr">
        <is>
          <t>Capital Goods</t>
        </is>
      </c>
    </row>
    <row r="10">
      <c r="A10" t="n">
        <v>5</v>
      </c>
      <c r="B10" t="inlineStr">
        <is>
          <t>Abbott India Ltd.</t>
        </is>
      </c>
      <c r="C10" t="inlineStr">
        <is>
          <t>ABBOTINDIA</t>
        </is>
      </c>
      <c r="D10" t="inlineStr">
        <is>
          <t>Healthcare</t>
        </is>
      </c>
    </row>
    <row r="11">
      <c r="A11" t="n">
        <v>6</v>
      </c>
      <c r="B11" t="inlineStr">
        <is>
          <t>ACC Ltd.</t>
        </is>
      </c>
      <c r="C11" t="inlineStr">
        <is>
          <t>ACC</t>
        </is>
      </c>
      <c r="D11" t="inlineStr">
        <is>
          <t>Construction Materials</t>
        </is>
      </c>
    </row>
    <row r="12">
      <c r="A12" t="n">
        <v>7</v>
      </c>
      <c r="B12" t="inlineStr">
        <is>
          <t>ACME Solar Holdings Ltd.</t>
        </is>
      </c>
      <c r="C12" t="inlineStr">
        <is>
          <t>ACMESOLAR</t>
        </is>
      </c>
      <c r="D12" t="inlineStr">
        <is>
          <t>Power</t>
        </is>
      </c>
    </row>
    <row r="13">
      <c r="A13" t="n">
        <v>8</v>
      </c>
      <c r="B13" t="inlineStr">
        <is>
          <t>Action Construction Equipment Ltd.</t>
        </is>
      </c>
      <c r="C13" t="inlineStr">
        <is>
          <t>ACE</t>
        </is>
      </c>
      <c r="D13" t="inlineStr">
        <is>
          <t>Capital Goods</t>
        </is>
      </c>
    </row>
    <row r="14">
      <c r="A14" t="n">
        <v>9</v>
      </c>
      <c r="B14" t="inlineStr">
        <is>
          <t>Acutaas Chemicals Ltd.</t>
        </is>
      </c>
      <c r="C14" t="inlineStr">
        <is>
          <t>ACUTAAS</t>
        </is>
      </c>
      <c r="D14" t="inlineStr">
        <is>
          <t>Healthcare</t>
        </is>
      </c>
    </row>
    <row r="15">
      <c r="A15" t="n">
        <v>10</v>
      </c>
      <c r="B15" t="inlineStr">
        <is>
          <t>Adani Energy Solutions Ltd.</t>
        </is>
      </c>
      <c r="C15" t="inlineStr">
        <is>
          <t>ADANIENSOL</t>
        </is>
      </c>
      <c r="D15" t="inlineStr">
        <is>
          <t>Power</t>
        </is>
      </c>
    </row>
    <row r="16">
      <c r="A16" t="n">
        <v>11</v>
      </c>
      <c r="B16" t="inlineStr">
        <is>
          <t>Adani Enterprises Ltd.</t>
        </is>
      </c>
      <c r="C16" t="inlineStr">
        <is>
          <t>ADANIENT</t>
        </is>
      </c>
      <c r="D16" t="inlineStr">
        <is>
          <t>Metals &amp; Mining</t>
        </is>
      </c>
    </row>
    <row r="17">
      <c r="A17" t="n">
        <v>12</v>
      </c>
      <c r="B17" t="inlineStr">
        <is>
          <t>Adani Green Energy Ltd.</t>
        </is>
      </c>
      <c r="C17" t="inlineStr">
        <is>
          <t>ADANIGREEN</t>
        </is>
      </c>
      <c r="D17" t="inlineStr">
        <is>
          <t>Power</t>
        </is>
      </c>
    </row>
    <row r="18">
      <c r="A18" t="n">
        <v>13</v>
      </c>
      <c r="B18" t="inlineStr">
        <is>
          <t>Adani Ports and Special Economic Zone Ltd.</t>
        </is>
      </c>
      <c r="C18" t="inlineStr">
        <is>
          <t>ADANIPORTS</t>
        </is>
      </c>
      <c r="D18" t="inlineStr">
        <is>
          <t>Services</t>
        </is>
      </c>
    </row>
    <row r="19">
      <c r="A19" t="n">
        <v>14</v>
      </c>
      <c r="B19" t="inlineStr">
        <is>
          <t>Adani Power Ltd.</t>
        </is>
      </c>
      <c r="C19" t="inlineStr">
        <is>
          <t>ADANIPOWER</t>
        </is>
      </c>
      <c r="D19" t="inlineStr">
        <is>
          <t>Power</t>
        </is>
      </c>
    </row>
    <row r="20">
      <c r="A20" t="n">
        <v>15</v>
      </c>
      <c r="B20" t="inlineStr">
        <is>
          <t>Adani Total Gas Ltd.</t>
        </is>
      </c>
      <c r="C20" t="inlineStr">
        <is>
          <t>ATGL</t>
        </is>
      </c>
      <c r="D20" t="inlineStr">
        <is>
          <t>Oil Gas &amp; Consumable Fuels</t>
        </is>
      </c>
    </row>
    <row r="21">
      <c r="A21" t="n">
        <v>16</v>
      </c>
      <c r="B21" t="inlineStr">
        <is>
          <t>Aditya Birla Capital Ltd.</t>
        </is>
      </c>
      <c r="C21" t="inlineStr">
        <is>
          <t>ABCAPITAL</t>
        </is>
      </c>
      <c r="D21" t="inlineStr">
        <is>
          <t>Financial Services</t>
        </is>
      </c>
    </row>
    <row r="22">
      <c r="A22" t="n">
        <v>17</v>
      </c>
      <c r="B22" t="inlineStr">
        <is>
          <t>Aditya Birla Real Estate Ltd.</t>
        </is>
      </c>
      <c r="C22" t="inlineStr">
        <is>
          <t>ABREL</t>
        </is>
      </c>
      <c r="D22" t="inlineStr">
        <is>
          <t>Realty</t>
        </is>
      </c>
    </row>
    <row r="23">
      <c r="A23" t="n">
        <v>18</v>
      </c>
      <c r="B23" t="inlineStr">
        <is>
          <t>Aditya Birla Sun Life AMC Ltd.</t>
        </is>
      </c>
      <c r="C23" t="inlineStr">
        <is>
          <t>ABSLAMC</t>
        </is>
      </c>
      <c r="D23" t="inlineStr">
        <is>
          <t>Financial Services</t>
        </is>
      </c>
    </row>
    <row r="24">
      <c r="A24" t="n">
        <v>19</v>
      </c>
      <c r="B24" t="inlineStr">
        <is>
          <t>Aditya Infotech Ltd.</t>
        </is>
      </c>
      <c r="C24" t="inlineStr">
        <is>
          <t>CPPLUS</t>
        </is>
      </c>
      <c r="D24" t="inlineStr">
        <is>
          <t>Capital Goods</t>
        </is>
      </c>
    </row>
    <row r="25">
      <c r="A25" t="n">
        <v>20</v>
      </c>
      <c r="B25" t="inlineStr">
        <is>
          <t>Aegis Logistics Ltd.</t>
        </is>
      </c>
      <c r="C25" t="inlineStr">
        <is>
          <t>AEGISLOG</t>
        </is>
      </c>
      <c r="D25" t="inlineStr">
        <is>
          <t>Oil Gas &amp; Consumable Fuels</t>
        </is>
      </c>
    </row>
    <row r="26">
      <c r="A26" t="n">
        <v>21</v>
      </c>
      <c r="B26" t="inlineStr">
        <is>
          <t>Aegis Vopak Terminals Ltd.</t>
        </is>
      </c>
      <c r="C26" t="inlineStr">
        <is>
          <t>AEGISVOPAK</t>
        </is>
      </c>
      <c r="D26" t="inlineStr">
        <is>
          <t>Oil Gas &amp; Consumable Fuels</t>
        </is>
      </c>
    </row>
    <row r="27">
      <c r="A27" t="n">
        <v>22</v>
      </c>
      <c r="B27" t="inlineStr">
        <is>
          <t>Aether Industries Ltd.</t>
        </is>
      </c>
      <c r="C27" t="inlineStr">
        <is>
          <t>AETHER</t>
        </is>
      </c>
      <c r="D27" t="inlineStr">
        <is>
          <t>Chemicals</t>
        </is>
      </c>
    </row>
    <row r="28">
      <c r="A28" t="n">
        <v>23</v>
      </c>
      <c r="B28" t="inlineStr">
        <is>
          <t>Afcons Infrastructure Ltd.</t>
        </is>
      </c>
      <c r="C28" t="inlineStr">
        <is>
          <t>AFCONS</t>
        </is>
      </c>
      <c r="D28" t="inlineStr">
        <is>
          <t>Construction</t>
        </is>
      </c>
    </row>
    <row r="29">
      <c r="A29" t="n">
        <v>24</v>
      </c>
      <c r="B29" t="inlineStr">
        <is>
          <t>Affle 3i Ltd.</t>
        </is>
      </c>
      <c r="C29" t="inlineStr">
        <is>
          <t>AFFLE</t>
        </is>
      </c>
      <c r="D29" t="inlineStr">
        <is>
          <t>Information Technology</t>
        </is>
      </c>
    </row>
    <row r="30">
      <c r="A30" t="n">
        <v>25</v>
      </c>
      <c r="B30" t="inlineStr">
        <is>
          <t>AIA Engineering Ltd.</t>
        </is>
      </c>
      <c r="C30" t="inlineStr">
        <is>
          <t>AIAENG</t>
        </is>
      </c>
      <c r="D30" t="inlineStr">
        <is>
          <t>Capital Goods</t>
        </is>
      </c>
    </row>
    <row r="31">
      <c r="A31" t="n">
        <v>26</v>
      </c>
      <c r="B31" t="inlineStr">
        <is>
          <t>Ajanta Pharmaceuticals Ltd.</t>
        </is>
      </c>
      <c r="C31" t="inlineStr">
        <is>
          <t>AJANTPHARM</t>
        </is>
      </c>
      <c r="D31" t="inlineStr">
        <is>
          <t>Healthcare</t>
        </is>
      </c>
    </row>
    <row r="32">
      <c r="A32" t="n">
        <v>27</v>
      </c>
      <c r="B32" t="inlineStr">
        <is>
          <t>Alkem Laboratories Ltd.</t>
        </is>
      </c>
      <c r="C32" t="inlineStr">
        <is>
          <t>ALKEM</t>
        </is>
      </c>
      <c r="D32" t="inlineStr">
        <is>
          <t>Healthcare</t>
        </is>
      </c>
    </row>
    <row r="33">
      <c r="A33" t="n">
        <v>28</v>
      </c>
      <c r="B33" t="inlineStr">
        <is>
          <t>Allied Blenders and Distillers Ltd.</t>
        </is>
      </c>
      <c r="C33" t="inlineStr">
        <is>
          <t>ABDL</t>
        </is>
      </c>
      <c r="D33" t="inlineStr">
        <is>
          <t>Fast Moving Consumer Goods</t>
        </is>
      </c>
    </row>
    <row r="34">
      <c r="A34" t="n">
        <v>29</v>
      </c>
      <c r="B34" t="inlineStr">
        <is>
          <t>Amara Raja Energy &amp; Mobility Ltd.</t>
        </is>
      </c>
      <c r="C34" t="inlineStr">
        <is>
          <t>ARE&amp;M</t>
        </is>
      </c>
      <c r="D34" t="inlineStr">
        <is>
          <t>Automobile and Auto Components</t>
        </is>
      </c>
    </row>
    <row r="35">
      <c r="A35" t="n">
        <v>30</v>
      </c>
      <c r="B35" t="inlineStr">
        <is>
          <t>Amber Enterprises India Ltd.</t>
        </is>
      </c>
      <c r="C35" t="inlineStr">
        <is>
          <t>AMBER</t>
        </is>
      </c>
      <c r="D35" t="inlineStr">
        <is>
          <t>Consumer Durables</t>
        </is>
      </c>
    </row>
    <row r="36">
      <c r="A36" t="n">
        <v>31</v>
      </c>
      <c r="B36" t="inlineStr">
        <is>
          <t>Ambuja Cements Ltd.</t>
        </is>
      </c>
      <c r="C36" t="inlineStr">
        <is>
          <t>AMBUJACEM</t>
        </is>
      </c>
      <c r="D36" t="inlineStr">
        <is>
          <t>Construction Materials</t>
        </is>
      </c>
    </row>
    <row r="37">
      <c r="A37" t="n">
        <v>32</v>
      </c>
      <c r="B37" t="inlineStr">
        <is>
          <t>Anand Rathi Wealth Ltd.</t>
        </is>
      </c>
      <c r="C37" t="inlineStr">
        <is>
          <t>ANANDRATHI</t>
        </is>
      </c>
      <c r="D37" t="inlineStr">
        <is>
          <t>Financial Services</t>
        </is>
      </c>
    </row>
    <row r="38">
      <c r="A38" t="n">
        <v>33</v>
      </c>
      <c r="B38" t="inlineStr">
        <is>
          <t>Anant Raj Ltd.</t>
        </is>
      </c>
      <c r="C38" t="inlineStr">
        <is>
          <t>ANANTRAJ</t>
        </is>
      </c>
      <c r="D38" t="inlineStr">
        <is>
          <t>Realty</t>
        </is>
      </c>
    </row>
    <row r="39">
      <c r="A39" t="n">
        <v>34</v>
      </c>
      <c r="B39" t="inlineStr">
        <is>
          <t>Angel One Ltd.</t>
        </is>
      </c>
      <c r="C39" t="inlineStr">
        <is>
          <t>ANGELONE</t>
        </is>
      </c>
      <c r="D39" t="inlineStr">
        <is>
          <t>Financial Services</t>
        </is>
      </c>
    </row>
    <row r="40">
      <c r="A40" t="n">
        <v>35</v>
      </c>
      <c r="B40" t="inlineStr">
        <is>
          <t>Anthem Biosciences Ltd.</t>
        </is>
      </c>
      <c r="C40" t="inlineStr">
        <is>
          <t>ANTHEM</t>
        </is>
      </c>
      <c r="D40" t="inlineStr">
        <is>
          <t>Healthcare</t>
        </is>
      </c>
    </row>
    <row r="41">
      <c r="A41" t="n">
        <v>36</v>
      </c>
      <c r="B41" t="inlineStr">
        <is>
          <t>Anupam Rasayan India Ltd.</t>
        </is>
      </c>
      <c r="C41" t="inlineStr">
        <is>
          <t>ANURAS</t>
        </is>
      </c>
      <c r="D41" t="inlineStr">
        <is>
          <t>Chemicals</t>
        </is>
      </c>
    </row>
    <row r="42">
      <c r="A42" t="n">
        <v>37</v>
      </c>
      <c r="B42" t="inlineStr">
        <is>
          <t>Apar Industries Ltd.</t>
        </is>
      </c>
      <c r="C42" t="inlineStr">
        <is>
          <t>APARINDS</t>
        </is>
      </c>
      <c r="D42" t="inlineStr">
        <is>
          <t>Capital Goods</t>
        </is>
      </c>
    </row>
    <row r="43">
      <c r="A43" t="n">
        <v>38</v>
      </c>
      <c r="B43" t="inlineStr">
        <is>
          <t>APL Apollo Tubes Ltd.</t>
        </is>
      </c>
      <c r="C43" t="inlineStr">
        <is>
          <t>APLAPOLLO</t>
        </is>
      </c>
      <c r="D43" t="inlineStr">
        <is>
          <t>Capital Goods</t>
        </is>
      </c>
    </row>
    <row r="44">
      <c r="A44" t="n">
        <v>39</v>
      </c>
      <c r="B44" t="inlineStr">
        <is>
          <t>Apollo Hospitals Enterprise Ltd.</t>
        </is>
      </c>
      <c r="C44" t="inlineStr">
        <is>
          <t>APOLLOHOSP</t>
        </is>
      </c>
      <c r="D44" t="inlineStr">
        <is>
          <t>Healthcare</t>
        </is>
      </c>
    </row>
    <row r="45">
      <c r="A45" t="n">
        <v>40</v>
      </c>
      <c r="B45" t="inlineStr">
        <is>
          <t>Apollo Tyres Ltd.</t>
        </is>
      </c>
      <c r="C45" t="inlineStr">
        <is>
          <t>APOLLOTYRE</t>
        </is>
      </c>
      <c r="D45" t="inlineStr">
        <is>
          <t>Automobile and Auto Components</t>
        </is>
      </c>
    </row>
    <row r="46">
      <c r="A46" t="n">
        <v>41</v>
      </c>
      <c r="B46" t="inlineStr">
        <is>
          <t>Aptus Value Housing Finance India Ltd.</t>
        </is>
      </c>
      <c r="C46" t="inlineStr">
        <is>
          <t>APTUS</t>
        </is>
      </c>
      <c r="D46" t="inlineStr">
        <is>
          <t>Financial Services</t>
        </is>
      </c>
    </row>
    <row r="47">
      <c r="A47" t="n">
        <v>42</v>
      </c>
      <c r="B47" t="inlineStr">
        <is>
          <t>Asahi India Glass Ltd.</t>
        </is>
      </c>
      <c r="C47" t="inlineStr">
        <is>
          <t>ASAHIINDIA</t>
        </is>
      </c>
      <c r="D47" t="inlineStr">
        <is>
          <t>Automobile and Auto Components</t>
        </is>
      </c>
    </row>
    <row r="48">
      <c r="A48" t="n">
        <v>43</v>
      </c>
      <c r="B48" t="inlineStr">
        <is>
          <t>Ashok Leyland Ltd.</t>
        </is>
      </c>
      <c r="C48" t="inlineStr">
        <is>
          <t>ASHOKLEY</t>
        </is>
      </c>
      <c r="D48" t="inlineStr">
        <is>
          <t>Capital Goods</t>
        </is>
      </c>
    </row>
    <row r="49">
      <c r="A49" t="n">
        <v>44</v>
      </c>
      <c r="B49" t="inlineStr">
        <is>
          <t>Asian Paints Ltd.</t>
        </is>
      </c>
      <c r="C49" t="inlineStr">
        <is>
          <t>ASIANPAINT</t>
        </is>
      </c>
      <c r="D49" t="inlineStr">
        <is>
          <t>Consumer Durables</t>
        </is>
      </c>
    </row>
    <row r="50">
      <c r="A50" t="n">
        <v>45</v>
      </c>
      <c r="B50" t="inlineStr">
        <is>
          <t>Aster DM Quality Care Ltd.</t>
        </is>
      </c>
      <c r="C50" t="inlineStr">
        <is>
          <t>ASTERDM</t>
        </is>
      </c>
      <c r="D50" t="inlineStr">
        <is>
          <t>Healthcare</t>
        </is>
      </c>
    </row>
    <row r="51">
      <c r="A51" t="n">
        <v>46</v>
      </c>
      <c r="B51" t="inlineStr">
        <is>
          <t>Astral Ltd.</t>
        </is>
      </c>
      <c r="C51" t="inlineStr">
        <is>
          <t>ASTRAL</t>
        </is>
      </c>
      <c r="D51" t="inlineStr">
        <is>
          <t>Capital Goods</t>
        </is>
      </c>
    </row>
    <row r="52">
      <c r="A52" t="n">
        <v>47</v>
      </c>
      <c r="B52" t="inlineStr">
        <is>
          <t>Ather Energy Ltd.</t>
        </is>
      </c>
      <c r="C52" t="inlineStr">
        <is>
          <t>ATHERENERG</t>
        </is>
      </c>
      <c r="D52" t="inlineStr">
        <is>
          <t>Automobile and Auto Components</t>
        </is>
      </c>
    </row>
    <row r="53">
      <c r="A53" t="n">
        <v>48</v>
      </c>
      <c r="B53" t="inlineStr">
        <is>
          <t>Atul Ltd.</t>
        </is>
      </c>
      <c r="C53" t="inlineStr">
        <is>
          <t>ATUL</t>
        </is>
      </c>
      <c r="D53" t="inlineStr">
        <is>
          <t>Chemicals</t>
        </is>
      </c>
    </row>
    <row r="54">
      <c r="A54" t="n">
        <v>49</v>
      </c>
      <c r="B54" t="inlineStr">
        <is>
          <t>AU Small Finance Bank Ltd.</t>
        </is>
      </c>
      <c r="C54" t="inlineStr">
        <is>
          <t>AUBANK</t>
        </is>
      </c>
      <c r="D54" t="inlineStr">
        <is>
          <t>Financial Services</t>
        </is>
      </c>
    </row>
    <row r="55">
      <c r="A55" t="n">
        <v>50</v>
      </c>
      <c r="B55" t="inlineStr">
        <is>
          <t>Aurobindo Pharma Ltd.</t>
        </is>
      </c>
      <c r="C55" t="inlineStr">
        <is>
          <t>AUROPHARMA</t>
        </is>
      </c>
      <c r="D55" t="inlineStr">
        <is>
          <t>Healthcare</t>
        </is>
      </c>
    </row>
    <row r="56">
      <c r="A56" t="n">
        <v>51</v>
      </c>
      <c r="B56" t="inlineStr">
        <is>
          <t>Authum Investment &amp; Infrastructure Ltd.</t>
        </is>
      </c>
      <c r="C56" t="inlineStr">
        <is>
          <t>AIIL</t>
        </is>
      </c>
      <c r="D56" t="inlineStr">
        <is>
          <t>Financial Services</t>
        </is>
      </c>
    </row>
    <row r="57">
      <c r="A57" t="n">
        <v>52</v>
      </c>
      <c r="B57" t="inlineStr">
        <is>
          <t>Avanti Feeds Ltd.</t>
        </is>
      </c>
      <c r="C57" t="inlineStr">
        <is>
          <t>AVANTIFEED</t>
        </is>
      </c>
      <c r="D57" t="inlineStr">
        <is>
          <t>Fast Moving Consumer Goods</t>
        </is>
      </c>
    </row>
    <row r="58">
      <c r="A58" t="n">
        <v>53</v>
      </c>
      <c r="B58" t="inlineStr">
        <is>
          <t>Avenue Supermarts Ltd.</t>
        </is>
      </c>
      <c r="C58" t="inlineStr">
        <is>
          <t>DMART</t>
        </is>
      </c>
      <c r="D58" t="inlineStr">
        <is>
          <t>Consumer Services</t>
        </is>
      </c>
    </row>
    <row r="59">
      <c r="A59" t="n">
        <v>54</v>
      </c>
      <c r="B59" t="inlineStr">
        <is>
          <t>AWL Agri Business Ltd.</t>
        </is>
      </c>
      <c r="C59" t="inlineStr">
        <is>
          <t>AWL</t>
        </is>
      </c>
      <c r="D59" t="inlineStr">
        <is>
          <t>Fast Moving Consumer Goods</t>
        </is>
      </c>
    </row>
    <row r="60">
      <c r="A60" t="n">
        <v>55</v>
      </c>
      <c r="B60" t="inlineStr">
        <is>
          <t>Axis Bank Ltd.</t>
        </is>
      </c>
      <c r="C60" t="inlineStr">
        <is>
          <t>AXISBANK</t>
        </is>
      </c>
      <c r="D60" t="inlineStr">
        <is>
          <t>Financial Services</t>
        </is>
      </c>
    </row>
    <row r="61">
      <c r="A61" t="n">
        <v>56</v>
      </c>
      <c r="B61" t="inlineStr">
        <is>
          <t>Azad Engineering Ltd.</t>
        </is>
      </c>
      <c r="C61" t="inlineStr">
        <is>
          <t>AZAD</t>
        </is>
      </c>
      <c r="D61" t="inlineStr">
        <is>
          <t>Capital Goods</t>
        </is>
      </c>
    </row>
    <row r="62">
      <c r="A62" t="n">
        <v>57</v>
      </c>
      <c r="B62" t="inlineStr">
        <is>
          <t>Bagmane Prime Office REIT</t>
        </is>
      </c>
      <c r="C62" t="inlineStr">
        <is>
          <t>BAGMANE</t>
        </is>
      </c>
      <c r="D62" t="inlineStr">
        <is>
          <t>Realty</t>
        </is>
      </c>
    </row>
    <row r="63">
      <c r="A63" t="n">
        <v>58</v>
      </c>
      <c r="B63" t="inlineStr">
        <is>
          <t>Bajaj Auto Ltd.</t>
        </is>
      </c>
      <c r="C63" t="inlineStr">
        <is>
          <t>BAJAJ-AUTO</t>
        </is>
      </c>
      <c r="D63" t="inlineStr">
        <is>
          <t>Automobile and Auto Components</t>
        </is>
      </c>
    </row>
    <row r="64">
      <c r="A64" t="n">
        <v>59</v>
      </c>
      <c r="B64" t="inlineStr">
        <is>
          <t>Bajaj Finance Ltd.</t>
        </is>
      </c>
      <c r="C64" t="inlineStr">
        <is>
          <t>BAJFINANCE</t>
        </is>
      </c>
      <c r="D64" t="inlineStr">
        <is>
          <t>Financial Services</t>
        </is>
      </c>
    </row>
    <row r="65">
      <c r="A65" t="n">
        <v>60</v>
      </c>
      <c r="B65" t="inlineStr">
        <is>
          <t>Bajaj Finserv Ltd.</t>
        </is>
      </c>
      <c r="C65" t="inlineStr">
        <is>
          <t>BAJAJFINSV</t>
        </is>
      </c>
      <c r="D65" t="inlineStr">
        <is>
          <t>Financial Services</t>
        </is>
      </c>
    </row>
    <row r="66">
      <c r="A66" t="n">
        <v>61</v>
      </c>
      <c r="B66" t="inlineStr">
        <is>
          <t>Bajaj Holdings &amp; Investment Ltd.</t>
        </is>
      </c>
      <c r="C66" t="inlineStr">
        <is>
          <t>BAJAJHLDNG</t>
        </is>
      </c>
      <c r="D66" t="inlineStr">
        <is>
          <t>Financial Services</t>
        </is>
      </c>
    </row>
    <row r="67">
      <c r="A67" t="n">
        <v>62</v>
      </c>
      <c r="B67" t="inlineStr">
        <is>
          <t>Bajaj Housing Finance Ltd.</t>
        </is>
      </c>
      <c r="C67" t="inlineStr">
        <is>
          <t>BAJAJHFL</t>
        </is>
      </c>
      <c r="D67" t="inlineStr">
        <is>
          <t>Financial Services</t>
        </is>
      </c>
    </row>
    <row r="68">
      <c r="A68" t="n">
        <v>63</v>
      </c>
      <c r="B68" t="inlineStr">
        <is>
          <t>Balkrishna Industries Ltd.</t>
        </is>
      </c>
      <c r="C68" t="inlineStr">
        <is>
          <t>BALKRISIND</t>
        </is>
      </c>
      <c r="D68" t="inlineStr">
        <is>
          <t>Automobile and Auto Components</t>
        </is>
      </c>
    </row>
    <row r="69">
      <c r="A69" t="n">
        <v>64</v>
      </c>
      <c r="B69" t="inlineStr">
        <is>
          <t>Balrampur Chini Mills Ltd.</t>
        </is>
      </c>
      <c r="C69" t="inlineStr">
        <is>
          <t>BALRAMCHIN</t>
        </is>
      </c>
      <c r="D69" t="inlineStr">
        <is>
          <t>Fast Moving Consumer Goods</t>
        </is>
      </c>
    </row>
    <row r="70">
      <c r="A70" t="n">
        <v>65</v>
      </c>
      <c r="B70" t="inlineStr">
        <is>
          <t>Bandhan Bank Ltd.</t>
        </is>
      </c>
      <c r="C70" t="inlineStr">
        <is>
          <t>BANDHANBNK</t>
        </is>
      </c>
      <c r="D70" t="inlineStr">
        <is>
          <t>Financial Services</t>
        </is>
      </c>
    </row>
    <row r="71">
      <c r="A71" t="n">
        <v>66</v>
      </c>
      <c r="B71" t="inlineStr">
        <is>
          <t>Bank of Baroda</t>
        </is>
      </c>
      <c r="C71" t="inlineStr">
        <is>
          <t>BANKBARODA</t>
        </is>
      </c>
      <c r="D71" t="inlineStr">
        <is>
          <t>Financial Services</t>
        </is>
      </c>
    </row>
    <row r="72">
      <c r="A72" t="n">
        <v>67</v>
      </c>
      <c r="B72" t="inlineStr">
        <is>
          <t>Bank of India</t>
        </is>
      </c>
      <c r="C72" t="inlineStr">
        <is>
          <t>BANKINDIA</t>
        </is>
      </c>
      <c r="D72" t="inlineStr">
        <is>
          <t>Financial Services</t>
        </is>
      </c>
    </row>
    <row r="73">
      <c r="A73" t="n">
        <v>68</v>
      </c>
      <c r="B73" t="inlineStr">
        <is>
          <t>Bank of Maharashtra</t>
        </is>
      </c>
      <c r="C73" t="inlineStr">
        <is>
          <t>MAHABANK</t>
        </is>
      </c>
      <c r="D73" t="inlineStr">
        <is>
          <t>Financial Services</t>
        </is>
      </c>
    </row>
    <row r="74">
      <c r="A74" t="n">
        <v>69</v>
      </c>
      <c r="B74" t="inlineStr">
        <is>
          <t>Bata India Ltd.</t>
        </is>
      </c>
      <c r="C74" t="inlineStr">
        <is>
          <t>BATAINDIA</t>
        </is>
      </c>
      <c r="D74" t="inlineStr">
        <is>
          <t>Consumer Durables</t>
        </is>
      </c>
    </row>
    <row r="75">
      <c r="A75" t="n">
        <v>70</v>
      </c>
      <c r="B75" t="inlineStr">
        <is>
          <t>Belrise Industries Ltd.</t>
        </is>
      </c>
      <c r="C75" t="inlineStr">
        <is>
          <t>BELRISE</t>
        </is>
      </c>
      <c r="D75" t="inlineStr">
        <is>
          <t>Automobile and Auto Components</t>
        </is>
      </c>
    </row>
    <row r="76">
      <c r="A76" t="n">
        <v>71</v>
      </c>
      <c r="B76" t="inlineStr">
        <is>
          <t>BEML Ltd.</t>
        </is>
      </c>
      <c r="C76" t="inlineStr">
        <is>
          <t>BEML</t>
        </is>
      </c>
      <c r="D76" t="inlineStr">
        <is>
          <t>Capital Goods</t>
        </is>
      </c>
    </row>
    <row r="77">
      <c r="A77" t="n">
        <v>72</v>
      </c>
      <c r="B77" t="inlineStr">
        <is>
          <t>Berger Paints India Ltd.</t>
        </is>
      </c>
      <c r="C77" t="inlineStr">
        <is>
          <t>BERGEPAINT</t>
        </is>
      </c>
      <c r="D77" t="inlineStr">
        <is>
          <t>Consumer Durables</t>
        </is>
      </c>
    </row>
    <row r="78">
      <c r="A78" t="n">
        <v>73</v>
      </c>
      <c r="B78" t="inlineStr">
        <is>
          <t>Bharat Coking Coal Ltd.</t>
        </is>
      </c>
      <c r="C78" t="inlineStr">
        <is>
          <t>BHARATCOAL</t>
        </is>
      </c>
      <c r="D78" t="inlineStr">
        <is>
          <t>Oil Gas &amp; Consumable Fuels</t>
        </is>
      </c>
    </row>
    <row r="79">
      <c r="A79" t="n">
        <v>74</v>
      </c>
      <c r="B79" t="inlineStr">
        <is>
          <t>Bharat Dynamics Ltd.</t>
        </is>
      </c>
      <c r="C79" t="inlineStr">
        <is>
          <t>BDL</t>
        </is>
      </c>
      <c r="D79" t="inlineStr">
        <is>
          <t>Capital Goods</t>
        </is>
      </c>
    </row>
    <row r="80">
      <c r="A80" t="n">
        <v>75</v>
      </c>
      <c r="B80" t="inlineStr">
        <is>
          <t>Bharat Electronics Ltd.</t>
        </is>
      </c>
      <c r="C80" t="inlineStr">
        <is>
          <t>BEL</t>
        </is>
      </c>
      <c r="D80" t="inlineStr">
        <is>
          <t>Capital Goods</t>
        </is>
      </c>
    </row>
    <row r="81">
      <c r="A81" t="n">
        <v>76</v>
      </c>
      <c r="B81" t="inlineStr">
        <is>
          <t>Bharat Forge Ltd.</t>
        </is>
      </c>
      <c r="C81" t="inlineStr">
        <is>
          <t>BHARATFORG</t>
        </is>
      </c>
      <c r="D81" t="inlineStr">
        <is>
          <t>Automobile and Auto Components</t>
        </is>
      </c>
    </row>
    <row r="82">
      <c r="A82" t="n">
        <v>77</v>
      </c>
      <c r="B82" t="inlineStr">
        <is>
          <t>Bharat Heavy Electricals Ltd.</t>
        </is>
      </c>
      <c r="C82" t="inlineStr">
        <is>
          <t>BHEL</t>
        </is>
      </c>
      <c r="D82" t="inlineStr">
        <is>
          <t>Capital Goods</t>
        </is>
      </c>
    </row>
    <row r="83">
      <c r="A83" t="n">
        <v>78</v>
      </c>
      <c r="B83" t="inlineStr">
        <is>
          <t>Bharat Petroleum Corporation Ltd.</t>
        </is>
      </c>
      <c r="C83" t="inlineStr">
        <is>
          <t>BPCL</t>
        </is>
      </c>
      <c r="D83" t="inlineStr">
        <is>
          <t>Oil Gas &amp; Consumable Fuels</t>
        </is>
      </c>
    </row>
    <row r="84">
      <c r="A84" t="n">
        <v>79</v>
      </c>
      <c r="B84" t="inlineStr">
        <is>
          <t>Bharti Airtel Ltd.</t>
        </is>
      </c>
      <c r="C84" t="inlineStr">
        <is>
          <t>BHARTIARTL</t>
        </is>
      </c>
      <c r="D84" t="inlineStr">
        <is>
          <t>Telecommunication</t>
        </is>
      </c>
    </row>
    <row r="85">
      <c r="A85" t="n">
        <v>80</v>
      </c>
      <c r="B85" t="inlineStr">
        <is>
          <t>Bharti Hexacom Ltd.</t>
        </is>
      </c>
      <c r="C85" t="inlineStr">
        <is>
          <t>BHARTIHEXA</t>
        </is>
      </c>
      <c r="D85" t="inlineStr">
        <is>
          <t>Telecommunication</t>
        </is>
      </c>
    </row>
    <row r="86">
      <c r="A86" t="n">
        <v>81</v>
      </c>
      <c r="B86" t="inlineStr">
        <is>
          <t>Billionbrains Garage Ventures Ltd.</t>
        </is>
      </c>
      <c r="C86" t="inlineStr">
        <is>
          <t>GROWW</t>
        </is>
      </c>
      <c r="D86" t="inlineStr">
        <is>
          <t>Financial Services</t>
        </is>
      </c>
    </row>
    <row r="87">
      <c r="A87" t="n">
        <v>82</v>
      </c>
      <c r="B87" t="inlineStr">
        <is>
          <t>Biocon Ltd.</t>
        </is>
      </c>
      <c r="C87" t="inlineStr">
        <is>
          <t>BIOCON</t>
        </is>
      </c>
      <c r="D87" t="inlineStr">
        <is>
          <t>Healthcare</t>
        </is>
      </c>
    </row>
    <row r="88">
      <c r="A88" t="n">
        <v>83</v>
      </c>
      <c r="B88" t="inlineStr">
        <is>
          <t>Birlasoft Ltd.</t>
        </is>
      </c>
      <c r="C88" t="inlineStr">
        <is>
          <t>BSOFT</t>
        </is>
      </c>
      <c r="D88" t="inlineStr">
        <is>
          <t>Information Technology</t>
        </is>
      </c>
    </row>
    <row r="89">
      <c r="A89" t="n">
        <v>84</v>
      </c>
      <c r="B89" t="inlineStr">
        <is>
          <t>Black Box Ltd.</t>
        </is>
      </c>
      <c r="C89" t="inlineStr">
        <is>
          <t>BBOX</t>
        </is>
      </c>
      <c r="D89" t="inlineStr">
        <is>
          <t>Information Technology</t>
        </is>
      </c>
    </row>
    <row r="90">
      <c r="A90" t="n">
        <v>85</v>
      </c>
      <c r="B90" t="inlineStr">
        <is>
          <t>BLS International Services Ltd.</t>
        </is>
      </c>
      <c r="C90" t="inlineStr">
        <is>
          <t>BLS</t>
        </is>
      </c>
      <c r="D90" t="inlineStr">
        <is>
          <t>Consumer Services</t>
        </is>
      </c>
    </row>
    <row r="91">
      <c r="A91" t="n">
        <v>86</v>
      </c>
      <c r="B91" t="inlineStr">
        <is>
          <t>Blue Star Ltd.</t>
        </is>
      </c>
      <c r="C91" t="inlineStr">
        <is>
          <t>BLUESTARCO</t>
        </is>
      </c>
      <c r="D91" t="inlineStr">
        <is>
          <t>Consumer Durables</t>
        </is>
      </c>
    </row>
    <row r="92">
      <c r="A92" t="n">
        <v>87</v>
      </c>
      <c r="B92" t="inlineStr">
        <is>
          <t>Bosch Ltd.</t>
        </is>
      </c>
      <c r="C92" t="inlineStr">
        <is>
          <t>BOSCHLTD</t>
        </is>
      </c>
      <c r="D92" t="inlineStr">
        <is>
          <t>Automobile and Auto Components</t>
        </is>
      </c>
    </row>
    <row r="93">
      <c r="A93" t="n">
        <v>88</v>
      </c>
      <c r="B93" t="inlineStr">
        <is>
          <t>Brainbees Solutions Ltd.</t>
        </is>
      </c>
      <c r="C93" t="inlineStr">
        <is>
          <t>FIRSTCRY</t>
        </is>
      </c>
      <c r="D93" t="inlineStr">
        <is>
          <t>Consumer Services</t>
        </is>
      </c>
    </row>
    <row r="94">
      <c r="A94" t="n">
        <v>89</v>
      </c>
      <c r="B94" t="inlineStr">
        <is>
          <t>Brigade Enterprises Ltd.</t>
        </is>
      </c>
      <c r="C94" t="inlineStr">
        <is>
          <t>BRIGADE</t>
        </is>
      </c>
      <c r="D94" t="inlineStr">
        <is>
          <t>Realty</t>
        </is>
      </c>
    </row>
    <row r="95">
      <c r="A95" t="n">
        <v>90</v>
      </c>
      <c r="B95" t="inlineStr">
        <is>
          <t>Britannia Industries Ltd.</t>
        </is>
      </c>
      <c r="C95" t="inlineStr">
        <is>
          <t>BRITANNIA</t>
        </is>
      </c>
      <c r="D95" t="inlineStr">
        <is>
          <t>Fast Moving Consumer Goods</t>
        </is>
      </c>
    </row>
    <row r="96">
      <c r="A96" t="n">
        <v>91</v>
      </c>
      <c r="B96" t="inlineStr">
        <is>
          <t>Brookfield India Real Estate Trust</t>
        </is>
      </c>
      <c r="C96" t="inlineStr">
        <is>
          <t>BIRET</t>
        </is>
      </c>
      <c r="D96" t="inlineStr">
        <is>
          <t>Realty</t>
        </is>
      </c>
    </row>
    <row r="97">
      <c r="A97" t="n">
        <v>92</v>
      </c>
      <c r="B97" t="inlineStr">
        <is>
          <t>BSE Ltd.</t>
        </is>
      </c>
      <c r="C97" t="inlineStr">
        <is>
          <t>BSE</t>
        </is>
      </c>
      <c r="D97" t="inlineStr">
        <is>
          <t>Financial Services</t>
        </is>
      </c>
    </row>
    <row r="98">
      <c r="A98" t="n">
        <v>93</v>
      </c>
      <c r="B98" t="inlineStr">
        <is>
          <t>Can Fin Homes Ltd.</t>
        </is>
      </c>
      <c r="C98" t="inlineStr">
        <is>
          <t>CANFINHOME</t>
        </is>
      </c>
      <c r="D98" t="inlineStr">
        <is>
          <t>Financial Services</t>
        </is>
      </c>
    </row>
    <row r="99">
      <c r="A99" t="n">
        <v>94</v>
      </c>
      <c r="B99" t="inlineStr">
        <is>
          <t>Canara Bank</t>
        </is>
      </c>
      <c r="C99" t="inlineStr">
        <is>
          <t>CANBK</t>
        </is>
      </c>
      <c r="D99" t="inlineStr">
        <is>
          <t>Financial Services</t>
        </is>
      </c>
    </row>
    <row r="100">
      <c r="A100" t="n">
        <v>95</v>
      </c>
      <c r="B100" t="inlineStr">
        <is>
          <t>Canara HSBC Life Insurance Company Ltd.</t>
        </is>
      </c>
      <c r="C100" t="inlineStr">
        <is>
          <t>CANHLIFE</t>
        </is>
      </c>
      <c r="D100" t="inlineStr">
        <is>
          <t>Financial Services</t>
        </is>
      </c>
    </row>
    <row r="101">
      <c r="A101" t="n">
        <v>96</v>
      </c>
      <c r="B101" t="inlineStr">
        <is>
          <t>Caplin Point Laboratories Ltd.</t>
        </is>
      </c>
      <c r="C101" t="inlineStr">
        <is>
          <t>CAPLIPOINT</t>
        </is>
      </c>
      <c r="D101" t="inlineStr">
        <is>
          <t>Healthcare</t>
        </is>
      </c>
    </row>
    <row r="102">
      <c r="A102" t="n">
        <v>97</v>
      </c>
      <c r="B102" t="inlineStr">
        <is>
          <t>Capri Global Capital Ltd.</t>
        </is>
      </c>
      <c r="C102" t="inlineStr">
        <is>
          <t>CGCL</t>
        </is>
      </c>
      <c r="D102" t="inlineStr">
        <is>
          <t>Financial Services</t>
        </is>
      </c>
    </row>
    <row r="103">
      <c r="A103" t="n">
        <v>98</v>
      </c>
      <c r="B103" t="inlineStr">
        <is>
          <t>Carborundum Universal Ltd.</t>
        </is>
      </c>
      <c r="C103" t="inlineStr">
        <is>
          <t>CARBORUNIV</t>
        </is>
      </c>
      <c r="D103" t="inlineStr">
        <is>
          <t>Capital Goods</t>
        </is>
      </c>
    </row>
    <row r="104">
      <c r="A104" t="n">
        <v>99</v>
      </c>
      <c r="B104" t="inlineStr">
        <is>
          <t>Cartrade Tech Ltd.</t>
        </is>
      </c>
      <c r="C104" t="inlineStr">
        <is>
          <t>CARTRADE</t>
        </is>
      </c>
      <c r="D104" t="inlineStr">
        <is>
          <t>Consumer Services</t>
        </is>
      </c>
    </row>
    <row r="105">
      <c r="A105" t="n">
        <v>100</v>
      </c>
      <c r="B105" t="inlineStr">
        <is>
          <t>Castrol India Ltd.</t>
        </is>
      </c>
      <c r="C105" t="inlineStr">
        <is>
          <t>CASTROLIND</t>
        </is>
      </c>
      <c r="D105" t="inlineStr">
        <is>
          <t>Oil Gas &amp; Consumable Fuels</t>
        </is>
      </c>
    </row>
    <row r="106">
      <c r="A106" t="n">
        <v>101</v>
      </c>
      <c r="B106" t="inlineStr">
        <is>
          <t>CCL Products (I) Ltd.</t>
        </is>
      </c>
      <c r="C106" t="inlineStr">
        <is>
          <t>CCL</t>
        </is>
      </c>
      <c r="D106" t="inlineStr">
        <is>
          <t>Fast Moving Consumer Goods</t>
        </is>
      </c>
    </row>
    <row r="107">
      <c r="A107" t="n">
        <v>102</v>
      </c>
      <c r="B107" t="inlineStr">
        <is>
          <t>Ceat Ltd.</t>
        </is>
      </c>
      <c r="C107" t="inlineStr">
        <is>
          <t>CEATLTD</t>
        </is>
      </c>
      <c r="D107" t="inlineStr">
        <is>
          <t>Automobile and Auto Components</t>
        </is>
      </c>
    </row>
    <row r="108">
      <c r="A108" t="n">
        <v>103</v>
      </c>
      <c r="B108" t="inlineStr">
        <is>
          <t>Cemindia Projects Ltd.</t>
        </is>
      </c>
      <c r="C108" t="inlineStr">
        <is>
          <t>CEMPRO</t>
        </is>
      </c>
      <c r="D108" t="inlineStr">
        <is>
          <t>Construction</t>
        </is>
      </c>
    </row>
    <row r="109">
      <c r="A109" t="n">
        <v>104</v>
      </c>
      <c r="B109" t="inlineStr">
        <is>
          <t>Central Bank of India</t>
        </is>
      </c>
      <c r="C109" t="inlineStr">
        <is>
          <t>CENTRALBK</t>
        </is>
      </c>
      <c r="D109" t="inlineStr">
        <is>
          <t>Financial Services</t>
        </is>
      </c>
    </row>
    <row r="110">
      <c r="A110" t="n">
        <v>105</v>
      </c>
      <c r="B110" t="inlineStr">
        <is>
          <t>Central Depository Services (India) Ltd.</t>
        </is>
      </c>
      <c r="C110" t="inlineStr">
        <is>
          <t>CDSL</t>
        </is>
      </c>
      <c r="D110" t="inlineStr">
        <is>
          <t>Financial Services</t>
        </is>
      </c>
    </row>
    <row r="111">
      <c r="A111" t="n">
        <v>106</v>
      </c>
      <c r="B111" t="inlineStr">
        <is>
          <t>Central Mine Planning &amp; Design Institute Ltd.</t>
        </is>
      </c>
      <c r="C111" t="inlineStr">
        <is>
          <t>CMPDI</t>
        </is>
      </c>
      <c r="D111" t="inlineStr">
        <is>
          <t>Services</t>
        </is>
      </c>
    </row>
    <row r="112">
      <c r="A112" t="n">
        <v>107</v>
      </c>
      <c r="B112" t="inlineStr">
        <is>
          <t>CESC Ltd.</t>
        </is>
      </c>
      <c r="C112" t="inlineStr">
        <is>
          <t>CESC</t>
        </is>
      </c>
      <c r="D112" t="inlineStr">
        <is>
          <t>Power</t>
        </is>
      </c>
    </row>
    <row r="113">
      <c r="A113" t="n">
        <v>108</v>
      </c>
      <c r="B113" t="inlineStr">
        <is>
          <t>CG Power and Industrial Solutions Ltd.</t>
        </is>
      </c>
      <c r="C113" t="inlineStr">
        <is>
          <t>CGPOWER</t>
        </is>
      </c>
      <c r="D113" t="inlineStr">
        <is>
          <t>Capital Goods</t>
        </is>
      </c>
    </row>
    <row r="114">
      <c r="A114" t="n">
        <v>109</v>
      </c>
      <c r="B114" t="inlineStr">
        <is>
          <t>Chambal Fertilizers &amp; Chemicals Ltd.</t>
        </is>
      </c>
      <c r="C114" t="inlineStr">
        <is>
          <t>CHAMBLFERT</t>
        </is>
      </c>
      <c r="D114" t="inlineStr">
        <is>
          <t>Chemicals</t>
        </is>
      </c>
    </row>
    <row r="115">
      <c r="A115" t="n">
        <v>110</v>
      </c>
      <c r="B115" t="inlineStr">
        <is>
          <t>Chennai Petroleum Corporation Ltd.</t>
        </is>
      </c>
      <c r="C115" t="inlineStr">
        <is>
          <t>CHENNPETRO</t>
        </is>
      </c>
      <c r="D115" t="inlineStr">
        <is>
          <t>Oil Gas &amp; Consumable Fuels</t>
        </is>
      </c>
    </row>
    <row r="116">
      <c r="A116" t="n">
        <v>111</v>
      </c>
      <c r="B116" t="inlineStr">
        <is>
          <t>Choice International Ltd.</t>
        </is>
      </c>
      <c r="C116" t="inlineStr">
        <is>
          <t>CHOICEIN</t>
        </is>
      </c>
      <c r="D116" t="inlineStr">
        <is>
          <t>Financial Services</t>
        </is>
      </c>
    </row>
    <row r="117">
      <c r="A117" t="n">
        <v>112</v>
      </c>
      <c r="B117" t="inlineStr">
        <is>
          <t>Cholamandalam Financial Holdings Ltd.</t>
        </is>
      </c>
      <c r="C117" t="inlineStr">
        <is>
          <t>CHOLAHLDNG</t>
        </is>
      </c>
      <c r="D117" t="inlineStr">
        <is>
          <t>Financial Services</t>
        </is>
      </c>
    </row>
    <row r="118">
      <c r="A118" t="n">
        <v>113</v>
      </c>
      <c r="B118" t="inlineStr">
        <is>
          <t>Cholamandalam Investment and Finance Company Ltd.</t>
        </is>
      </c>
      <c r="C118" t="inlineStr">
        <is>
          <t>CHOLAFIN</t>
        </is>
      </c>
      <c r="D118" t="inlineStr">
        <is>
          <t>Financial Services</t>
        </is>
      </c>
    </row>
    <row r="119">
      <c r="A119" t="n">
        <v>114</v>
      </c>
      <c r="B119" t="inlineStr">
        <is>
          <t>CIE Automotive India Ltd.</t>
        </is>
      </c>
      <c r="C119" t="inlineStr">
        <is>
          <t>CIEINDIA</t>
        </is>
      </c>
      <c r="D119" t="inlineStr">
        <is>
          <t>Automobile and Auto Components</t>
        </is>
      </c>
    </row>
    <row r="120">
      <c r="A120" t="n">
        <v>115</v>
      </c>
      <c r="B120" t="inlineStr">
        <is>
          <t>Cipla Ltd.</t>
        </is>
      </c>
      <c r="C120" t="inlineStr">
        <is>
          <t>CIPLA</t>
        </is>
      </c>
      <c r="D120" t="inlineStr">
        <is>
          <t>Healthcare</t>
        </is>
      </c>
    </row>
    <row r="121">
      <c r="A121" t="n">
        <v>116</v>
      </c>
      <c r="B121" t="inlineStr">
        <is>
          <t>City Union Bank Ltd.</t>
        </is>
      </c>
      <c r="C121" t="inlineStr">
        <is>
          <t>CUB</t>
        </is>
      </c>
      <c r="D121" t="inlineStr">
        <is>
          <t>Financial Services</t>
        </is>
      </c>
    </row>
    <row r="122">
      <c r="A122" t="n">
        <v>117</v>
      </c>
      <c r="B122" t="inlineStr">
        <is>
          <t>Clean Max Enviro Energy Solutions Ltd.</t>
        </is>
      </c>
      <c r="C122" t="inlineStr">
        <is>
          <t>CLEANMAX</t>
        </is>
      </c>
      <c r="D122" t="inlineStr">
        <is>
          <t>Power</t>
        </is>
      </c>
    </row>
    <row r="123">
      <c r="A123" t="n">
        <v>118</v>
      </c>
      <c r="B123" t="inlineStr">
        <is>
          <t>Clean Science and Technology Ltd.</t>
        </is>
      </c>
      <c r="C123" t="inlineStr">
        <is>
          <t>CLEAN</t>
        </is>
      </c>
      <c r="D123" t="inlineStr">
        <is>
          <t>Chemicals</t>
        </is>
      </c>
    </row>
    <row r="124">
      <c r="A124" t="n">
        <v>119</v>
      </c>
      <c r="B124" t="inlineStr">
        <is>
          <t>Coal India Ltd.</t>
        </is>
      </c>
      <c r="C124" t="inlineStr">
        <is>
          <t>COALINDIA</t>
        </is>
      </c>
      <c r="D124" t="inlineStr">
        <is>
          <t>Oil Gas &amp; Consumable Fuels</t>
        </is>
      </c>
    </row>
    <row r="125">
      <c r="A125" t="n">
        <v>120</v>
      </c>
      <c r="B125" t="inlineStr">
        <is>
          <t>Cochin Shipyard Ltd.</t>
        </is>
      </c>
      <c r="C125" t="inlineStr">
        <is>
          <t>COCHINSHIP</t>
        </is>
      </c>
      <c r="D125" t="inlineStr">
        <is>
          <t>Capital Goods</t>
        </is>
      </c>
    </row>
    <row r="126">
      <c r="A126" t="n">
        <v>121</v>
      </c>
      <c r="B126" t="inlineStr">
        <is>
          <t>Coforge Ltd.</t>
        </is>
      </c>
      <c r="C126" t="inlineStr">
        <is>
          <t>COFORGE</t>
        </is>
      </c>
      <c r="D126" t="inlineStr">
        <is>
          <t>Information Technology</t>
        </is>
      </c>
    </row>
    <row r="127">
      <c r="A127" t="n">
        <v>122</v>
      </c>
      <c r="B127" t="inlineStr">
        <is>
          <t>Cohance Lifesciences Ltd.</t>
        </is>
      </c>
      <c r="C127" t="inlineStr">
        <is>
          <t>COHANCE</t>
        </is>
      </c>
      <c r="D127" t="inlineStr">
        <is>
          <t>Healthcare</t>
        </is>
      </c>
    </row>
    <row r="128">
      <c r="A128" t="n">
        <v>123</v>
      </c>
      <c r="B128" t="inlineStr">
        <is>
          <t>Colgate Palmolive (India) Ltd.</t>
        </is>
      </c>
      <c r="C128" t="inlineStr">
        <is>
          <t>COLPAL</t>
        </is>
      </c>
      <c r="D128" t="inlineStr">
        <is>
          <t>Fast Moving Consumer Goods</t>
        </is>
      </c>
    </row>
    <row r="129">
      <c r="A129" t="n">
        <v>124</v>
      </c>
      <c r="B129" t="inlineStr">
        <is>
          <t>Computer Age Management Services Ltd.</t>
        </is>
      </c>
      <c r="C129" t="inlineStr">
        <is>
          <t>CAMS</t>
        </is>
      </c>
      <c r="D129" t="inlineStr">
        <is>
          <t>Financial Services</t>
        </is>
      </c>
    </row>
    <row r="130">
      <c r="A130" t="n">
        <v>125</v>
      </c>
      <c r="B130" t="inlineStr">
        <is>
          <t>Concord Biotech Ltd.</t>
        </is>
      </c>
      <c r="C130" t="inlineStr">
        <is>
          <t>CONCORDBIO</t>
        </is>
      </c>
      <c r="D130" t="inlineStr">
        <is>
          <t>Healthcare</t>
        </is>
      </c>
    </row>
    <row r="131">
      <c r="A131" t="n">
        <v>126</v>
      </c>
      <c r="B131" t="inlineStr">
        <is>
          <t>Container Corporation of India Ltd.</t>
        </is>
      </c>
      <c r="C131" t="inlineStr">
        <is>
          <t>CONCOR</t>
        </is>
      </c>
      <c r="D131" t="inlineStr">
        <is>
          <t>Services</t>
        </is>
      </c>
    </row>
    <row r="132">
      <c r="A132" t="n">
        <v>127</v>
      </c>
      <c r="B132" t="inlineStr">
        <is>
          <t>Coromandel International Ltd.</t>
        </is>
      </c>
      <c r="C132" t="inlineStr">
        <is>
          <t>COROMANDEL</t>
        </is>
      </c>
      <c r="D132" t="inlineStr">
        <is>
          <t>Chemicals</t>
        </is>
      </c>
    </row>
    <row r="133">
      <c r="A133" t="n">
        <v>128</v>
      </c>
      <c r="B133" t="inlineStr">
        <is>
          <t>Craftsman Automation Ltd.</t>
        </is>
      </c>
      <c r="C133" t="inlineStr">
        <is>
          <t>CRAFTSMAN</t>
        </is>
      </c>
      <c r="D133" t="inlineStr">
        <is>
          <t>Automobile and Auto Components</t>
        </is>
      </c>
    </row>
    <row r="134">
      <c r="A134" t="n">
        <v>129</v>
      </c>
      <c r="B134" t="inlineStr">
        <is>
          <t>CreditAccess Grameen Ltd.</t>
        </is>
      </c>
      <c r="C134" t="inlineStr">
        <is>
          <t>CREDITACC</t>
        </is>
      </c>
      <c r="D134" t="inlineStr">
        <is>
          <t>Financial Services</t>
        </is>
      </c>
    </row>
    <row r="135">
      <c r="A135" t="n">
        <v>130</v>
      </c>
      <c r="B135" t="inlineStr">
        <is>
          <t>CRISIL Ltd.</t>
        </is>
      </c>
      <c r="C135" t="inlineStr">
        <is>
          <t>CRISIL</t>
        </is>
      </c>
      <c r="D135" t="inlineStr">
        <is>
          <t>Financial Services</t>
        </is>
      </c>
    </row>
    <row r="136">
      <c r="A136" t="n">
        <v>131</v>
      </c>
      <c r="B136" t="inlineStr">
        <is>
          <t>Crompton Greaves Consumer Electricals Ltd.</t>
        </is>
      </c>
      <c r="C136" t="inlineStr">
        <is>
          <t>CROMPTON</t>
        </is>
      </c>
      <c r="D136" t="inlineStr">
        <is>
          <t>Consumer Durables</t>
        </is>
      </c>
    </row>
    <row r="137">
      <c r="A137" t="n">
        <v>132</v>
      </c>
      <c r="B137" t="inlineStr">
        <is>
          <t>Cummins India Ltd.</t>
        </is>
      </c>
      <c r="C137" t="inlineStr">
        <is>
          <t>CUMMINSIND</t>
        </is>
      </c>
      <c r="D137" t="inlineStr">
        <is>
          <t>Capital Goods</t>
        </is>
      </c>
    </row>
    <row r="138">
      <c r="A138" t="n">
        <v>133</v>
      </c>
      <c r="B138" t="inlineStr">
        <is>
          <t>Cupid Ltd.</t>
        </is>
      </c>
      <c r="C138" t="inlineStr">
        <is>
          <t>CUPID</t>
        </is>
      </c>
      <c r="D138" t="inlineStr">
        <is>
          <t>Fast Moving Consumer Goods</t>
        </is>
      </c>
    </row>
    <row r="139">
      <c r="A139" t="n">
        <v>134</v>
      </c>
      <c r="B139" t="inlineStr">
        <is>
          <t>Cyient Ltd.</t>
        </is>
      </c>
      <c r="C139" t="inlineStr">
        <is>
          <t>CYIENT</t>
        </is>
      </c>
      <c r="D139" t="inlineStr">
        <is>
          <t>Information Technology</t>
        </is>
      </c>
    </row>
    <row r="140">
      <c r="A140" t="n">
        <v>135</v>
      </c>
      <c r="B140" t="inlineStr">
        <is>
          <t>Dabur India Ltd.</t>
        </is>
      </c>
      <c r="C140" t="inlineStr">
        <is>
          <t>DABUR</t>
        </is>
      </c>
      <c r="D140" t="inlineStr">
        <is>
          <t>Fast Moving Consumer Goods</t>
        </is>
      </c>
    </row>
    <row r="141">
      <c r="A141" t="n">
        <v>136</v>
      </c>
      <c r="B141" t="inlineStr">
        <is>
          <t>Dalmia Bharat Ltd.</t>
        </is>
      </c>
      <c r="C141" t="inlineStr">
        <is>
          <t>DALBHARAT</t>
        </is>
      </c>
      <c r="D141" t="inlineStr">
        <is>
          <t>Construction Materials</t>
        </is>
      </c>
    </row>
    <row r="142">
      <c r="A142" t="n">
        <v>137</v>
      </c>
      <c r="B142" t="inlineStr">
        <is>
          <t>Data Patterns (India) Ltd.</t>
        </is>
      </c>
      <c r="C142" t="inlineStr">
        <is>
          <t>DATAPATTNS</t>
        </is>
      </c>
      <c r="D142" t="inlineStr">
        <is>
          <t>Capital Goods</t>
        </is>
      </c>
    </row>
    <row r="143">
      <c r="A143" t="n">
        <v>138</v>
      </c>
      <c r="B143" t="inlineStr">
        <is>
          <t>Deepak Fertilisers &amp; Petrochemicals Corp. Ltd.</t>
        </is>
      </c>
      <c r="C143" t="inlineStr">
        <is>
          <t>DEEPAKFERT</t>
        </is>
      </c>
      <c r="D143" t="inlineStr">
        <is>
          <t>Chemicals</t>
        </is>
      </c>
    </row>
    <row r="144">
      <c r="A144" t="n">
        <v>139</v>
      </c>
      <c r="B144" t="inlineStr">
        <is>
          <t>Deepak Nitrite Ltd.</t>
        </is>
      </c>
      <c r="C144" t="inlineStr">
        <is>
          <t>DEEPAKNTR</t>
        </is>
      </c>
      <c r="D144" t="inlineStr">
        <is>
          <t>Chemicals</t>
        </is>
      </c>
    </row>
    <row r="145">
      <c r="A145" t="n">
        <v>140</v>
      </c>
      <c r="B145" t="inlineStr">
        <is>
          <t>Delhivery Ltd.</t>
        </is>
      </c>
      <c r="C145" t="inlineStr">
        <is>
          <t>DELHIVERY</t>
        </is>
      </c>
      <c r="D145" t="inlineStr">
        <is>
          <t>Services</t>
        </is>
      </c>
    </row>
    <row r="146">
      <c r="A146" t="n">
        <v>141</v>
      </c>
      <c r="B146" t="inlineStr">
        <is>
          <t>Devyani International Ltd.</t>
        </is>
      </c>
      <c r="C146" t="inlineStr">
        <is>
          <t>DEVYANI</t>
        </is>
      </c>
      <c r="D146" t="inlineStr">
        <is>
          <t>Consumer Services</t>
        </is>
      </c>
    </row>
    <row r="147">
      <c r="A147" t="n">
        <v>142</v>
      </c>
      <c r="B147" t="inlineStr">
        <is>
          <t>Divi's Laboratories Ltd.</t>
        </is>
      </c>
      <c r="C147" t="inlineStr">
        <is>
          <t>DIVISLAB</t>
        </is>
      </c>
      <c r="D147" t="inlineStr">
        <is>
          <t>Healthcare</t>
        </is>
      </c>
    </row>
    <row r="148">
      <c r="A148" t="n">
        <v>143</v>
      </c>
      <c r="B148" t="inlineStr">
        <is>
          <t>Dixon Technologies (India) Ltd.</t>
        </is>
      </c>
      <c r="C148" t="inlineStr">
        <is>
          <t>DIXON</t>
        </is>
      </c>
      <c r="D148" t="inlineStr">
        <is>
          <t>Consumer Durables</t>
        </is>
      </c>
    </row>
    <row r="149">
      <c r="A149" t="n">
        <v>144</v>
      </c>
      <c r="B149" t="inlineStr">
        <is>
          <t>DLF Ltd.</t>
        </is>
      </c>
      <c r="C149" t="inlineStr">
        <is>
          <t>DLF</t>
        </is>
      </c>
      <c r="D149" t="inlineStr">
        <is>
          <t>Realty</t>
        </is>
      </c>
    </row>
    <row r="150">
      <c r="A150" t="n">
        <v>145</v>
      </c>
      <c r="B150" t="inlineStr">
        <is>
          <t>DOMS Industries Ltd.</t>
        </is>
      </c>
      <c r="C150" t="inlineStr">
        <is>
          <t>DOMS</t>
        </is>
      </c>
      <c r="D150" t="inlineStr">
        <is>
          <t>Fast Moving Consumer Goods</t>
        </is>
      </c>
    </row>
    <row r="151">
      <c r="A151" t="n">
        <v>146</v>
      </c>
      <c r="B151" t="inlineStr">
        <is>
          <t>Dr. Lal Path Labs Ltd.</t>
        </is>
      </c>
      <c r="C151" t="inlineStr">
        <is>
          <t>LALPATHLAB</t>
        </is>
      </c>
      <c r="D151" t="inlineStr">
        <is>
          <t>Healthcare</t>
        </is>
      </c>
    </row>
    <row r="152">
      <c r="A152" t="n">
        <v>147</v>
      </c>
      <c r="B152" t="inlineStr">
        <is>
          <t>Dr. Reddy's Laboratories Ltd.</t>
        </is>
      </c>
      <c r="C152" t="inlineStr">
        <is>
          <t>DRREDDY</t>
        </is>
      </c>
      <c r="D152" t="inlineStr">
        <is>
          <t>Healthcare</t>
        </is>
      </c>
    </row>
    <row r="153">
      <c r="A153" t="n">
        <v>148</v>
      </c>
      <c r="B153" t="inlineStr">
        <is>
          <t>Dummy HEG Ltd.</t>
        </is>
      </c>
      <c r="C153" t="inlineStr">
        <is>
          <t>DUMMYHEG</t>
        </is>
      </c>
      <c r="D153" t="inlineStr">
        <is>
          <t>Capital Goods</t>
        </is>
      </c>
    </row>
    <row r="154">
      <c r="A154" t="n">
        <v>149</v>
      </c>
      <c r="B154" t="inlineStr">
        <is>
          <t>E.I.D. Parry (India) Ltd.</t>
        </is>
      </c>
      <c r="C154" t="inlineStr">
        <is>
          <t>EIDPARRY</t>
        </is>
      </c>
      <c r="D154" t="inlineStr">
        <is>
          <t>Fast Moving Consumer Goods</t>
        </is>
      </c>
    </row>
    <row r="155">
      <c r="A155" t="n">
        <v>150</v>
      </c>
      <c r="B155" t="inlineStr">
        <is>
          <t>eClerx Services Ltd.</t>
        </is>
      </c>
      <c r="C155" t="inlineStr">
        <is>
          <t>ECLERX</t>
        </is>
      </c>
      <c r="D155" t="inlineStr">
        <is>
          <t>Services</t>
        </is>
      </c>
    </row>
    <row r="156">
      <c r="A156" t="n">
        <v>151</v>
      </c>
      <c r="B156" t="inlineStr">
        <is>
          <t>Eicher Motors Ltd.</t>
        </is>
      </c>
      <c r="C156" t="inlineStr">
        <is>
          <t>EICHERMOT</t>
        </is>
      </c>
      <c r="D156" t="inlineStr">
        <is>
          <t>Automobile and Auto Components</t>
        </is>
      </c>
    </row>
    <row r="157">
      <c r="A157" t="n">
        <v>152</v>
      </c>
      <c r="B157" t="inlineStr">
        <is>
          <t>EIH Ltd.</t>
        </is>
      </c>
      <c r="C157" t="inlineStr">
        <is>
          <t>EIHOTEL</t>
        </is>
      </c>
      <c r="D157" t="inlineStr">
        <is>
          <t>Consumer Services</t>
        </is>
      </c>
    </row>
    <row r="158">
      <c r="A158" t="n">
        <v>153</v>
      </c>
      <c r="B158" t="inlineStr">
        <is>
          <t>Elecon Engineering Co. Ltd.</t>
        </is>
      </c>
      <c r="C158" t="inlineStr">
        <is>
          <t>ELECON</t>
        </is>
      </c>
      <c r="D158" t="inlineStr">
        <is>
          <t>Capital Goods</t>
        </is>
      </c>
    </row>
    <row r="159">
      <c r="A159" t="n">
        <v>154</v>
      </c>
      <c r="B159" t="inlineStr">
        <is>
          <t>Elgi Equipments Ltd.</t>
        </is>
      </c>
      <c r="C159" t="inlineStr">
        <is>
          <t>ELGIEQUIP</t>
        </is>
      </c>
      <c r="D159" t="inlineStr">
        <is>
          <t>Capital Goods</t>
        </is>
      </c>
    </row>
    <row r="160">
      <c r="A160" t="n">
        <v>155</v>
      </c>
      <c r="B160" t="inlineStr">
        <is>
          <t>Emami Ltd.</t>
        </is>
      </c>
      <c r="C160" t="inlineStr">
        <is>
          <t>EMAMILTD</t>
        </is>
      </c>
      <c r="D160" t="inlineStr">
        <is>
          <t>Fast Moving Consumer Goods</t>
        </is>
      </c>
    </row>
    <row r="161">
      <c r="A161" t="n">
        <v>156</v>
      </c>
      <c r="B161" t="inlineStr">
        <is>
          <t>EMBASSY OFFICE PARKS REIT</t>
        </is>
      </c>
      <c r="C161" t="inlineStr">
        <is>
          <t>EMBASSY</t>
        </is>
      </c>
      <c r="D161" t="inlineStr">
        <is>
          <t>Realty</t>
        </is>
      </c>
    </row>
    <row r="162">
      <c r="A162" t="n">
        <v>157</v>
      </c>
      <c r="B162" t="inlineStr">
        <is>
          <t>Emcure Pharmaceuticals Ltd.</t>
        </is>
      </c>
      <c r="C162" t="inlineStr">
        <is>
          <t>EMCURE</t>
        </is>
      </c>
      <c r="D162" t="inlineStr">
        <is>
          <t>Healthcare</t>
        </is>
      </c>
    </row>
    <row r="163">
      <c r="A163" t="n">
        <v>158</v>
      </c>
      <c r="B163" t="inlineStr">
        <is>
          <t>Emmvee Photovoltaic Power Ltd.</t>
        </is>
      </c>
      <c r="C163" t="inlineStr">
        <is>
          <t>EMMVEE</t>
        </is>
      </c>
      <c r="D163" t="inlineStr">
        <is>
          <t>Capital Goods</t>
        </is>
      </c>
    </row>
    <row r="164">
      <c r="A164" t="n">
        <v>159</v>
      </c>
      <c r="B164" t="inlineStr">
        <is>
          <t>Endurance Technologies Ltd.</t>
        </is>
      </c>
      <c r="C164" t="inlineStr">
        <is>
          <t>ENDURANCE</t>
        </is>
      </c>
      <c r="D164" t="inlineStr">
        <is>
          <t>Automobile and Auto Components</t>
        </is>
      </c>
    </row>
    <row r="165">
      <c r="A165" t="n">
        <v>160</v>
      </c>
      <c r="B165" t="inlineStr">
        <is>
          <t>Engineers India Ltd.</t>
        </is>
      </c>
      <c r="C165" t="inlineStr">
        <is>
          <t>ENGINERSIN</t>
        </is>
      </c>
      <c r="D165" t="inlineStr">
        <is>
          <t>Construction</t>
        </is>
      </c>
    </row>
    <row r="166">
      <c r="A166" t="n">
        <v>161</v>
      </c>
      <c r="B166" t="inlineStr">
        <is>
          <t>Escorts Kubota Ltd.</t>
        </is>
      </c>
      <c r="C166" t="inlineStr">
        <is>
          <t>ESCORTS</t>
        </is>
      </c>
      <c r="D166" t="inlineStr">
        <is>
          <t>Capital Goods</t>
        </is>
      </c>
    </row>
    <row r="167">
      <c r="A167" t="n">
        <v>162</v>
      </c>
      <c r="B167" t="inlineStr">
        <is>
          <t>Eternal Ltd.</t>
        </is>
      </c>
      <c r="C167" t="inlineStr">
        <is>
          <t>ETERNAL</t>
        </is>
      </c>
      <c r="D167" t="inlineStr">
        <is>
          <t>Consumer Services</t>
        </is>
      </c>
    </row>
    <row r="168">
      <c r="A168" t="n">
        <v>163</v>
      </c>
      <c r="B168" t="inlineStr">
        <is>
          <t>Exide Industries Ltd.</t>
        </is>
      </c>
      <c r="C168" t="inlineStr">
        <is>
          <t>EXIDEIND</t>
        </is>
      </c>
      <c r="D168" t="inlineStr">
        <is>
          <t>Automobile and Auto Components</t>
        </is>
      </c>
    </row>
    <row r="169">
      <c r="A169" t="n">
        <v>164</v>
      </c>
      <c r="B169" t="inlineStr">
        <is>
          <t>Federal Bank Ltd.</t>
        </is>
      </c>
      <c r="C169" t="inlineStr">
        <is>
          <t>FEDERALBNK</t>
        </is>
      </c>
      <c r="D169" t="inlineStr">
        <is>
          <t>Financial Services</t>
        </is>
      </c>
    </row>
    <row r="170">
      <c r="A170" t="n">
        <v>165</v>
      </c>
      <c r="B170" t="inlineStr">
        <is>
          <t>Fertilisers and Chemicals Travancore Ltd.</t>
        </is>
      </c>
      <c r="C170" t="inlineStr">
        <is>
          <t>FACT</t>
        </is>
      </c>
      <c r="D170" t="inlineStr">
        <is>
          <t>Chemicals</t>
        </is>
      </c>
    </row>
    <row r="171">
      <c r="A171" t="n">
        <v>166</v>
      </c>
      <c r="B171" t="inlineStr">
        <is>
          <t>Finolex Cables Ltd.</t>
        </is>
      </c>
      <c r="C171" t="inlineStr">
        <is>
          <t>FINCABLES</t>
        </is>
      </c>
      <c r="D171" t="inlineStr">
        <is>
          <t>Capital Goods</t>
        </is>
      </c>
    </row>
    <row r="172">
      <c r="A172" t="n">
        <v>167</v>
      </c>
      <c r="B172" t="inlineStr">
        <is>
          <t>Firstsource Solutions Ltd.</t>
        </is>
      </c>
      <c r="C172" t="inlineStr">
        <is>
          <t>FSL</t>
        </is>
      </c>
      <c r="D172" t="inlineStr">
        <is>
          <t>Services</t>
        </is>
      </c>
    </row>
    <row r="173">
      <c r="A173" t="n">
        <v>168</v>
      </c>
      <c r="B173" t="inlineStr">
        <is>
          <t>Five-Star Business Finance Ltd.</t>
        </is>
      </c>
      <c r="C173" t="inlineStr">
        <is>
          <t>FIVESTAR</t>
        </is>
      </c>
      <c r="D173" t="inlineStr">
        <is>
          <t>Financial Services</t>
        </is>
      </c>
    </row>
    <row r="174">
      <c r="A174" t="n">
        <v>169</v>
      </c>
      <c r="B174" t="inlineStr">
        <is>
          <t>Force Motors Ltd.</t>
        </is>
      </c>
      <c r="C174" t="inlineStr">
        <is>
          <t>FORCEMOT</t>
        </is>
      </c>
      <c r="D174" t="inlineStr">
        <is>
          <t>Automobile and Auto Components</t>
        </is>
      </c>
    </row>
    <row r="175">
      <c r="A175" t="n">
        <v>170</v>
      </c>
      <c r="B175" t="inlineStr">
        <is>
          <t>Fortis Healthcare Ltd.</t>
        </is>
      </c>
      <c r="C175" t="inlineStr">
        <is>
          <t>FORTIS</t>
        </is>
      </c>
      <c r="D175" t="inlineStr">
        <is>
          <t>Healthcare</t>
        </is>
      </c>
    </row>
    <row r="176">
      <c r="A176" t="n">
        <v>171</v>
      </c>
      <c r="B176" t="inlineStr">
        <is>
          <t>Fractal Analytics Ltd.</t>
        </is>
      </c>
      <c r="C176" t="inlineStr">
        <is>
          <t>FRACTAL</t>
        </is>
      </c>
      <c r="D176" t="inlineStr">
        <is>
          <t>Information Technology</t>
        </is>
      </c>
    </row>
    <row r="177">
      <c r="A177" t="n">
        <v>172</v>
      </c>
      <c r="B177" t="inlineStr">
        <is>
          <t>FSN E-Commerce Ventures Ltd.</t>
        </is>
      </c>
      <c r="C177" t="inlineStr">
        <is>
          <t>NYKAA</t>
        </is>
      </c>
      <c r="D177" t="inlineStr">
        <is>
          <t>Consumer Services</t>
        </is>
      </c>
    </row>
    <row r="178">
      <c r="A178" t="n">
        <v>173</v>
      </c>
      <c r="B178" t="inlineStr">
        <is>
          <t>Gabriel India Ltd.</t>
        </is>
      </c>
      <c r="C178" t="inlineStr">
        <is>
          <t>GABRIEL</t>
        </is>
      </c>
      <c r="D178" t="inlineStr">
        <is>
          <t>Automobile and Auto Components</t>
        </is>
      </c>
    </row>
    <row r="179">
      <c r="A179" t="n">
        <v>174</v>
      </c>
      <c r="B179" t="inlineStr">
        <is>
          <t>GAIL (India) Ltd.</t>
        </is>
      </c>
      <c r="C179" t="inlineStr">
        <is>
          <t>GAIL</t>
        </is>
      </c>
      <c r="D179" t="inlineStr">
        <is>
          <t>Oil Gas &amp; Consumable Fuels</t>
        </is>
      </c>
    </row>
    <row r="180">
      <c r="A180" t="n">
        <v>175</v>
      </c>
      <c r="B180" t="inlineStr">
        <is>
          <t>Gallantt Ispat Ltd.</t>
        </is>
      </c>
      <c r="C180" t="inlineStr">
        <is>
          <t>GALLANTT</t>
        </is>
      </c>
      <c r="D180" t="inlineStr">
        <is>
          <t>Capital Goods</t>
        </is>
      </c>
    </row>
    <row r="181">
      <c r="A181" t="n">
        <v>176</v>
      </c>
      <c r="B181" t="inlineStr">
        <is>
          <t>Garden Reach Shipbuilders &amp; Engineers Ltd.</t>
        </is>
      </c>
      <c r="C181" t="inlineStr">
        <is>
          <t>GRSE</t>
        </is>
      </c>
      <c r="D181" t="inlineStr">
        <is>
          <t>Capital Goods</t>
        </is>
      </c>
    </row>
    <row r="182">
      <c r="A182" t="n">
        <v>177</v>
      </c>
      <c r="B182" t="inlineStr">
        <is>
          <t>GE Vernova T&amp;D India Ltd.</t>
        </is>
      </c>
      <c r="C182" t="inlineStr">
        <is>
          <t>GVT&amp;D</t>
        </is>
      </c>
      <c r="D182" t="inlineStr">
        <is>
          <t>Capital Goods</t>
        </is>
      </c>
    </row>
    <row r="183">
      <c r="A183" t="n">
        <v>178</v>
      </c>
      <c r="B183" t="inlineStr">
        <is>
          <t>General Insurance Corporation of India</t>
        </is>
      </c>
      <c r="C183" t="inlineStr">
        <is>
          <t>GICRE</t>
        </is>
      </c>
      <c r="D183" t="inlineStr">
        <is>
          <t>Financial Services</t>
        </is>
      </c>
    </row>
    <row r="184">
      <c r="A184" t="n">
        <v>179</v>
      </c>
      <c r="B184" t="inlineStr">
        <is>
          <t>Gillette India Ltd.</t>
        </is>
      </c>
      <c r="C184" t="inlineStr">
        <is>
          <t>GILLETTE</t>
        </is>
      </c>
      <c r="D184" t="inlineStr">
        <is>
          <t>Fast Moving Consumer Goods</t>
        </is>
      </c>
    </row>
    <row r="185">
      <c r="A185" t="n">
        <v>180</v>
      </c>
      <c r="B185" t="inlineStr">
        <is>
          <t>Gland Pharma Ltd.</t>
        </is>
      </c>
      <c r="C185" t="inlineStr">
        <is>
          <t>GLAND</t>
        </is>
      </c>
      <c r="D185" t="inlineStr">
        <is>
          <t>Healthcare</t>
        </is>
      </c>
    </row>
    <row r="186">
      <c r="A186" t="n">
        <v>181</v>
      </c>
      <c r="B186" t="inlineStr">
        <is>
          <t>Glaxosmithkline Pharmaceuticals Ltd.</t>
        </is>
      </c>
      <c r="C186" t="inlineStr">
        <is>
          <t>GLAXO</t>
        </is>
      </c>
      <c r="D186" t="inlineStr">
        <is>
          <t>Healthcare</t>
        </is>
      </c>
    </row>
    <row r="187">
      <c r="A187" t="n">
        <v>182</v>
      </c>
      <c r="B187" t="inlineStr">
        <is>
          <t>Glenmark Pharmaceuticals Ltd.</t>
        </is>
      </c>
      <c r="C187" t="inlineStr">
        <is>
          <t>GLENMARK</t>
        </is>
      </c>
      <c r="D187" t="inlineStr">
        <is>
          <t>Healthcare</t>
        </is>
      </c>
    </row>
    <row r="188">
      <c r="A188" t="n">
        <v>183</v>
      </c>
      <c r="B188" t="inlineStr">
        <is>
          <t>Global Health Ltd.</t>
        </is>
      </c>
      <c r="C188" t="inlineStr">
        <is>
          <t>MEDANTA</t>
        </is>
      </c>
      <c r="D188" t="inlineStr">
        <is>
          <t>Healthcare</t>
        </is>
      </c>
    </row>
    <row r="189">
      <c r="A189" t="n">
        <v>184</v>
      </c>
      <c r="B189" t="inlineStr">
        <is>
          <t>GMR Airports Ltd.</t>
        </is>
      </c>
      <c r="C189" t="inlineStr">
        <is>
          <t>GMRAIRPORT</t>
        </is>
      </c>
      <c r="D189" t="inlineStr">
        <is>
          <t>Services</t>
        </is>
      </c>
    </row>
    <row r="190">
      <c r="A190" t="n">
        <v>185</v>
      </c>
      <c r="B190" t="inlineStr">
        <is>
          <t>Godawari Power &amp; Ispat Ltd.</t>
        </is>
      </c>
      <c r="C190" t="inlineStr">
        <is>
          <t>GPIL</t>
        </is>
      </c>
      <c r="D190" t="inlineStr">
        <is>
          <t>Capital Goods</t>
        </is>
      </c>
    </row>
    <row r="191">
      <c r="A191" t="n">
        <v>186</v>
      </c>
      <c r="B191" t="inlineStr">
        <is>
          <t>Godfrey Phillips India Ltd.</t>
        </is>
      </c>
      <c r="C191" t="inlineStr">
        <is>
          <t>GODFRYPHLP</t>
        </is>
      </c>
      <c r="D191" t="inlineStr">
        <is>
          <t>Fast Moving Consumer Goods</t>
        </is>
      </c>
    </row>
    <row r="192">
      <c r="A192" t="n">
        <v>187</v>
      </c>
      <c r="B192" t="inlineStr">
        <is>
          <t>Godrej Consumer Products Ltd.</t>
        </is>
      </c>
      <c r="C192" t="inlineStr">
        <is>
          <t>GODREJCP</t>
        </is>
      </c>
      <c r="D192" t="inlineStr">
        <is>
          <t>Fast Moving Consumer Goods</t>
        </is>
      </c>
    </row>
    <row r="193">
      <c r="A193" t="n">
        <v>188</v>
      </c>
      <c r="B193" t="inlineStr">
        <is>
          <t>Godrej Industries Ltd.</t>
        </is>
      </c>
      <c r="C193" t="inlineStr">
        <is>
          <t>GODREJIND</t>
        </is>
      </c>
      <c r="D193" t="inlineStr">
        <is>
          <t>Diversified</t>
        </is>
      </c>
    </row>
    <row r="194">
      <c r="A194" t="n">
        <v>189</v>
      </c>
      <c r="B194" t="inlineStr">
        <is>
          <t>Godrej Properties Ltd.</t>
        </is>
      </c>
      <c r="C194" t="inlineStr">
        <is>
          <t>GODREJPROP</t>
        </is>
      </c>
      <c r="D194" t="inlineStr">
        <is>
          <t>Realty</t>
        </is>
      </c>
    </row>
    <row r="195">
      <c r="A195" t="n">
        <v>190</v>
      </c>
      <c r="B195" t="inlineStr">
        <is>
          <t>Granules India Ltd.</t>
        </is>
      </c>
      <c r="C195" t="inlineStr">
        <is>
          <t>GRANULES</t>
        </is>
      </c>
      <c r="D195" t="inlineStr">
        <is>
          <t>Healthcare</t>
        </is>
      </c>
    </row>
    <row r="196">
      <c r="A196" t="n">
        <v>191</v>
      </c>
      <c r="B196" t="inlineStr">
        <is>
          <t>Graphite India Ltd.</t>
        </is>
      </c>
      <c r="C196" t="inlineStr">
        <is>
          <t>GRAPHITE</t>
        </is>
      </c>
      <c r="D196" t="inlineStr">
        <is>
          <t>Capital Goods</t>
        </is>
      </c>
    </row>
    <row r="197">
      <c r="A197" t="n">
        <v>192</v>
      </c>
      <c r="B197" t="inlineStr">
        <is>
          <t>Grasim Industries Ltd.</t>
        </is>
      </c>
      <c r="C197" t="inlineStr">
        <is>
          <t>GRASIM</t>
        </is>
      </c>
      <c r="D197" t="inlineStr">
        <is>
          <t>Construction Materials</t>
        </is>
      </c>
    </row>
    <row r="198">
      <c r="A198" t="n">
        <v>193</v>
      </c>
      <c r="B198" t="inlineStr">
        <is>
          <t>Gravita India Ltd.</t>
        </is>
      </c>
      <c r="C198" t="inlineStr">
        <is>
          <t>GRAVITA</t>
        </is>
      </c>
      <c r="D198" t="inlineStr">
        <is>
          <t>Metals &amp; Mining</t>
        </is>
      </c>
    </row>
    <row r="199">
      <c r="A199" t="n">
        <v>194</v>
      </c>
      <c r="B199" t="inlineStr">
        <is>
          <t>Great Eastern Shipping Co. Ltd.</t>
        </is>
      </c>
      <c r="C199" t="inlineStr">
        <is>
          <t>GESHIP</t>
        </is>
      </c>
      <c r="D199" t="inlineStr">
        <is>
          <t>Services</t>
        </is>
      </c>
    </row>
    <row r="200">
      <c r="A200" t="n">
        <v>195</v>
      </c>
      <c r="B200" t="inlineStr">
        <is>
          <t>Gujarat Fluorochemicals Ltd.</t>
        </is>
      </c>
      <c r="C200" t="inlineStr">
        <is>
          <t>FLUOROCHEM</t>
        </is>
      </c>
      <c r="D200" t="inlineStr">
        <is>
          <t>Chemicals</t>
        </is>
      </c>
    </row>
    <row r="201">
      <c r="A201" t="n">
        <v>196</v>
      </c>
      <c r="B201" t="inlineStr">
        <is>
          <t>Gujarat Mineral Development Corporation Ltd.</t>
        </is>
      </c>
      <c r="C201" t="inlineStr">
        <is>
          <t>GMDCLTD</t>
        </is>
      </c>
      <c r="D201" t="inlineStr">
        <is>
          <t>Metals &amp; Mining</t>
        </is>
      </c>
    </row>
    <row r="202">
      <c r="A202" t="n">
        <v>197</v>
      </c>
      <c r="B202" t="inlineStr">
        <is>
          <t>Havells India Ltd.</t>
        </is>
      </c>
      <c r="C202" t="inlineStr">
        <is>
          <t>HAVELLS</t>
        </is>
      </c>
      <c r="D202" t="inlineStr">
        <is>
          <t>Consumer Durables</t>
        </is>
      </c>
    </row>
    <row r="203">
      <c r="A203" t="n">
        <v>198</v>
      </c>
      <c r="B203" t="inlineStr">
        <is>
          <t>HBL Engineering Ltd.</t>
        </is>
      </c>
      <c r="C203" t="inlineStr">
        <is>
          <t>HBLENGINE</t>
        </is>
      </c>
      <c r="D203" t="inlineStr">
        <is>
          <t>Capital Goods</t>
        </is>
      </c>
    </row>
    <row r="204">
      <c r="A204" t="n">
        <v>199</v>
      </c>
      <c r="B204" t="inlineStr">
        <is>
          <t>HCL Technologies Ltd.</t>
        </is>
      </c>
      <c r="C204" t="inlineStr">
        <is>
          <t>HCLTECH</t>
        </is>
      </c>
      <c r="D204" t="inlineStr">
        <is>
          <t>Information Technology</t>
        </is>
      </c>
    </row>
    <row r="205">
      <c r="A205" t="n">
        <v>200</v>
      </c>
      <c r="B205" t="inlineStr">
        <is>
          <t>HDB Financial Services Ltd.</t>
        </is>
      </c>
      <c r="C205" t="inlineStr">
        <is>
          <t>HDBFS</t>
        </is>
      </c>
      <c r="D205" t="inlineStr">
        <is>
          <t>Financial Services</t>
        </is>
      </c>
    </row>
    <row r="206">
      <c r="A206" t="n">
        <v>201</v>
      </c>
      <c r="B206" t="inlineStr">
        <is>
          <t>HDFC Asset Management Company Ltd.</t>
        </is>
      </c>
      <c r="C206" t="inlineStr">
        <is>
          <t>HDFCAMC</t>
        </is>
      </c>
      <c r="D206" t="inlineStr">
        <is>
          <t>Financial Services</t>
        </is>
      </c>
    </row>
    <row r="207">
      <c r="A207" t="n">
        <v>202</v>
      </c>
      <c r="B207" t="inlineStr">
        <is>
          <t>HDFC Bank Ltd.</t>
        </is>
      </c>
      <c r="C207" t="inlineStr">
        <is>
          <t>HDFCBANK</t>
        </is>
      </c>
      <c r="D207" t="inlineStr">
        <is>
          <t>Financial Services</t>
        </is>
      </c>
    </row>
    <row r="208">
      <c r="A208" t="n">
        <v>203</v>
      </c>
      <c r="B208" t="inlineStr">
        <is>
          <t>HDFC Life Insurance Company Ltd.</t>
        </is>
      </c>
      <c r="C208" t="inlineStr">
        <is>
          <t>HDFCLIFE</t>
        </is>
      </c>
      <c r="D208" t="inlineStr">
        <is>
          <t>Financial Services</t>
        </is>
      </c>
    </row>
    <row r="209">
      <c r="A209" t="n">
        <v>204</v>
      </c>
      <c r="B209" t="inlineStr">
        <is>
          <t>HEG Advanced Materials Ltd.</t>
        </is>
      </c>
      <c r="C209" t="inlineStr">
        <is>
          <t>HEGAM</t>
        </is>
      </c>
      <c r="D209" t="inlineStr">
        <is>
          <t>Capital Goods</t>
        </is>
      </c>
    </row>
    <row r="210">
      <c r="A210" t="n">
        <v>205</v>
      </c>
      <c r="B210" t="inlineStr">
        <is>
          <t>Hero MotoCorp Ltd.</t>
        </is>
      </c>
      <c r="C210" t="inlineStr">
        <is>
          <t>HEROMOTOCO</t>
        </is>
      </c>
      <c r="D210" t="inlineStr">
        <is>
          <t>Automobile and Auto Components</t>
        </is>
      </c>
    </row>
    <row r="211">
      <c r="A211" t="n">
        <v>206</v>
      </c>
      <c r="B211" t="inlineStr">
        <is>
          <t>Hexaware Technologies Ltd.</t>
        </is>
      </c>
      <c r="C211" t="inlineStr">
        <is>
          <t>HEXT</t>
        </is>
      </c>
      <c r="D211" t="inlineStr">
        <is>
          <t>Information Technology</t>
        </is>
      </c>
    </row>
    <row r="212">
      <c r="A212" t="n">
        <v>207</v>
      </c>
      <c r="B212" t="inlineStr">
        <is>
          <t>HFCL Ltd.</t>
        </is>
      </c>
      <c r="C212" t="inlineStr">
        <is>
          <t>HFCL</t>
        </is>
      </c>
      <c r="D212" t="inlineStr">
        <is>
          <t>Telecommunication</t>
        </is>
      </c>
    </row>
    <row r="213">
      <c r="A213" t="n">
        <v>208</v>
      </c>
      <c r="B213" t="inlineStr">
        <is>
          <t>Himadri Speciality Chemical Ltd.</t>
        </is>
      </c>
      <c r="C213" t="inlineStr">
        <is>
          <t>HSCL</t>
        </is>
      </c>
      <c r="D213" t="inlineStr">
        <is>
          <t>Chemicals</t>
        </is>
      </c>
    </row>
    <row r="214">
      <c r="A214" t="n">
        <v>209</v>
      </c>
      <c r="B214" t="inlineStr">
        <is>
          <t>Hindalco Industries Ltd.</t>
        </is>
      </c>
      <c r="C214" t="inlineStr">
        <is>
          <t>HINDALCO</t>
        </is>
      </c>
      <c r="D214" t="inlineStr">
        <is>
          <t>Metals &amp; Mining</t>
        </is>
      </c>
    </row>
    <row r="215">
      <c r="A215" t="n">
        <v>210</v>
      </c>
      <c r="B215" t="inlineStr">
        <is>
          <t>Hindustan Aeronautics Ltd.</t>
        </is>
      </c>
      <c r="C215" t="inlineStr">
        <is>
          <t>HAL</t>
        </is>
      </c>
      <c r="D215" t="inlineStr">
        <is>
          <t>Capital Goods</t>
        </is>
      </c>
    </row>
    <row r="216">
      <c r="A216" t="n">
        <v>211</v>
      </c>
      <c r="B216" t="inlineStr">
        <is>
          <t>Hindustan Copper Ltd.</t>
        </is>
      </c>
      <c r="C216" t="inlineStr">
        <is>
          <t>HINDCOPPER</t>
        </is>
      </c>
      <c r="D216" t="inlineStr">
        <is>
          <t>Metals &amp; Mining</t>
        </is>
      </c>
    </row>
    <row r="217">
      <c r="A217" t="n">
        <v>212</v>
      </c>
      <c r="B217" t="inlineStr">
        <is>
          <t>Hindustan Petroleum Corporation Ltd.</t>
        </is>
      </c>
      <c r="C217" t="inlineStr">
        <is>
          <t>HINDPETRO</t>
        </is>
      </c>
      <c r="D217" t="inlineStr">
        <is>
          <t>Oil Gas &amp; Consumable Fuels</t>
        </is>
      </c>
    </row>
    <row r="218">
      <c r="A218" t="n">
        <v>213</v>
      </c>
      <c r="B218" t="inlineStr">
        <is>
          <t>Hindustan Unilever Ltd.</t>
        </is>
      </c>
      <c r="C218" t="inlineStr">
        <is>
          <t>HINDUNILVR</t>
        </is>
      </c>
      <c r="D218" t="inlineStr">
        <is>
          <t>Fast Moving Consumer Goods</t>
        </is>
      </c>
    </row>
    <row r="219">
      <c r="A219" t="n">
        <v>214</v>
      </c>
      <c r="B219" t="inlineStr">
        <is>
          <t>Hindustan Zinc Ltd.</t>
        </is>
      </c>
      <c r="C219" t="inlineStr">
        <is>
          <t>HINDZINC</t>
        </is>
      </c>
      <c r="D219" t="inlineStr">
        <is>
          <t>Metals &amp; Mining</t>
        </is>
      </c>
    </row>
    <row r="220">
      <c r="A220" t="n">
        <v>215</v>
      </c>
      <c r="B220" t="inlineStr">
        <is>
          <t>Hitachi Energy India Ltd.</t>
        </is>
      </c>
      <c r="C220" t="inlineStr">
        <is>
          <t>POWERINDIA</t>
        </is>
      </c>
      <c r="D220" t="inlineStr">
        <is>
          <t>Capital Goods</t>
        </is>
      </c>
    </row>
    <row r="221">
      <c r="A221" t="n">
        <v>216</v>
      </c>
      <c r="B221" t="inlineStr">
        <is>
          <t>Home First Finance Company India Ltd.</t>
        </is>
      </c>
      <c r="C221" t="inlineStr">
        <is>
          <t>HOMEFIRST</t>
        </is>
      </c>
      <c r="D221" t="inlineStr">
        <is>
          <t>Financial Services</t>
        </is>
      </c>
    </row>
    <row r="222">
      <c r="A222" t="n">
        <v>217</v>
      </c>
      <c r="B222" t="inlineStr">
        <is>
          <t>Honasa Consumer Ltd.</t>
        </is>
      </c>
      <c r="C222" t="inlineStr">
        <is>
          <t>HONASA</t>
        </is>
      </c>
      <c r="D222" t="inlineStr">
        <is>
          <t>Fast Moving Consumer Goods</t>
        </is>
      </c>
    </row>
    <row r="223">
      <c r="A223" t="n">
        <v>218</v>
      </c>
      <c r="B223" t="inlineStr">
        <is>
          <t>Honeywell Automation India Ltd.</t>
        </is>
      </c>
      <c r="C223" t="inlineStr">
        <is>
          <t>HONAUT</t>
        </is>
      </c>
      <c r="D223" t="inlineStr">
        <is>
          <t>Capital Goods</t>
        </is>
      </c>
    </row>
    <row r="224">
      <c r="A224" t="n">
        <v>219</v>
      </c>
      <c r="B224" t="inlineStr">
        <is>
          <t>Housing &amp; Urban Development Corporation Ltd.</t>
        </is>
      </c>
      <c r="C224" t="inlineStr">
        <is>
          <t>HUDCO</t>
        </is>
      </c>
      <c r="D224" t="inlineStr">
        <is>
          <t>Financial Services</t>
        </is>
      </c>
    </row>
    <row r="225">
      <c r="A225" t="n">
        <v>220</v>
      </c>
      <c r="B225" t="inlineStr">
        <is>
          <t>Hyundai Motor India Ltd.</t>
        </is>
      </c>
      <c r="C225" t="inlineStr">
        <is>
          <t>HYUNDAI</t>
        </is>
      </c>
      <c r="D225" t="inlineStr">
        <is>
          <t>Automobile and Auto Components</t>
        </is>
      </c>
    </row>
    <row r="226">
      <c r="A226" t="n">
        <v>221</v>
      </c>
      <c r="B226" t="inlineStr">
        <is>
          <t>ICICI Bank Ltd.</t>
        </is>
      </c>
      <c r="C226" t="inlineStr">
        <is>
          <t>ICICIBANK</t>
        </is>
      </c>
      <c r="D226" t="inlineStr">
        <is>
          <t>Financial Services</t>
        </is>
      </c>
    </row>
    <row r="227">
      <c r="A227" t="n">
        <v>222</v>
      </c>
      <c r="B227" t="inlineStr">
        <is>
          <t>ICICI Lombard General Insurance Company Ltd.</t>
        </is>
      </c>
      <c r="C227" t="inlineStr">
        <is>
          <t>ICICIGI</t>
        </is>
      </c>
      <c r="D227" t="inlineStr">
        <is>
          <t>Financial Services</t>
        </is>
      </c>
    </row>
    <row r="228">
      <c r="A228" t="n">
        <v>223</v>
      </c>
      <c r="B228" t="inlineStr">
        <is>
          <t>ICICI Prudential Asset Management Company Ltd.</t>
        </is>
      </c>
      <c r="C228" t="inlineStr">
        <is>
          <t>ICICIAMC</t>
        </is>
      </c>
      <c r="D228" t="inlineStr">
        <is>
          <t>Financial Services</t>
        </is>
      </c>
    </row>
    <row r="229">
      <c r="A229" t="n">
        <v>224</v>
      </c>
      <c r="B229" t="inlineStr">
        <is>
          <t>ICICI Prudential Life Insurance Company Ltd.</t>
        </is>
      </c>
      <c r="C229" t="inlineStr">
        <is>
          <t>ICICIPRULI</t>
        </is>
      </c>
      <c r="D229" t="inlineStr">
        <is>
          <t>Financial Services</t>
        </is>
      </c>
    </row>
    <row r="230">
      <c r="A230" t="n">
        <v>225</v>
      </c>
      <c r="B230" t="inlineStr">
        <is>
          <t>IDBI Bank Ltd.</t>
        </is>
      </c>
      <c r="C230" t="inlineStr">
        <is>
          <t>IDBI</t>
        </is>
      </c>
      <c r="D230" t="inlineStr">
        <is>
          <t>Financial Services</t>
        </is>
      </c>
    </row>
    <row r="231">
      <c r="A231" t="n">
        <v>226</v>
      </c>
      <c r="B231" t="inlineStr">
        <is>
          <t>IDFC First Bank Ltd.</t>
        </is>
      </c>
      <c r="C231" t="inlineStr">
        <is>
          <t>IDFCFIRSTB</t>
        </is>
      </c>
      <c r="D231" t="inlineStr">
        <is>
          <t>Financial Services</t>
        </is>
      </c>
    </row>
    <row r="232">
      <c r="A232" t="n">
        <v>227</v>
      </c>
      <c r="B232" t="inlineStr">
        <is>
          <t>IFCI Ltd.</t>
        </is>
      </c>
      <c r="C232" t="inlineStr">
        <is>
          <t>IFCI</t>
        </is>
      </c>
      <c r="D232" t="inlineStr">
        <is>
          <t>Financial Services</t>
        </is>
      </c>
    </row>
    <row r="233">
      <c r="A233" t="n">
        <v>228</v>
      </c>
      <c r="B233" t="inlineStr">
        <is>
          <t>IIFL Finance Ltd.</t>
        </is>
      </c>
      <c r="C233" t="inlineStr">
        <is>
          <t>IIFL</t>
        </is>
      </c>
      <c r="D233" t="inlineStr">
        <is>
          <t>Financial Services</t>
        </is>
      </c>
    </row>
    <row r="234">
      <c r="A234" t="n">
        <v>229</v>
      </c>
      <c r="B234" t="inlineStr">
        <is>
          <t>India Cements Ltd.</t>
        </is>
      </c>
      <c r="C234" t="inlineStr">
        <is>
          <t>INDIACEM</t>
        </is>
      </c>
      <c r="D234" t="inlineStr">
        <is>
          <t>Construction Materials</t>
        </is>
      </c>
    </row>
    <row r="235">
      <c r="A235" t="n">
        <v>230</v>
      </c>
      <c r="B235" t="inlineStr">
        <is>
          <t>Indiamart Intermesh Ltd.</t>
        </is>
      </c>
      <c r="C235" t="inlineStr">
        <is>
          <t>INDIAMART</t>
        </is>
      </c>
      <c r="D235" t="inlineStr">
        <is>
          <t>Consumer Services</t>
        </is>
      </c>
    </row>
    <row r="236">
      <c r="A236" t="n">
        <v>231</v>
      </c>
      <c r="B236" t="inlineStr">
        <is>
          <t>Indian Bank</t>
        </is>
      </c>
      <c r="C236" t="inlineStr">
        <is>
          <t>INDIANB</t>
        </is>
      </c>
      <c r="D236" t="inlineStr">
        <is>
          <t>Financial Services</t>
        </is>
      </c>
    </row>
    <row r="237">
      <c r="A237" t="n">
        <v>232</v>
      </c>
      <c r="B237" t="inlineStr">
        <is>
          <t>Indian Energy Exchange Ltd.</t>
        </is>
      </c>
      <c r="C237" t="inlineStr">
        <is>
          <t>IEX</t>
        </is>
      </c>
      <c r="D237" t="inlineStr">
        <is>
          <t>Financial Services</t>
        </is>
      </c>
    </row>
    <row r="238">
      <c r="A238" t="n">
        <v>233</v>
      </c>
      <c r="B238" t="inlineStr">
        <is>
          <t>Indian Hotels Co. Ltd.</t>
        </is>
      </c>
      <c r="C238" t="inlineStr">
        <is>
          <t>INDHOTEL</t>
        </is>
      </c>
      <c r="D238" t="inlineStr">
        <is>
          <t>Consumer Services</t>
        </is>
      </c>
    </row>
    <row r="239">
      <c r="A239" t="n">
        <v>234</v>
      </c>
      <c r="B239" t="inlineStr">
        <is>
          <t>Indian Oil Corporation Ltd.</t>
        </is>
      </c>
      <c r="C239" t="inlineStr">
        <is>
          <t>IOC</t>
        </is>
      </c>
      <c r="D239" t="inlineStr">
        <is>
          <t>Oil Gas &amp; Consumable Fuels</t>
        </is>
      </c>
    </row>
    <row r="240">
      <c r="A240" t="n">
        <v>235</v>
      </c>
      <c r="B240" t="inlineStr">
        <is>
          <t>Indian Overseas Bank</t>
        </is>
      </c>
      <c r="C240" t="inlineStr">
        <is>
          <t>IOB</t>
        </is>
      </c>
      <c r="D240" t="inlineStr">
        <is>
          <t>Financial Services</t>
        </is>
      </c>
    </row>
    <row r="241">
      <c r="A241" t="n">
        <v>236</v>
      </c>
      <c r="B241" t="inlineStr">
        <is>
          <t>Indian Railway Catering And Tourism Corporation Ltd.</t>
        </is>
      </c>
      <c r="C241" t="inlineStr">
        <is>
          <t>IRCTC</t>
        </is>
      </c>
      <c r="D241" t="inlineStr">
        <is>
          <t>Consumer Services</t>
        </is>
      </c>
    </row>
    <row r="242">
      <c r="A242" t="n">
        <v>237</v>
      </c>
      <c r="B242" t="inlineStr">
        <is>
          <t>Indian Railway Finance Corporation Ltd.</t>
        </is>
      </c>
      <c r="C242" t="inlineStr">
        <is>
          <t>IRFC</t>
        </is>
      </c>
      <c r="D242" t="inlineStr">
        <is>
          <t>Financial Services</t>
        </is>
      </c>
    </row>
    <row r="243">
      <c r="A243" t="n">
        <v>238</v>
      </c>
      <c r="B243" t="inlineStr">
        <is>
          <t>Indian Renewable Energy Development Agency Ltd.</t>
        </is>
      </c>
      <c r="C243" t="inlineStr">
        <is>
          <t>IREDA</t>
        </is>
      </c>
      <c r="D243" t="inlineStr">
        <is>
          <t>Financial Services</t>
        </is>
      </c>
    </row>
    <row r="244">
      <c r="A244" t="n">
        <v>239</v>
      </c>
      <c r="B244" t="inlineStr">
        <is>
          <t>Indraprastha Gas Ltd.</t>
        </is>
      </c>
      <c r="C244" t="inlineStr">
        <is>
          <t>IGL</t>
        </is>
      </c>
      <c r="D244" t="inlineStr">
        <is>
          <t>Oil Gas &amp; Consumable Fuels</t>
        </is>
      </c>
    </row>
    <row r="245">
      <c r="A245" t="n">
        <v>240</v>
      </c>
      <c r="B245" t="inlineStr">
        <is>
          <t>Indus Towers Ltd.</t>
        </is>
      </c>
      <c r="C245" t="inlineStr">
        <is>
          <t>INDUSTOWER</t>
        </is>
      </c>
      <c r="D245" t="inlineStr">
        <is>
          <t>Telecommunication</t>
        </is>
      </c>
    </row>
    <row r="246">
      <c r="A246" t="n">
        <v>241</v>
      </c>
      <c r="B246" t="inlineStr">
        <is>
          <t>IndusInd Bank Ltd.</t>
        </is>
      </c>
      <c r="C246" t="inlineStr">
        <is>
          <t>INDUSINDBK</t>
        </is>
      </c>
      <c r="D246" t="inlineStr">
        <is>
          <t>Financial Services</t>
        </is>
      </c>
    </row>
    <row r="247">
      <c r="A247" t="n">
        <v>242</v>
      </c>
      <c r="B247" t="inlineStr">
        <is>
          <t>Info Edge (India) Ltd.</t>
        </is>
      </c>
      <c r="C247" t="inlineStr">
        <is>
          <t>NAUKRI</t>
        </is>
      </c>
      <c r="D247" t="inlineStr">
        <is>
          <t>Consumer Services</t>
        </is>
      </c>
    </row>
    <row r="248">
      <c r="A248" t="n">
        <v>243</v>
      </c>
      <c r="B248" t="inlineStr">
        <is>
          <t>Infosys Ltd.</t>
        </is>
      </c>
      <c r="C248" t="inlineStr">
        <is>
          <t>INFY</t>
        </is>
      </c>
      <c r="D248" t="inlineStr">
        <is>
          <t>Information Technology</t>
        </is>
      </c>
    </row>
    <row r="249">
      <c r="A249" t="n">
        <v>244</v>
      </c>
      <c r="B249" t="inlineStr">
        <is>
          <t>INOX India Ltd.</t>
        </is>
      </c>
      <c r="C249" t="inlineStr">
        <is>
          <t>INOXINDIA</t>
        </is>
      </c>
      <c r="D249" t="inlineStr">
        <is>
          <t>Capital Goods</t>
        </is>
      </c>
    </row>
    <row r="250">
      <c r="A250" t="n">
        <v>245</v>
      </c>
      <c r="B250" t="inlineStr">
        <is>
          <t>Inox Wind Ltd.</t>
        </is>
      </c>
      <c r="C250" t="inlineStr">
        <is>
          <t>INOXWIND</t>
        </is>
      </c>
      <c r="D250" t="inlineStr">
        <is>
          <t>Capital Goods</t>
        </is>
      </c>
    </row>
    <row r="251">
      <c r="A251" t="n">
        <v>246</v>
      </c>
      <c r="B251" t="inlineStr">
        <is>
          <t>Intellect Design Arena Ltd.</t>
        </is>
      </c>
      <c r="C251" t="inlineStr">
        <is>
          <t>INTELLECT</t>
        </is>
      </c>
      <c r="D251" t="inlineStr">
        <is>
          <t>Information Technology</t>
        </is>
      </c>
    </row>
    <row r="252">
      <c r="A252" t="n">
        <v>247</v>
      </c>
      <c r="B252" t="inlineStr">
        <is>
          <t>InterGlobe Aviation Ltd.</t>
        </is>
      </c>
      <c r="C252" t="inlineStr">
        <is>
          <t>INDIGO</t>
        </is>
      </c>
      <c r="D252" t="inlineStr">
        <is>
          <t>Services</t>
        </is>
      </c>
    </row>
    <row r="253">
      <c r="A253" t="n">
        <v>248</v>
      </c>
      <c r="B253" t="inlineStr">
        <is>
          <t>International Gemological Institute Ltd.</t>
        </is>
      </c>
      <c r="C253" t="inlineStr">
        <is>
          <t>IGIL</t>
        </is>
      </c>
      <c r="D253" t="inlineStr">
        <is>
          <t>Services</t>
        </is>
      </c>
    </row>
    <row r="254">
      <c r="A254" t="n">
        <v>249</v>
      </c>
      <c r="B254" t="inlineStr">
        <is>
          <t>Inventurus Knowledge Solutions Ltd.</t>
        </is>
      </c>
      <c r="C254" t="inlineStr">
        <is>
          <t>IKS</t>
        </is>
      </c>
      <c r="D254" t="inlineStr">
        <is>
          <t>Information Technology</t>
        </is>
      </c>
    </row>
    <row r="255">
      <c r="A255" t="n">
        <v>250</v>
      </c>
      <c r="B255" t="inlineStr">
        <is>
          <t>Ipca Laboratories Ltd.</t>
        </is>
      </c>
      <c r="C255" t="inlineStr">
        <is>
          <t>IPCALAB</t>
        </is>
      </c>
      <c r="D255" t="inlineStr">
        <is>
          <t>Healthcare</t>
        </is>
      </c>
    </row>
    <row r="256">
      <c r="A256" t="n">
        <v>251</v>
      </c>
      <c r="B256" t="inlineStr">
        <is>
          <t>IRB Infrastructure Developers Ltd.</t>
        </is>
      </c>
      <c r="C256" t="inlineStr">
        <is>
          <t>IRB</t>
        </is>
      </c>
      <c r="D256" t="inlineStr">
        <is>
          <t>Construction</t>
        </is>
      </c>
    </row>
    <row r="257">
      <c r="A257" t="n">
        <v>252</v>
      </c>
      <c r="B257" t="inlineStr">
        <is>
          <t>IRCON International Ltd.</t>
        </is>
      </c>
      <c r="C257" t="inlineStr">
        <is>
          <t>IRCON</t>
        </is>
      </c>
      <c r="D257" t="inlineStr">
        <is>
          <t>Construction</t>
        </is>
      </c>
    </row>
    <row r="258">
      <c r="A258" t="n">
        <v>253</v>
      </c>
      <c r="B258" t="inlineStr">
        <is>
          <t>ITC Hotels Ltd.</t>
        </is>
      </c>
      <c r="C258" t="inlineStr">
        <is>
          <t>ITCHOTELS</t>
        </is>
      </c>
      <c r="D258" t="inlineStr">
        <is>
          <t>Consumer Services</t>
        </is>
      </c>
    </row>
    <row r="259">
      <c r="A259" t="n">
        <v>254</v>
      </c>
      <c r="B259" t="inlineStr">
        <is>
          <t>ITC Ltd.</t>
        </is>
      </c>
      <c r="C259" t="inlineStr">
        <is>
          <t>ITC</t>
        </is>
      </c>
      <c r="D259" t="inlineStr">
        <is>
          <t>Fast Moving Consumer Goods</t>
        </is>
      </c>
    </row>
    <row r="260">
      <c r="A260" t="n">
        <v>255</v>
      </c>
      <c r="B260" t="inlineStr">
        <is>
          <t>ITI Ltd.</t>
        </is>
      </c>
      <c r="C260" t="inlineStr">
        <is>
          <t>ITI</t>
        </is>
      </c>
      <c r="D260" t="inlineStr">
        <is>
          <t>Telecommunication</t>
        </is>
      </c>
    </row>
    <row r="261">
      <c r="A261" t="n">
        <v>256</v>
      </c>
      <c r="B261" t="inlineStr">
        <is>
          <t>J.K. Cement Ltd.</t>
        </is>
      </c>
      <c r="C261" t="inlineStr">
        <is>
          <t>JKCEMENT</t>
        </is>
      </c>
      <c r="D261" t="inlineStr">
        <is>
          <t>Construction Materials</t>
        </is>
      </c>
    </row>
    <row r="262">
      <c r="A262" t="n">
        <v>257</v>
      </c>
      <c r="B262" t="inlineStr">
        <is>
          <t>Jain Resource Recycling Ltd.</t>
        </is>
      </c>
      <c r="C262" t="inlineStr">
        <is>
          <t>JAINREC</t>
        </is>
      </c>
      <c r="D262" t="inlineStr">
        <is>
          <t>Metals &amp; Mining</t>
        </is>
      </c>
    </row>
    <row r="263">
      <c r="A263" t="n">
        <v>258</v>
      </c>
      <c r="B263" t="inlineStr">
        <is>
          <t>Jaiprakash Power Ventures Ltd.</t>
        </is>
      </c>
      <c r="C263" t="inlineStr">
        <is>
          <t>JPPOWER</t>
        </is>
      </c>
      <c r="D263" t="inlineStr">
        <is>
          <t>Power</t>
        </is>
      </c>
    </row>
    <row r="264">
      <c r="A264" t="n">
        <v>259</v>
      </c>
      <c r="B264" t="inlineStr">
        <is>
          <t>Jammu &amp; Kashmir Bank Ltd.</t>
        </is>
      </c>
      <c r="C264" t="inlineStr">
        <is>
          <t>J&amp;KBANK</t>
        </is>
      </c>
      <c r="D264" t="inlineStr">
        <is>
          <t>Financial Services</t>
        </is>
      </c>
    </row>
    <row r="265">
      <c r="A265" t="n">
        <v>260</v>
      </c>
      <c r="B265" t="inlineStr">
        <is>
          <t>JBM Auto Ltd.</t>
        </is>
      </c>
      <c r="C265" t="inlineStr">
        <is>
          <t>JBMA</t>
        </is>
      </c>
      <c r="D265" t="inlineStr">
        <is>
          <t>Automobile and Auto Components</t>
        </is>
      </c>
    </row>
    <row r="266">
      <c r="A266" t="n">
        <v>261</v>
      </c>
      <c r="B266" t="inlineStr">
        <is>
          <t>Jindal Saw Ltd.</t>
        </is>
      </c>
      <c r="C266" t="inlineStr">
        <is>
          <t>JINDALSAW</t>
        </is>
      </c>
      <c r="D266" t="inlineStr">
        <is>
          <t>Capital Goods</t>
        </is>
      </c>
    </row>
    <row r="267">
      <c r="A267" t="n">
        <v>262</v>
      </c>
      <c r="B267" t="inlineStr">
        <is>
          <t>Jindal Stainless Ltd.</t>
        </is>
      </c>
      <c r="C267" t="inlineStr">
        <is>
          <t>JSL</t>
        </is>
      </c>
      <c r="D267" t="inlineStr">
        <is>
          <t>Metals &amp; Mining</t>
        </is>
      </c>
    </row>
    <row r="268">
      <c r="A268" t="n">
        <v>263</v>
      </c>
      <c r="B268" t="inlineStr">
        <is>
          <t>Jindal Steel Ltd.</t>
        </is>
      </c>
      <c r="C268" t="inlineStr">
        <is>
          <t>JINDALSTEL</t>
        </is>
      </c>
      <c r="D268" t="inlineStr">
        <is>
          <t>Metals &amp; Mining</t>
        </is>
      </c>
    </row>
    <row r="269">
      <c r="A269" t="n">
        <v>264</v>
      </c>
      <c r="B269" t="inlineStr">
        <is>
          <t>Jio Financial Services Ltd.</t>
        </is>
      </c>
      <c r="C269" t="inlineStr">
        <is>
          <t>JIOFIN</t>
        </is>
      </c>
      <c r="D269" t="inlineStr">
        <is>
          <t>Financial Services</t>
        </is>
      </c>
    </row>
    <row r="270">
      <c r="A270" t="n">
        <v>265</v>
      </c>
      <c r="B270" t="inlineStr">
        <is>
          <t>JK Tyre &amp; Industries Ltd.</t>
        </is>
      </c>
      <c r="C270" t="inlineStr">
        <is>
          <t>JKTYRE</t>
        </is>
      </c>
      <c r="D270" t="inlineStr">
        <is>
          <t>Automobile and Auto Components</t>
        </is>
      </c>
    </row>
    <row r="271">
      <c r="A271" t="n">
        <v>266</v>
      </c>
      <c r="B271" t="inlineStr">
        <is>
          <t>JM Financial Ltd.</t>
        </is>
      </c>
      <c r="C271" t="inlineStr">
        <is>
          <t>JMFINANCIL</t>
        </is>
      </c>
      <c r="D271" t="inlineStr">
        <is>
          <t>Financial Services</t>
        </is>
      </c>
    </row>
    <row r="272">
      <c r="A272" t="n">
        <v>267</v>
      </c>
      <c r="B272" t="inlineStr">
        <is>
          <t>JSW Cement Ltd.</t>
        </is>
      </c>
      <c r="C272" t="inlineStr">
        <is>
          <t>JSWCEMENT</t>
        </is>
      </c>
      <c r="D272" t="inlineStr">
        <is>
          <t>Construction Materials</t>
        </is>
      </c>
    </row>
    <row r="273">
      <c r="A273" t="n">
        <v>268</v>
      </c>
      <c r="B273" t="inlineStr">
        <is>
          <t>JSW Energy Ltd.</t>
        </is>
      </c>
      <c r="C273" t="inlineStr">
        <is>
          <t>JSWENERGY</t>
        </is>
      </c>
      <c r="D273" t="inlineStr">
        <is>
          <t>Power</t>
        </is>
      </c>
    </row>
    <row r="274">
      <c r="A274" t="n">
        <v>269</v>
      </c>
      <c r="B274" t="inlineStr">
        <is>
          <t>JSW Infrastructure Ltd.</t>
        </is>
      </c>
      <c r="C274" t="inlineStr">
        <is>
          <t>JSWINFRA</t>
        </is>
      </c>
      <c r="D274" t="inlineStr">
        <is>
          <t>Services</t>
        </is>
      </c>
    </row>
    <row r="275">
      <c r="A275" t="n">
        <v>270</v>
      </c>
      <c r="B275" t="inlineStr">
        <is>
          <t>JSW Steel Ltd.</t>
        </is>
      </c>
      <c r="C275" t="inlineStr">
        <is>
          <t>JSWSTEEL</t>
        </is>
      </c>
      <c r="D275" t="inlineStr">
        <is>
          <t>Metals &amp; Mining</t>
        </is>
      </c>
    </row>
    <row r="276">
      <c r="A276" t="n">
        <v>271</v>
      </c>
      <c r="B276" t="inlineStr">
        <is>
          <t>Jubilant Foodworks Ltd.</t>
        </is>
      </c>
      <c r="C276" t="inlineStr">
        <is>
          <t>JUBLFOOD</t>
        </is>
      </c>
      <c r="D276" t="inlineStr">
        <is>
          <t>Consumer Services</t>
        </is>
      </c>
    </row>
    <row r="277">
      <c r="A277" t="n">
        <v>272</v>
      </c>
      <c r="B277" t="inlineStr">
        <is>
          <t>Jubilant Ingrevia Ltd.</t>
        </is>
      </c>
      <c r="C277" t="inlineStr">
        <is>
          <t>JUBLINGREA</t>
        </is>
      </c>
      <c r="D277" t="inlineStr">
        <is>
          <t>Chemicals</t>
        </is>
      </c>
    </row>
    <row r="278">
      <c r="A278" t="n">
        <v>273</v>
      </c>
      <c r="B278" t="inlineStr">
        <is>
          <t>Jupiter Wagons Ltd.</t>
        </is>
      </c>
      <c r="C278" t="inlineStr">
        <is>
          <t>JWL</t>
        </is>
      </c>
      <c r="D278" t="inlineStr">
        <is>
          <t>Capital Goods</t>
        </is>
      </c>
    </row>
    <row r="279">
      <c r="A279" t="n">
        <v>274</v>
      </c>
      <c r="B279" t="inlineStr">
        <is>
          <t>Jyoti CNC Automation Ltd.</t>
        </is>
      </c>
      <c r="C279" t="inlineStr">
        <is>
          <t>JYOTICNC</t>
        </is>
      </c>
      <c r="D279" t="inlineStr">
        <is>
          <t>Capital Goods</t>
        </is>
      </c>
    </row>
    <row r="280">
      <c r="A280" t="n">
        <v>275</v>
      </c>
      <c r="B280" t="inlineStr">
        <is>
          <t>K.P.R. Mill Ltd.</t>
        </is>
      </c>
      <c r="C280" t="inlineStr">
        <is>
          <t>KPRMILL</t>
        </is>
      </c>
      <c r="D280" t="inlineStr">
        <is>
          <t>Textiles</t>
        </is>
      </c>
    </row>
    <row r="281">
      <c r="A281" t="n">
        <v>276</v>
      </c>
      <c r="B281" t="inlineStr">
        <is>
          <t>Kajaria Ceramics Ltd.</t>
        </is>
      </c>
      <c r="C281" t="inlineStr">
        <is>
          <t>KAJARIACER</t>
        </is>
      </c>
      <c r="D281" t="inlineStr">
        <is>
          <t>Consumer Durables</t>
        </is>
      </c>
    </row>
    <row r="282">
      <c r="A282" t="n">
        <v>277</v>
      </c>
      <c r="B282" t="inlineStr">
        <is>
          <t>Kalpataru Projects International Ltd.</t>
        </is>
      </c>
      <c r="C282" t="inlineStr">
        <is>
          <t>KPIL</t>
        </is>
      </c>
      <c r="D282" t="inlineStr">
        <is>
          <t>Construction</t>
        </is>
      </c>
    </row>
    <row r="283">
      <c r="A283" t="n">
        <v>278</v>
      </c>
      <c r="B283" t="inlineStr">
        <is>
          <t>Kalyan Jewellers India Ltd.</t>
        </is>
      </c>
      <c r="C283" t="inlineStr">
        <is>
          <t>KALYANKJIL</t>
        </is>
      </c>
      <c r="D283" t="inlineStr">
        <is>
          <t>Consumer Durables</t>
        </is>
      </c>
    </row>
    <row r="284">
      <c r="A284" t="n">
        <v>279</v>
      </c>
      <c r="B284" t="inlineStr">
        <is>
          <t>Karur Vysya Bank Ltd.</t>
        </is>
      </c>
      <c r="C284" t="inlineStr">
        <is>
          <t>KARURVYSYA</t>
        </is>
      </c>
      <c r="D284" t="inlineStr">
        <is>
          <t>Financial Services</t>
        </is>
      </c>
    </row>
    <row r="285">
      <c r="A285" t="n">
        <v>280</v>
      </c>
      <c r="B285" t="inlineStr">
        <is>
          <t>Kaynes Technology India Ltd.</t>
        </is>
      </c>
      <c r="C285" t="inlineStr">
        <is>
          <t>KAYNES</t>
        </is>
      </c>
      <c r="D285" t="inlineStr">
        <is>
          <t>Capital Goods</t>
        </is>
      </c>
    </row>
    <row r="286">
      <c r="A286" t="n">
        <v>281</v>
      </c>
      <c r="B286" t="inlineStr">
        <is>
          <t>Kec International Ltd.</t>
        </is>
      </c>
      <c r="C286" t="inlineStr">
        <is>
          <t>KEC</t>
        </is>
      </c>
      <c r="D286" t="inlineStr">
        <is>
          <t>Construction</t>
        </is>
      </c>
    </row>
    <row r="287">
      <c r="A287" t="n">
        <v>282</v>
      </c>
      <c r="B287" t="inlineStr">
        <is>
          <t>KEI Industries Ltd.</t>
        </is>
      </c>
      <c r="C287" t="inlineStr">
        <is>
          <t>KEI</t>
        </is>
      </c>
      <c r="D287" t="inlineStr">
        <is>
          <t>Capital Goods</t>
        </is>
      </c>
    </row>
    <row r="288">
      <c r="A288" t="n">
        <v>283</v>
      </c>
      <c r="B288" t="inlineStr">
        <is>
          <t>Kfin Technologies Ltd.</t>
        </is>
      </c>
      <c r="C288" t="inlineStr">
        <is>
          <t>KFINTECH</t>
        </is>
      </c>
      <c r="D288" t="inlineStr">
        <is>
          <t>Financial Services</t>
        </is>
      </c>
    </row>
    <row r="289">
      <c r="A289" t="n">
        <v>284</v>
      </c>
      <c r="B289" t="inlineStr">
        <is>
          <t>Kirloskar Brothers Ltd.</t>
        </is>
      </c>
      <c r="C289" t="inlineStr">
        <is>
          <t>KIRLOSBROS</t>
        </is>
      </c>
      <c r="D289" t="inlineStr">
        <is>
          <t>Capital Goods</t>
        </is>
      </c>
    </row>
    <row r="290">
      <c r="A290" t="n">
        <v>285</v>
      </c>
      <c r="B290" t="inlineStr">
        <is>
          <t>Kirloskar Oil Eng Ltd.</t>
        </is>
      </c>
      <c r="C290" t="inlineStr">
        <is>
          <t>KIRLOSENG</t>
        </is>
      </c>
      <c r="D290" t="inlineStr">
        <is>
          <t>Capital Goods</t>
        </is>
      </c>
    </row>
    <row r="291">
      <c r="A291" t="n">
        <v>286</v>
      </c>
      <c r="B291" t="inlineStr">
        <is>
          <t>Kotak Mahindra Bank Ltd.</t>
        </is>
      </c>
      <c r="C291" t="inlineStr">
        <is>
          <t>KOTAKBANK</t>
        </is>
      </c>
      <c r="D291" t="inlineStr">
        <is>
          <t>Financial Services</t>
        </is>
      </c>
    </row>
    <row r="292">
      <c r="A292" t="n">
        <v>287</v>
      </c>
      <c r="B292" t="inlineStr">
        <is>
          <t>KPIT Technologies Ltd.</t>
        </is>
      </c>
      <c r="C292" t="inlineStr">
        <is>
          <t>KPITTECH</t>
        </is>
      </c>
      <c r="D292" t="inlineStr">
        <is>
          <t>Information Technology</t>
        </is>
      </c>
    </row>
    <row r="293">
      <c r="A293" t="n">
        <v>288</v>
      </c>
      <c r="B293" t="inlineStr">
        <is>
          <t>Krishna Institute of Medical Sciences Ltd.</t>
        </is>
      </c>
      <c r="C293" t="inlineStr">
        <is>
          <t>KIMS</t>
        </is>
      </c>
      <c r="D293" t="inlineStr">
        <is>
          <t>Healthcare</t>
        </is>
      </c>
    </row>
    <row r="294">
      <c r="A294" t="n">
        <v>289</v>
      </c>
      <c r="B294" t="inlineStr">
        <is>
          <t>KSB Ltd.</t>
        </is>
      </c>
      <c r="C294" t="inlineStr">
        <is>
          <t>KSB</t>
        </is>
      </c>
      <c r="D294" t="inlineStr">
        <is>
          <t>Capital Goods</t>
        </is>
      </c>
    </row>
    <row r="295">
      <c r="A295" t="n">
        <v>290</v>
      </c>
      <c r="B295" t="inlineStr">
        <is>
          <t>L&amp;T Finance Ltd.</t>
        </is>
      </c>
      <c r="C295" t="inlineStr">
        <is>
          <t>LTF</t>
        </is>
      </c>
      <c r="D295" t="inlineStr">
        <is>
          <t>Financial Services</t>
        </is>
      </c>
    </row>
    <row r="296">
      <c r="A296" t="n">
        <v>291</v>
      </c>
      <c r="B296" t="inlineStr">
        <is>
          <t>L&amp;T Technology Services Ltd.</t>
        </is>
      </c>
      <c r="C296" t="inlineStr">
        <is>
          <t>LTTS</t>
        </is>
      </c>
      <c r="D296" t="inlineStr">
        <is>
          <t>Information Technology</t>
        </is>
      </c>
    </row>
    <row r="297">
      <c r="A297" t="n">
        <v>292</v>
      </c>
      <c r="B297" t="inlineStr">
        <is>
          <t>Larsen &amp; Toubro Ltd.</t>
        </is>
      </c>
      <c r="C297" t="inlineStr">
        <is>
          <t>LT</t>
        </is>
      </c>
      <c r="D297" t="inlineStr">
        <is>
          <t>Construction</t>
        </is>
      </c>
    </row>
    <row r="298">
      <c r="A298" t="n">
        <v>293</v>
      </c>
      <c r="B298" t="inlineStr">
        <is>
          <t>Laurus Labs Ltd.</t>
        </is>
      </c>
      <c r="C298" t="inlineStr">
        <is>
          <t>LAURUSLABS</t>
        </is>
      </c>
      <c r="D298" t="inlineStr">
        <is>
          <t>Healthcare</t>
        </is>
      </c>
    </row>
    <row r="299">
      <c r="A299" t="n">
        <v>294</v>
      </c>
      <c r="B299" t="inlineStr">
        <is>
          <t>Lemon Tree Hotels Ltd.</t>
        </is>
      </c>
      <c r="C299" t="inlineStr">
        <is>
          <t>LEMONTREE</t>
        </is>
      </c>
      <c r="D299" t="inlineStr">
        <is>
          <t>Consumer Services</t>
        </is>
      </c>
    </row>
    <row r="300">
      <c r="A300" t="n">
        <v>295</v>
      </c>
      <c r="B300" t="inlineStr">
        <is>
          <t>Lenskart Solutions Ltd.</t>
        </is>
      </c>
      <c r="C300" t="inlineStr">
        <is>
          <t>LENSKART</t>
        </is>
      </c>
      <c r="D300" t="inlineStr">
        <is>
          <t>Consumer Services</t>
        </is>
      </c>
    </row>
    <row r="301">
      <c r="A301" t="n">
        <v>296</v>
      </c>
      <c r="B301" t="inlineStr">
        <is>
          <t>LG Electronics India Ltd.</t>
        </is>
      </c>
      <c r="C301" t="inlineStr">
        <is>
          <t>LGEINDIA</t>
        </is>
      </c>
      <c r="D301" t="inlineStr">
        <is>
          <t>Consumer Durables</t>
        </is>
      </c>
    </row>
    <row r="302">
      <c r="A302" t="n">
        <v>297</v>
      </c>
      <c r="B302" t="inlineStr">
        <is>
          <t>LIC Housing Finance Ltd.</t>
        </is>
      </c>
      <c r="C302" t="inlineStr">
        <is>
          <t>LICHSGFIN</t>
        </is>
      </c>
      <c r="D302" t="inlineStr">
        <is>
          <t>Financial Services</t>
        </is>
      </c>
    </row>
    <row r="303">
      <c r="A303" t="n">
        <v>298</v>
      </c>
      <c r="B303" t="inlineStr">
        <is>
          <t>Life Insurance Corporation of India</t>
        </is>
      </c>
      <c r="C303" t="inlineStr">
        <is>
          <t>LICI</t>
        </is>
      </c>
      <c r="D303" t="inlineStr">
        <is>
          <t>Financial Services</t>
        </is>
      </c>
    </row>
    <row r="304">
      <c r="A304" t="n">
        <v>299</v>
      </c>
      <c r="B304" t="inlineStr">
        <is>
          <t>Linde India Ltd.</t>
        </is>
      </c>
      <c r="C304" t="inlineStr">
        <is>
          <t>LINDEINDIA</t>
        </is>
      </c>
      <c r="D304" t="inlineStr">
        <is>
          <t>Chemicals</t>
        </is>
      </c>
    </row>
    <row r="305">
      <c r="A305" t="n">
        <v>300</v>
      </c>
      <c r="B305" t="inlineStr">
        <is>
          <t>Lloyds Metals And Energy Ltd.</t>
        </is>
      </c>
      <c r="C305" t="inlineStr">
        <is>
          <t>LLOYDSME</t>
        </is>
      </c>
      <c r="D305" t="inlineStr">
        <is>
          <t>Metals &amp; Mining</t>
        </is>
      </c>
    </row>
    <row r="306">
      <c r="A306" t="n">
        <v>301</v>
      </c>
      <c r="B306" t="inlineStr">
        <is>
          <t>Lodha Developers Ltd.</t>
        </is>
      </c>
      <c r="C306" t="inlineStr">
        <is>
          <t>LODHA</t>
        </is>
      </c>
      <c r="D306" t="inlineStr">
        <is>
          <t>Realty</t>
        </is>
      </c>
    </row>
    <row r="307">
      <c r="A307" t="n">
        <v>302</v>
      </c>
      <c r="B307" t="inlineStr">
        <is>
          <t>LT Foods Ltd.</t>
        </is>
      </c>
      <c r="C307" t="inlineStr">
        <is>
          <t>LTFOODS</t>
        </is>
      </c>
      <c r="D307" t="inlineStr">
        <is>
          <t>Fast Moving Consumer Goods</t>
        </is>
      </c>
    </row>
    <row r="308">
      <c r="A308" t="n">
        <v>303</v>
      </c>
      <c r="B308" t="inlineStr">
        <is>
          <t>LTM Ltd.</t>
        </is>
      </c>
      <c r="C308" t="inlineStr">
        <is>
          <t>LTM</t>
        </is>
      </c>
      <c r="D308" t="inlineStr">
        <is>
          <t>Information Technology</t>
        </is>
      </c>
    </row>
    <row r="309">
      <c r="A309" t="n">
        <v>304</v>
      </c>
      <c r="B309" t="inlineStr">
        <is>
          <t>Lupin Ltd.</t>
        </is>
      </c>
      <c r="C309" t="inlineStr">
        <is>
          <t>LUPIN</t>
        </is>
      </c>
      <c r="D309" t="inlineStr">
        <is>
          <t>Healthcare</t>
        </is>
      </c>
    </row>
    <row r="310">
      <c r="A310" t="n">
        <v>305</v>
      </c>
      <c r="B310" t="inlineStr">
        <is>
          <t>Mahanagar Gas Ltd.</t>
        </is>
      </c>
      <c r="C310" t="inlineStr">
        <is>
          <t>MGL</t>
        </is>
      </c>
      <c r="D310" t="inlineStr">
        <is>
          <t>Oil Gas &amp; Consumable Fuels</t>
        </is>
      </c>
    </row>
    <row r="311">
      <c r="A311" t="n">
        <v>306</v>
      </c>
      <c r="B311" t="inlineStr">
        <is>
          <t>Mahindra &amp; Mahindra Financial Services Ltd.</t>
        </is>
      </c>
      <c r="C311" t="inlineStr">
        <is>
          <t>M&amp;MFIN</t>
        </is>
      </c>
      <c r="D311" t="inlineStr">
        <is>
          <t>Financial Services</t>
        </is>
      </c>
    </row>
    <row r="312">
      <c r="A312" t="n">
        <v>307</v>
      </c>
      <c r="B312" t="inlineStr">
        <is>
          <t>Mahindra &amp; Mahindra Ltd.</t>
        </is>
      </c>
      <c r="C312" t="inlineStr">
        <is>
          <t>M&amp;M</t>
        </is>
      </c>
      <c r="D312" t="inlineStr">
        <is>
          <t>Automobile and Auto Components</t>
        </is>
      </c>
    </row>
    <row r="313">
      <c r="A313" t="n">
        <v>308</v>
      </c>
      <c r="B313" t="inlineStr">
        <is>
          <t>Manappuram Finance Ltd.</t>
        </is>
      </c>
      <c r="C313" t="inlineStr">
        <is>
          <t>MANAPPURAM</t>
        </is>
      </c>
      <c r="D313" t="inlineStr">
        <is>
          <t>Financial Services</t>
        </is>
      </c>
    </row>
    <row r="314">
      <c r="A314" t="n">
        <v>309</v>
      </c>
      <c r="B314" t="inlineStr">
        <is>
          <t>Mangalore Refinery &amp; Petrochemicals Ltd.</t>
        </is>
      </c>
      <c r="C314" t="inlineStr">
        <is>
          <t>MRPL</t>
        </is>
      </c>
      <c r="D314" t="inlineStr">
        <is>
          <t>Oil Gas &amp; Consumable Fuels</t>
        </is>
      </c>
    </row>
    <row r="315">
      <c r="A315" t="n">
        <v>310</v>
      </c>
      <c r="B315" t="inlineStr">
        <is>
          <t>Mankind Pharma Ltd.</t>
        </is>
      </c>
      <c r="C315" t="inlineStr">
        <is>
          <t>MANKIND</t>
        </is>
      </c>
      <c r="D315" t="inlineStr">
        <is>
          <t>Healthcare</t>
        </is>
      </c>
    </row>
    <row r="316">
      <c r="A316" t="n">
        <v>311</v>
      </c>
      <c r="B316" t="inlineStr">
        <is>
          <t>Marico Ltd.</t>
        </is>
      </c>
      <c r="C316" t="inlineStr">
        <is>
          <t>MARICO</t>
        </is>
      </c>
      <c r="D316" t="inlineStr">
        <is>
          <t>Fast Moving Consumer Goods</t>
        </is>
      </c>
    </row>
    <row r="317">
      <c r="A317" t="n">
        <v>312</v>
      </c>
      <c r="B317" t="inlineStr">
        <is>
          <t>Maruti Suzuki India Ltd.</t>
        </is>
      </c>
      <c r="C317" t="inlineStr">
        <is>
          <t>MARUTI</t>
        </is>
      </c>
      <c r="D317" t="inlineStr">
        <is>
          <t>Automobile and Auto Components</t>
        </is>
      </c>
    </row>
    <row r="318">
      <c r="A318" t="n">
        <v>313</v>
      </c>
      <c r="B318" t="inlineStr">
        <is>
          <t>Max Financial Services Ltd.</t>
        </is>
      </c>
      <c r="C318" t="inlineStr">
        <is>
          <t>MFSL</t>
        </is>
      </c>
      <c r="D318" t="inlineStr">
        <is>
          <t>Financial Services</t>
        </is>
      </c>
    </row>
    <row r="319">
      <c r="A319" t="n">
        <v>314</v>
      </c>
      <c r="B319" t="inlineStr">
        <is>
          <t>Max Healthcare Institute Ltd.</t>
        </is>
      </c>
      <c r="C319" t="inlineStr">
        <is>
          <t>MAXHEALTH</t>
        </is>
      </c>
      <c r="D319" t="inlineStr">
        <is>
          <t>Healthcare</t>
        </is>
      </c>
    </row>
    <row r="320">
      <c r="A320" t="n">
        <v>315</v>
      </c>
      <c r="B320" t="inlineStr">
        <is>
          <t>Mazagoan Dock Shipbuilders Ltd.</t>
        </is>
      </c>
      <c r="C320" t="inlineStr">
        <is>
          <t>MAZDOCK</t>
        </is>
      </c>
      <c r="D320" t="inlineStr">
        <is>
          <t>Capital Goods</t>
        </is>
      </c>
    </row>
    <row r="321">
      <c r="A321" t="n">
        <v>316</v>
      </c>
      <c r="B321" t="inlineStr">
        <is>
          <t>Meesho Ltd.</t>
        </is>
      </c>
      <c r="C321" t="inlineStr">
        <is>
          <t>MEESHO</t>
        </is>
      </c>
      <c r="D321" t="inlineStr">
        <is>
          <t>Consumer Services</t>
        </is>
      </c>
    </row>
    <row r="322">
      <c r="A322" t="n">
        <v>317</v>
      </c>
      <c r="B322" t="inlineStr">
        <is>
          <t>Minda Corporation Ltd.</t>
        </is>
      </c>
      <c r="C322" t="inlineStr">
        <is>
          <t>MINDACORP</t>
        </is>
      </c>
      <c r="D322" t="inlineStr">
        <is>
          <t>Automobile and Auto Components</t>
        </is>
      </c>
    </row>
    <row r="323">
      <c r="A323" t="n">
        <v>318</v>
      </c>
      <c r="B323" t="inlineStr">
        <is>
          <t>MMTC Ltd.</t>
        </is>
      </c>
      <c r="C323" t="inlineStr">
        <is>
          <t>MMTC</t>
        </is>
      </c>
      <c r="D323" t="inlineStr">
        <is>
          <t>Services</t>
        </is>
      </c>
    </row>
    <row r="324">
      <c r="A324" t="n">
        <v>319</v>
      </c>
      <c r="B324" t="inlineStr">
        <is>
          <t>Motherson Sumi Wiring India Ltd.</t>
        </is>
      </c>
      <c r="C324" t="inlineStr">
        <is>
          <t>MSUMI</t>
        </is>
      </c>
      <c r="D324" t="inlineStr">
        <is>
          <t>Automobile and Auto Components</t>
        </is>
      </c>
    </row>
    <row r="325">
      <c r="A325" t="n">
        <v>320</v>
      </c>
      <c r="B325" t="inlineStr">
        <is>
          <t>Motilal Oswal Financial Services Ltd.</t>
        </is>
      </c>
      <c r="C325" t="inlineStr">
        <is>
          <t>MOTILALOFS</t>
        </is>
      </c>
      <c r="D325" t="inlineStr">
        <is>
          <t>Financial Services</t>
        </is>
      </c>
    </row>
    <row r="326">
      <c r="A326" t="n">
        <v>321</v>
      </c>
      <c r="B326" t="inlineStr">
        <is>
          <t>MphasiS Ltd.</t>
        </is>
      </c>
      <c r="C326" t="inlineStr">
        <is>
          <t>MPHASIS</t>
        </is>
      </c>
      <c r="D326" t="inlineStr">
        <is>
          <t>Information Technology</t>
        </is>
      </c>
    </row>
    <row r="327">
      <c r="A327" t="n">
        <v>322</v>
      </c>
      <c r="B327" t="inlineStr">
        <is>
          <t>MRF Ltd.</t>
        </is>
      </c>
      <c r="C327" t="inlineStr">
        <is>
          <t>MRF</t>
        </is>
      </c>
      <c r="D327" t="inlineStr">
        <is>
          <t>Automobile and Auto Components</t>
        </is>
      </c>
    </row>
    <row r="328">
      <c r="A328" t="n">
        <v>323</v>
      </c>
      <c r="B328" t="inlineStr">
        <is>
          <t>MTAR Technologies Ltd.</t>
        </is>
      </c>
      <c r="C328" t="inlineStr">
        <is>
          <t>MTARTECH</t>
        </is>
      </c>
      <c r="D328" t="inlineStr">
        <is>
          <t>Capital Goods</t>
        </is>
      </c>
    </row>
    <row r="329">
      <c r="A329" t="n">
        <v>324</v>
      </c>
      <c r="B329" t="inlineStr">
        <is>
          <t>Multi Commodity Exchange of India Ltd.</t>
        </is>
      </c>
      <c r="C329" t="inlineStr">
        <is>
          <t>MCX</t>
        </is>
      </c>
      <c r="D329" t="inlineStr">
        <is>
          <t>Financial Services</t>
        </is>
      </c>
    </row>
    <row r="330">
      <c r="A330" t="n">
        <v>325</v>
      </c>
      <c r="B330" t="inlineStr">
        <is>
          <t>Muthoot Finance Ltd.</t>
        </is>
      </c>
      <c r="C330" t="inlineStr">
        <is>
          <t>MUTHOOTFIN</t>
        </is>
      </c>
      <c r="D330" t="inlineStr">
        <is>
          <t>Financial Services</t>
        </is>
      </c>
    </row>
    <row r="331">
      <c r="A331" t="n">
        <v>326</v>
      </c>
      <c r="B331" t="inlineStr">
        <is>
          <t>Narayana Hrudayalaya Ltd.</t>
        </is>
      </c>
      <c r="C331" t="inlineStr">
        <is>
          <t>NH</t>
        </is>
      </c>
      <c r="D331" t="inlineStr">
        <is>
          <t>Healthcare</t>
        </is>
      </c>
    </row>
    <row r="332">
      <c r="A332" t="n">
        <v>327</v>
      </c>
      <c r="B332" t="inlineStr">
        <is>
          <t>NATCO Pharma Ltd.</t>
        </is>
      </c>
      <c r="C332" t="inlineStr">
        <is>
          <t>NATCOPHARM</t>
        </is>
      </c>
      <c r="D332" t="inlineStr">
        <is>
          <t>Healthcare</t>
        </is>
      </c>
    </row>
    <row r="333">
      <c r="A333" t="n">
        <v>328</v>
      </c>
      <c r="B333" t="inlineStr">
        <is>
          <t>National Aluminium Co. Ltd.</t>
        </is>
      </c>
      <c r="C333" t="inlineStr">
        <is>
          <t>NATIONALUM</t>
        </is>
      </c>
      <c r="D333" t="inlineStr">
        <is>
          <t>Metals &amp; Mining</t>
        </is>
      </c>
    </row>
    <row r="334">
      <c r="A334" t="n">
        <v>329</v>
      </c>
      <c r="B334" t="inlineStr">
        <is>
          <t>Nava Ltd.</t>
        </is>
      </c>
      <c r="C334" t="inlineStr">
        <is>
          <t>NAVA</t>
        </is>
      </c>
      <c r="D334" t="inlineStr">
        <is>
          <t>Power</t>
        </is>
      </c>
    </row>
    <row r="335">
      <c r="A335" t="n">
        <v>330</v>
      </c>
      <c r="B335" t="inlineStr">
        <is>
          <t>Navin Fluorine International Ltd.</t>
        </is>
      </c>
      <c r="C335" t="inlineStr">
        <is>
          <t>NAVINFLUOR</t>
        </is>
      </c>
      <c r="D335" t="inlineStr">
        <is>
          <t>Chemicals</t>
        </is>
      </c>
    </row>
    <row r="336">
      <c r="A336" t="n">
        <v>331</v>
      </c>
      <c r="B336" t="inlineStr">
        <is>
          <t>NBCC (India) Ltd.</t>
        </is>
      </c>
      <c r="C336" t="inlineStr">
        <is>
          <t>NBCC</t>
        </is>
      </c>
      <c r="D336" t="inlineStr">
        <is>
          <t>Construction</t>
        </is>
      </c>
    </row>
    <row r="337">
      <c r="A337" t="n">
        <v>332</v>
      </c>
      <c r="B337" t="inlineStr">
        <is>
          <t>NCC Ltd.</t>
        </is>
      </c>
      <c r="C337" t="inlineStr">
        <is>
          <t>NCC</t>
        </is>
      </c>
      <c r="D337" t="inlineStr">
        <is>
          <t>Construction</t>
        </is>
      </c>
    </row>
    <row r="338">
      <c r="A338" t="n">
        <v>333</v>
      </c>
      <c r="B338" t="inlineStr">
        <is>
          <t>Nestle India Ltd.</t>
        </is>
      </c>
      <c r="C338" t="inlineStr">
        <is>
          <t>NESTLEIND</t>
        </is>
      </c>
      <c r="D338" t="inlineStr">
        <is>
          <t>Fast Moving Consumer Goods</t>
        </is>
      </c>
    </row>
    <row r="339">
      <c r="A339" t="n">
        <v>334</v>
      </c>
      <c r="B339" t="inlineStr">
        <is>
          <t>Netweb Technologies India Ltd.</t>
        </is>
      </c>
      <c r="C339" t="inlineStr">
        <is>
          <t>NETWEB</t>
        </is>
      </c>
      <c r="D339" t="inlineStr">
        <is>
          <t>Information Technology</t>
        </is>
      </c>
    </row>
    <row r="340">
      <c r="A340" t="n">
        <v>335</v>
      </c>
      <c r="B340" t="inlineStr">
        <is>
          <t>Neuland Laboratories Ltd.</t>
        </is>
      </c>
      <c r="C340" t="inlineStr">
        <is>
          <t>NEULANDLAB</t>
        </is>
      </c>
      <c r="D340" t="inlineStr">
        <is>
          <t>Healthcare</t>
        </is>
      </c>
    </row>
    <row r="341">
      <c r="A341" t="n">
        <v>336</v>
      </c>
      <c r="B341" t="inlineStr">
        <is>
          <t>NHPC Ltd.</t>
        </is>
      </c>
      <c r="C341" t="inlineStr">
        <is>
          <t>NHPC</t>
        </is>
      </c>
      <c r="D341" t="inlineStr">
        <is>
          <t>Power</t>
        </is>
      </c>
    </row>
    <row r="342">
      <c r="A342" t="n">
        <v>337</v>
      </c>
      <c r="B342" t="inlineStr">
        <is>
          <t>Nippon Life India Asset Management Ltd.</t>
        </is>
      </c>
      <c r="C342" t="inlineStr">
        <is>
          <t>NAM-INDIA</t>
        </is>
      </c>
      <c r="D342" t="inlineStr">
        <is>
          <t>Financial Services</t>
        </is>
      </c>
    </row>
    <row r="343">
      <c r="A343" t="n">
        <v>338</v>
      </c>
      <c r="B343" t="inlineStr">
        <is>
          <t>NLC India Ltd.</t>
        </is>
      </c>
      <c r="C343" t="inlineStr">
        <is>
          <t>NLCINDIA</t>
        </is>
      </c>
      <c r="D343" t="inlineStr">
        <is>
          <t>Power</t>
        </is>
      </c>
    </row>
    <row r="344">
      <c r="A344" t="n">
        <v>339</v>
      </c>
      <c r="B344" t="inlineStr">
        <is>
          <t>NMDC Ltd.</t>
        </is>
      </c>
      <c r="C344" t="inlineStr">
        <is>
          <t>NMDC</t>
        </is>
      </c>
      <c r="D344" t="inlineStr">
        <is>
          <t>Metals &amp; Mining</t>
        </is>
      </c>
    </row>
    <row r="345">
      <c r="A345" t="n">
        <v>340</v>
      </c>
      <c r="B345" t="inlineStr">
        <is>
          <t>NMDC Steel Ltd.</t>
        </is>
      </c>
      <c r="C345" t="inlineStr">
        <is>
          <t>NSLNISP</t>
        </is>
      </c>
      <c r="D345" t="inlineStr">
        <is>
          <t>Metals &amp; Mining</t>
        </is>
      </c>
    </row>
    <row r="346">
      <c r="A346" t="n">
        <v>341</v>
      </c>
      <c r="B346" t="inlineStr">
        <is>
          <t>NTPC Green Energy Ltd.</t>
        </is>
      </c>
      <c r="C346" t="inlineStr">
        <is>
          <t>NTPCGREEN</t>
        </is>
      </c>
      <c r="D346" t="inlineStr">
        <is>
          <t>Power</t>
        </is>
      </c>
    </row>
    <row r="347">
      <c r="A347" t="n">
        <v>342</v>
      </c>
      <c r="B347" t="inlineStr">
        <is>
          <t>NTPC Ltd.</t>
        </is>
      </c>
      <c r="C347" t="inlineStr">
        <is>
          <t>NTPC</t>
        </is>
      </c>
      <c r="D347" t="inlineStr">
        <is>
          <t>Power</t>
        </is>
      </c>
    </row>
    <row r="348">
      <c r="A348" t="n">
        <v>343</v>
      </c>
      <c r="B348" t="inlineStr">
        <is>
          <t>Nuvama Wealth Management Ltd.</t>
        </is>
      </c>
      <c r="C348" t="inlineStr">
        <is>
          <t>NUVAMA</t>
        </is>
      </c>
      <c r="D348" t="inlineStr">
        <is>
          <t>Financial Services</t>
        </is>
      </c>
    </row>
    <row r="349">
      <c r="A349" t="n">
        <v>344</v>
      </c>
      <c r="B349" t="inlineStr">
        <is>
          <t>Nuvoco Vistas Corporation Ltd.</t>
        </is>
      </c>
      <c r="C349" t="inlineStr">
        <is>
          <t>NUVOCO</t>
        </is>
      </c>
      <c r="D349" t="inlineStr">
        <is>
          <t>Construction Materials</t>
        </is>
      </c>
    </row>
    <row r="350">
      <c r="A350" t="n">
        <v>345</v>
      </c>
      <c r="B350" t="inlineStr">
        <is>
          <t>Oberoi Realty Ltd.</t>
        </is>
      </c>
      <c r="C350" t="inlineStr">
        <is>
          <t>OBEROIRLTY</t>
        </is>
      </c>
      <c r="D350" t="inlineStr">
        <is>
          <t>Realty</t>
        </is>
      </c>
    </row>
    <row r="351">
      <c r="A351" t="n">
        <v>346</v>
      </c>
      <c r="B351" t="inlineStr">
        <is>
          <t>Oil &amp; Natural Gas Corporation Ltd.</t>
        </is>
      </c>
      <c r="C351" t="inlineStr">
        <is>
          <t>ONGC</t>
        </is>
      </c>
      <c r="D351" t="inlineStr">
        <is>
          <t>Oil Gas &amp; Consumable Fuels</t>
        </is>
      </c>
    </row>
    <row r="352">
      <c r="A352" t="n">
        <v>347</v>
      </c>
      <c r="B352" t="inlineStr">
        <is>
          <t>Oil India Ltd.</t>
        </is>
      </c>
      <c r="C352" t="inlineStr">
        <is>
          <t>OIL</t>
        </is>
      </c>
      <c r="D352" t="inlineStr">
        <is>
          <t>Oil Gas &amp; Consumable Fuels</t>
        </is>
      </c>
    </row>
    <row r="353">
      <c r="A353" t="n">
        <v>348</v>
      </c>
      <c r="B353" t="inlineStr">
        <is>
          <t>Ola Electric Mobility Ltd.</t>
        </is>
      </c>
      <c r="C353" t="inlineStr">
        <is>
          <t>OLAELEC</t>
        </is>
      </c>
      <c r="D353" t="inlineStr">
        <is>
          <t>Automobile and Auto Components</t>
        </is>
      </c>
    </row>
    <row r="354">
      <c r="A354" t="n">
        <v>349</v>
      </c>
      <c r="B354" t="inlineStr">
        <is>
          <t>Olectra Greentech Ltd.</t>
        </is>
      </c>
      <c r="C354" t="inlineStr">
        <is>
          <t>OLECTRA</t>
        </is>
      </c>
      <c r="D354" t="inlineStr">
        <is>
          <t>Automobile and Auto Components</t>
        </is>
      </c>
    </row>
    <row r="355">
      <c r="A355" t="n">
        <v>350</v>
      </c>
      <c r="B355" t="inlineStr">
        <is>
          <t>One 97 Communications Ltd.</t>
        </is>
      </c>
      <c r="C355" t="inlineStr">
        <is>
          <t>PAYTM</t>
        </is>
      </c>
      <c r="D355" t="inlineStr">
        <is>
          <t>Financial Services</t>
        </is>
      </c>
    </row>
    <row r="356">
      <c r="A356" t="n">
        <v>351</v>
      </c>
      <c r="B356" t="inlineStr">
        <is>
          <t>ONE WAM Ltd.</t>
        </is>
      </c>
      <c r="C356" t="inlineStr">
        <is>
          <t>360ONE</t>
        </is>
      </c>
      <c r="D356" t="inlineStr">
        <is>
          <t>Financial Services</t>
        </is>
      </c>
    </row>
    <row r="357">
      <c r="A357" t="n">
        <v>352</v>
      </c>
      <c r="B357" t="inlineStr">
        <is>
          <t>Onesource Specialty Pharma Ltd.</t>
        </is>
      </c>
      <c r="C357" t="inlineStr">
        <is>
          <t>ONESOURCE</t>
        </is>
      </c>
      <c r="D357" t="inlineStr">
        <is>
          <t>Healthcare</t>
        </is>
      </c>
    </row>
    <row r="358">
      <c r="A358" t="n">
        <v>353</v>
      </c>
      <c r="B358" t="inlineStr">
        <is>
          <t>Oracle Financial Services Software Ltd.</t>
        </is>
      </c>
      <c r="C358" t="inlineStr">
        <is>
          <t>OFSS</t>
        </is>
      </c>
      <c r="D358" t="inlineStr">
        <is>
          <t>Information Technology</t>
        </is>
      </c>
    </row>
    <row r="359">
      <c r="A359" t="n">
        <v>354</v>
      </c>
      <c r="B359" t="inlineStr">
        <is>
          <t>Page Industries Ltd.</t>
        </is>
      </c>
      <c r="C359" t="inlineStr">
        <is>
          <t>PAGEIND</t>
        </is>
      </c>
      <c r="D359" t="inlineStr">
        <is>
          <t>Textiles</t>
        </is>
      </c>
    </row>
    <row r="360">
      <c r="A360" t="n">
        <v>355</v>
      </c>
      <c r="B360" t="inlineStr">
        <is>
          <t>Paradeep Phosphates Ltd.</t>
        </is>
      </c>
      <c r="C360" t="inlineStr">
        <is>
          <t>PARADEEP</t>
        </is>
      </c>
      <c r="D360" t="inlineStr">
        <is>
          <t>Chemicals</t>
        </is>
      </c>
    </row>
    <row r="361">
      <c r="A361" t="n">
        <v>356</v>
      </c>
      <c r="B361" t="inlineStr">
        <is>
          <t>Patanjali Foods Ltd.</t>
        </is>
      </c>
      <c r="C361" t="inlineStr">
        <is>
          <t>PATANJALI</t>
        </is>
      </c>
      <c r="D361" t="inlineStr">
        <is>
          <t>Fast Moving Consumer Goods</t>
        </is>
      </c>
    </row>
    <row r="362">
      <c r="A362" t="n">
        <v>357</v>
      </c>
      <c r="B362" t="inlineStr">
        <is>
          <t>PB Fintech Ltd.</t>
        </is>
      </c>
      <c r="C362" t="inlineStr">
        <is>
          <t>POLICYBZR</t>
        </is>
      </c>
      <c r="D362" t="inlineStr">
        <is>
          <t>Financial Services</t>
        </is>
      </c>
    </row>
    <row r="363">
      <c r="A363" t="n">
        <v>358</v>
      </c>
      <c r="B363" t="inlineStr">
        <is>
          <t>PCBL Chemical Ltd.</t>
        </is>
      </c>
      <c r="C363" t="inlineStr">
        <is>
          <t>PCBL</t>
        </is>
      </c>
      <c r="D363" t="inlineStr">
        <is>
          <t>Chemicals</t>
        </is>
      </c>
    </row>
    <row r="364">
      <c r="A364" t="n">
        <v>359</v>
      </c>
      <c r="B364" t="inlineStr">
        <is>
          <t>Persistent Systems Ltd.</t>
        </is>
      </c>
      <c r="C364" t="inlineStr">
        <is>
          <t>PERSISTENT</t>
        </is>
      </c>
      <c r="D364" t="inlineStr">
        <is>
          <t>Information Technology</t>
        </is>
      </c>
    </row>
    <row r="365">
      <c r="A365" t="n">
        <v>360</v>
      </c>
      <c r="B365" t="inlineStr">
        <is>
          <t>Petronet LNG Ltd.</t>
        </is>
      </c>
      <c r="C365" t="inlineStr">
        <is>
          <t>PETRONET</t>
        </is>
      </c>
      <c r="D365" t="inlineStr">
        <is>
          <t>Oil Gas &amp; Consumable Fuels</t>
        </is>
      </c>
    </row>
    <row r="366">
      <c r="A366" t="n">
        <v>361</v>
      </c>
      <c r="B366" t="inlineStr">
        <is>
          <t>PG Electroplast Ltd.</t>
        </is>
      </c>
      <c r="C366" t="inlineStr">
        <is>
          <t>PGEL</t>
        </is>
      </c>
      <c r="D366" t="inlineStr">
        <is>
          <t>Consumer Durables</t>
        </is>
      </c>
    </row>
    <row r="367">
      <c r="A367" t="n">
        <v>362</v>
      </c>
      <c r="B367" t="inlineStr">
        <is>
          <t>Phoenix Mills Ltd.</t>
        </is>
      </c>
      <c r="C367" t="inlineStr">
        <is>
          <t>PHOENIXLTD</t>
        </is>
      </c>
      <c r="D367" t="inlineStr">
        <is>
          <t>Realty</t>
        </is>
      </c>
    </row>
    <row r="368">
      <c r="A368" t="n">
        <v>363</v>
      </c>
      <c r="B368" t="inlineStr">
        <is>
          <t>Physicswallah Ltd.</t>
        </is>
      </c>
      <c r="C368" t="inlineStr">
        <is>
          <t>PWL</t>
        </is>
      </c>
      <c r="D368" t="inlineStr">
        <is>
          <t>Consumer Services</t>
        </is>
      </c>
    </row>
    <row r="369">
      <c r="A369" t="n">
        <v>364</v>
      </c>
      <c r="B369" t="inlineStr">
        <is>
          <t>PI Industries Ltd.</t>
        </is>
      </c>
      <c r="C369" t="inlineStr">
        <is>
          <t>PIIND</t>
        </is>
      </c>
      <c r="D369" t="inlineStr">
        <is>
          <t>Chemicals</t>
        </is>
      </c>
    </row>
    <row r="370">
      <c r="A370" t="n">
        <v>365</v>
      </c>
      <c r="B370" t="inlineStr">
        <is>
          <t>Pidilite Industries Ltd.</t>
        </is>
      </c>
      <c r="C370" t="inlineStr">
        <is>
          <t>PIDILITIND</t>
        </is>
      </c>
      <c r="D370" t="inlineStr">
        <is>
          <t>Chemicals</t>
        </is>
      </c>
    </row>
    <row r="371">
      <c r="A371" t="n">
        <v>366</v>
      </c>
      <c r="B371" t="inlineStr">
        <is>
          <t>Pine Labs Ltd.</t>
        </is>
      </c>
      <c r="C371" t="inlineStr">
        <is>
          <t>PINELABS</t>
        </is>
      </c>
      <c r="D371" t="inlineStr">
        <is>
          <t>Financial Services</t>
        </is>
      </c>
    </row>
    <row r="372">
      <c r="A372" t="n">
        <v>367</v>
      </c>
      <c r="B372" t="inlineStr">
        <is>
          <t>Piramal Finance Ltd.</t>
        </is>
      </c>
      <c r="C372" t="inlineStr">
        <is>
          <t>PIRAMALFIN</t>
        </is>
      </c>
      <c r="D372" t="inlineStr">
        <is>
          <t>Financial Services</t>
        </is>
      </c>
    </row>
    <row r="373">
      <c r="A373" t="n">
        <v>368</v>
      </c>
      <c r="B373" t="inlineStr">
        <is>
          <t>Piramal Pharma Ltd.</t>
        </is>
      </c>
      <c r="C373" t="inlineStr">
        <is>
          <t>PPLPHARMA</t>
        </is>
      </c>
      <c r="D373" t="inlineStr">
        <is>
          <t>Healthcare</t>
        </is>
      </c>
    </row>
    <row r="374">
      <c r="A374" t="n">
        <v>369</v>
      </c>
      <c r="B374" t="inlineStr">
        <is>
          <t>PNB Housing Finance Ltd.</t>
        </is>
      </c>
      <c r="C374" t="inlineStr">
        <is>
          <t>PNBHOUSING</t>
        </is>
      </c>
      <c r="D374" t="inlineStr">
        <is>
          <t>Financial Services</t>
        </is>
      </c>
    </row>
    <row r="375">
      <c r="A375" t="n">
        <v>370</v>
      </c>
      <c r="B375" t="inlineStr">
        <is>
          <t>Poly Medicure Ltd.</t>
        </is>
      </c>
      <c r="C375" t="inlineStr">
        <is>
          <t>POLYMED</t>
        </is>
      </c>
      <c r="D375" t="inlineStr">
        <is>
          <t>Healthcare</t>
        </is>
      </c>
    </row>
    <row r="376">
      <c r="A376" t="n">
        <v>371</v>
      </c>
      <c r="B376" t="inlineStr">
        <is>
          <t>Polycab India Ltd.</t>
        </is>
      </c>
      <c r="C376" t="inlineStr">
        <is>
          <t>POLYCAB</t>
        </is>
      </c>
      <c r="D376" t="inlineStr">
        <is>
          <t>Capital Goods</t>
        </is>
      </c>
    </row>
    <row r="377">
      <c r="A377" t="n">
        <v>372</v>
      </c>
      <c r="B377" t="inlineStr">
        <is>
          <t>Poonawalla Fincorp Ltd.</t>
        </is>
      </c>
      <c r="C377" t="inlineStr">
        <is>
          <t>POONAWALLA</t>
        </is>
      </c>
      <c r="D377" t="inlineStr">
        <is>
          <t>Financial Services</t>
        </is>
      </c>
    </row>
    <row r="378">
      <c r="A378" t="n">
        <v>373</v>
      </c>
      <c r="B378" t="inlineStr">
        <is>
          <t>Power Finance Corporation Ltd.</t>
        </is>
      </c>
      <c r="C378" t="inlineStr">
        <is>
          <t>PFC</t>
        </is>
      </c>
      <c r="D378" t="inlineStr">
        <is>
          <t>Financial Services</t>
        </is>
      </c>
    </row>
    <row r="379">
      <c r="A379" t="n">
        <v>374</v>
      </c>
      <c r="B379" t="inlineStr">
        <is>
          <t>Power Grid Corporation of India Ltd.</t>
        </is>
      </c>
      <c r="C379" t="inlineStr">
        <is>
          <t>POWERGRID</t>
        </is>
      </c>
      <c r="D379" t="inlineStr">
        <is>
          <t>Power</t>
        </is>
      </c>
    </row>
    <row r="380">
      <c r="A380" t="n">
        <v>375</v>
      </c>
      <c r="B380" t="inlineStr">
        <is>
          <t>Premier Energies Ltd.</t>
        </is>
      </c>
      <c r="C380" t="inlineStr">
        <is>
          <t>PREMIERENE</t>
        </is>
      </c>
      <c r="D380" t="inlineStr">
        <is>
          <t>Capital Goods</t>
        </is>
      </c>
    </row>
    <row r="381">
      <c r="A381" t="n">
        <v>376</v>
      </c>
      <c r="B381" t="inlineStr">
        <is>
          <t>Prestige Estates Projects Ltd.</t>
        </is>
      </c>
      <c r="C381" t="inlineStr">
        <is>
          <t>PRESTIGE</t>
        </is>
      </c>
      <c r="D381" t="inlineStr">
        <is>
          <t>Realty</t>
        </is>
      </c>
    </row>
    <row r="382">
      <c r="A382" t="n">
        <v>377</v>
      </c>
      <c r="B382" t="inlineStr">
        <is>
          <t>Prime Focus Ltd.</t>
        </is>
      </c>
      <c r="C382" t="inlineStr">
        <is>
          <t>PFOCUS</t>
        </is>
      </c>
      <c r="D382" t="inlineStr">
        <is>
          <t>Media Entertainment &amp; Publication</t>
        </is>
      </c>
    </row>
    <row r="383">
      <c r="A383" t="n">
        <v>378</v>
      </c>
      <c r="B383" t="inlineStr">
        <is>
          <t>Privi Speciality Chemicals Ltd.</t>
        </is>
      </c>
      <c r="C383" t="inlineStr">
        <is>
          <t>PRIVISCL</t>
        </is>
      </c>
      <c r="D383" t="inlineStr">
        <is>
          <t>Chemicals</t>
        </is>
      </c>
    </row>
    <row r="384">
      <c r="A384" t="n">
        <v>379</v>
      </c>
      <c r="B384" t="inlineStr">
        <is>
          <t>PTC Industries Ltd.</t>
        </is>
      </c>
      <c r="C384" t="inlineStr">
        <is>
          <t>PTCIL</t>
        </is>
      </c>
      <c r="D384" t="inlineStr">
        <is>
          <t>Capital Goods</t>
        </is>
      </c>
    </row>
    <row r="385">
      <c r="A385" t="n">
        <v>380</v>
      </c>
      <c r="B385" t="inlineStr">
        <is>
          <t>Punjab National Bank</t>
        </is>
      </c>
      <c r="C385" t="inlineStr">
        <is>
          <t>PNB</t>
        </is>
      </c>
      <c r="D385" t="inlineStr">
        <is>
          <t>Financial Services</t>
        </is>
      </c>
    </row>
    <row r="386">
      <c r="A386" t="n">
        <v>381</v>
      </c>
      <c r="B386" t="inlineStr">
        <is>
          <t>PVR INOX Ltd.</t>
        </is>
      </c>
      <c r="C386" t="inlineStr">
        <is>
          <t>PVRINOX</t>
        </is>
      </c>
      <c r="D386" t="inlineStr">
        <is>
          <t>Media Entertainment &amp; Publication</t>
        </is>
      </c>
    </row>
    <row r="387">
      <c r="A387" t="n">
        <v>382</v>
      </c>
      <c r="B387" t="inlineStr">
        <is>
          <t>R R Kabel Ltd.</t>
        </is>
      </c>
      <c r="C387" t="inlineStr">
        <is>
          <t>RRKABEL</t>
        </is>
      </c>
      <c r="D387" t="inlineStr">
        <is>
          <t>Capital Goods</t>
        </is>
      </c>
    </row>
    <row r="388">
      <c r="A388" t="n">
        <v>383</v>
      </c>
      <c r="B388" t="inlineStr">
        <is>
          <t>Radico Khaitan Ltd</t>
        </is>
      </c>
      <c r="C388" t="inlineStr">
        <is>
          <t>RADICO</t>
        </is>
      </c>
      <c r="D388" t="inlineStr">
        <is>
          <t>Fast Moving Consumer Goods</t>
        </is>
      </c>
    </row>
    <row r="389">
      <c r="A389" t="n">
        <v>384</v>
      </c>
      <c r="B389" t="inlineStr">
        <is>
          <t>Rail Vikas Nigam Ltd.</t>
        </is>
      </c>
      <c r="C389" t="inlineStr">
        <is>
          <t>RVNL</t>
        </is>
      </c>
      <c r="D389" t="inlineStr">
        <is>
          <t>Construction</t>
        </is>
      </c>
    </row>
    <row r="390">
      <c r="A390" t="n">
        <v>385</v>
      </c>
      <c r="B390" t="inlineStr">
        <is>
          <t>Railtel Corporation Of India Ltd.</t>
        </is>
      </c>
      <c r="C390" t="inlineStr">
        <is>
          <t>RAILTEL</t>
        </is>
      </c>
      <c r="D390" t="inlineStr">
        <is>
          <t>Telecommunication</t>
        </is>
      </c>
    </row>
    <row r="391">
      <c r="A391" t="n">
        <v>386</v>
      </c>
      <c r="B391" t="inlineStr">
        <is>
          <t>Rainbow Childrens Medicare Ltd.</t>
        </is>
      </c>
      <c r="C391" t="inlineStr">
        <is>
          <t>RAINBOW</t>
        </is>
      </c>
      <c r="D391" t="inlineStr">
        <is>
          <t>Healthcare</t>
        </is>
      </c>
    </row>
    <row r="392">
      <c r="A392" t="n">
        <v>387</v>
      </c>
      <c r="B392" t="inlineStr">
        <is>
          <t>Ramkrishna Forgings Ltd.</t>
        </is>
      </c>
      <c r="C392" t="inlineStr">
        <is>
          <t>RKFORGE</t>
        </is>
      </c>
      <c r="D392" t="inlineStr">
        <is>
          <t>Automobile and Auto Components</t>
        </is>
      </c>
    </row>
    <row r="393">
      <c r="A393" t="n">
        <v>388</v>
      </c>
      <c r="B393" t="inlineStr">
        <is>
          <t>RBL Bank Ltd.</t>
        </is>
      </c>
      <c r="C393" t="inlineStr">
        <is>
          <t>RBLBANK</t>
        </is>
      </c>
      <c r="D393" t="inlineStr">
        <is>
          <t>Financial Services</t>
        </is>
      </c>
    </row>
    <row r="394">
      <c r="A394" t="n">
        <v>389</v>
      </c>
      <c r="B394" t="inlineStr">
        <is>
          <t>REC Ltd.</t>
        </is>
      </c>
      <c r="C394" t="inlineStr">
        <is>
          <t>RECLTD</t>
        </is>
      </c>
      <c r="D394" t="inlineStr">
        <is>
          <t>Financial Services</t>
        </is>
      </c>
    </row>
    <row r="395">
      <c r="A395" t="n">
        <v>390</v>
      </c>
      <c r="B395" t="inlineStr">
        <is>
          <t>Redington Ltd.</t>
        </is>
      </c>
      <c r="C395" t="inlineStr">
        <is>
          <t>REDINGTON</t>
        </is>
      </c>
      <c r="D395" t="inlineStr">
        <is>
          <t>Services</t>
        </is>
      </c>
    </row>
    <row r="396">
      <c r="A396" t="n">
        <v>391</v>
      </c>
      <c r="B396" t="inlineStr">
        <is>
          <t>Reliance Industries Ltd.</t>
        </is>
      </c>
      <c r="C396" t="inlineStr">
        <is>
          <t>RELIANCE</t>
        </is>
      </c>
      <c r="D396" t="inlineStr">
        <is>
          <t>Oil Gas &amp; Consumable Fuels</t>
        </is>
      </c>
    </row>
    <row r="397">
      <c r="A397" t="n">
        <v>392</v>
      </c>
      <c r="B397" t="inlineStr">
        <is>
          <t>Reliance Power Ltd.</t>
        </is>
      </c>
      <c r="C397" t="inlineStr">
        <is>
          <t>RPOWER</t>
        </is>
      </c>
      <c r="D397" t="inlineStr">
        <is>
          <t>Power</t>
        </is>
      </c>
    </row>
    <row r="398">
      <c r="A398" t="n">
        <v>393</v>
      </c>
      <c r="B398" t="inlineStr">
        <is>
          <t>RHI MAGNESITA INDIA LTD.</t>
        </is>
      </c>
      <c r="C398" t="inlineStr">
        <is>
          <t>RHIM</t>
        </is>
      </c>
      <c r="D398" t="inlineStr">
        <is>
          <t>Capital Goods</t>
        </is>
      </c>
    </row>
    <row r="399">
      <c r="A399" t="n">
        <v>394</v>
      </c>
      <c r="B399" t="inlineStr">
        <is>
          <t>RITES Ltd.</t>
        </is>
      </c>
      <c r="C399" t="inlineStr">
        <is>
          <t>RITES</t>
        </is>
      </c>
      <c r="D399" t="inlineStr">
        <is>
          <t>Construction</t>
        </is>
      </c>
    </row>
    <row r="400">
      <c r="A400" t="n">
        <v>395</v>
      </c>
      <c r="B400" t="inlineStr">
        <is>
          <t>Rubicon Research Ltd.</t>
        </is>
      </c>
      <c r="C400" t="inlineStr">
        <is>
          <t>RUBICON</t>
        </is>
      </c>
      <c r="D400" t="inlineStr">
        <is>
          <t>Healthcare</t>
        </is>
      </c>
    </row>
    <row r="401">
      <c r="A401" t="n">
        <v>396</v>
      </c>
      <c r="B401" t="inlineStr">
        <is>
          <t>Sagility Ltd.</t>
        </is>
      </c>
      <c r="C401" t="inlineStr">
        <is>
          <t>SAGILITY</t>
        </is>
      </c>
      <c r="D401" t="inlineStr">
        <is>
          <t>Information Technology</t>
        </is>
      </c>
    </row>
    <row r="402">
      <c r="A402" t="n">
        <v>397</v>
      </c>
      <c r="B402" t="inlineStr">
        <is>
          <t>Sai Life Sciences Ltd.</t>
        </is>
      </c>
      <c r="C402" t="inlineStr">
        <is>
          <t>SAILIFE</t>
        </is>
      </c>
      <c r="D402" t="inlineStr">
        <is>
          <t>Healthcare</t>
        </is>
      </c>
    </row>
    <row r="403">
      <c r="A403" t="n">
        <v>398</v>
      </c>
      <c r="B403" t="inlineStr">
        <is>
          <t>Sammaan Capital Ltd.</t>
        </is>
      </c>
      <c r="C403" t="inlineStr">
        <is>
          <t>SAMMAANCAP</t>
        </is>
      </c>
      <c r="D403" t="inlineStr">
        <is>
          <t>Financial Services</t>
        </is>
      </c>
    </row>
    <row r="404">
      <c r="A404" t="n">
        <v>399</v>
      </c>
      <c r="B404" t="inlineStr">
        <is>
          <t>Samvardhana Motherson International Ltd.</t>
        </is>
      </c>
      <c r="C404" t="inlineStr">
        <is>
          <t>MOTHERSON</t>
        </is>
      </c>
      <c r="D404" t="inlineStr">
        <is>
          <t>Automobile and Auto Components</t>
        </is>
      </c>
    </row>
    <row r="405">
      <c r="A405" t="n">
        <v>400</v>
      </c>
      <c r="B405" t="inlineStr">
        <is>
          <t>Sansera Engineering Ltd.</t>
        </is>
      </c>
      <c r="C405" t="inlineStr">
        <is>
          <t>SANSERA</t>
        </is>
      </c>
      <c r="D405" t="inlineStr">
        <is>
          <t>Automobile and Auto Components</t>
        </is>
      </c>
    </row>
    <row r="406">
      <c r="A406" t="n">
        <v>401</v>
      </c>
      <c r="B406" t="inlineStr">
        <is>
          <t>Sarda Energy and Minerals Ltd.</t>
        </is>
      </c>
      <c r="C406" t="inlineStr">
        <is>
          <t>SARDAEN</t>
        </is>
      </c>
      <c r="D406" t="inlineStr">
        <is>
          <t>Metals &amp; Mining</t>
        </is>
      </c>
    </row>
    <row r="407">
      <c r="A407" t="n">
        <v>402</v>
      </c>
      <c r="B407" t="inlineStr">
        <is>
          <t>SBI Cards and Payment Services Ltd.</t>
        </is>
      </c>
      <c r="C407" t="inlineStr">
        <is>
          <t>SBICARD</t>
        </is>
      </c>
      <c r="D407" t="inlineStr">
        <is>
          <t>Financial Services</t>
        </is>
      </c>
    </row>
    <row r="408">
      <c r="A408" t="n">
        <v>403</v>
      </c>
      <c r="B408" t="inlineStr">
        <is>
          <t>SBI Life Insurance Company Ltd.</t>
        </is>
      </c>
      <c r="C408" t="inlineStr">
        <is>
          <t>SBILIFE</t>
        </is>
      </c>
      <c r="D408" t="inlineStr">
        <is>
          <t>Financial Services</t>
        </is>
      </c>
    </row>
    <row r="409">
      <c r="A409" t="n">
        <v>404</v>
      </c>
      <c r="B409" t="inlineStr">
        <is>
          <t>Schaeffler India Ltd.</t>
        </is>
      </c>
      <c r="C409" t="inlineStr">
        <is>
          <t>SCHAEFFLER</t>
        </is>
      </c>
      <c r="D409" t="inlineStr">
        <is>
          <t>Automobile and Auto Components</t>
        </is>
      </c>
    </row>
    <row r="410">
      <c r="A410" t="n">
        <v>405</v>
      </c>
      <c r="B410" t="inlineStr">
        <is>
          <t>Schneider Electric Infrastructure Ltd.</t>
        </is>
      </c>
      <c r="C410" t="inlineStr">
        <is>
          <t>SCHNEIDER</t>
        </is>
      </c>
      <c r="D410" t="inlineStr">
        <is>
          <t>Capital Goods</t>
        </is>
      </c>
    </row>
    <row r="411">
      <c r="A411" t="n">
        <v>406</v>
      </c>
      <c r="B411" t="inlineStr">
        <is>
          <t>Shipping Corporation of India Ltd.</t>
        </is>
      </c>
      <c r="C411" t="inlineStr">
        <is>
          <t>SCI</t>
        </is>
      </c>
      <c r="D411" t="inlineStr">
        <is>
          <t>Services</t>
        </is>
      </c>
    </row>
    <row r="412">
      <c r="A412" t="n">
        <v>407</v>
      </c>
      <c r="B412" t="inlineStr">
        <is>
          <t>Shree Cement Ltd.</t>
        </is>
      </c>
      <c r="C412" t="inlineStr">
        <is>
          <t>SHREECEM</t>
        </is>
      </c>
      <c r="D412" t="inlineStr">
        <is>
          <t>Construction Materials</t>
        </is>
      </c>
    </row>
    <row r="413">
      <c r="A413" t="n">
        <v>408</v>
      </c>
      <c r="B413" t="inlineStr">
        <is>
          <t>Shriram Finance Ltd.</t>
        </is>
      </c>
      <c r="C413" t="inlineStr">
        <is>
          <t>SHRIRAMFIN</t>
        </is>
      </c>
      <c r="D413" t="inlineStr">
        <is>
          <t>Financial Services</t>
        </is>
      </c>
    </row>
    <row r="414">
      <c r="A414" t="n">
        <v>409</v>
      </c>
      <c r="B414" t="inlineStr">
        <is>
          <t>Shyam Metalics and Energy Ltd.</t>
        </is>
      </c>
      <c r="C414" t="inlineStr">
        <is>
          <t>SHYAMMETL</t>
        </is>
      </c>
      <c r="D414" t="inlineStr">
        <is>
          <t>Capital Goods</t>
        </is>
      </c>
    </row>
    <row r="415">
      <c r="A415" t="n">
        <v>410</v>
      </c>
      <c r="B415" t="inlineStr">
        <is>
          <t>Siemens Energy India Ltd.</t>
        </is>
      </c>
      <c r="C415" t="inlineStr">
        <is>
          <t>ENRIN</t>
        </is>
      </c>
      <c r="D415" t="inlineStr">
        <is>
          <t>Capital Goods</t>
        </is>
      </c>
    </row>
    <row r="416">
      <c r="A416" t="n">
        <v>411</v>
      </c>
      <c r="B416" t="inlineStr">
        <is>
          <t>Siemens Ltd.</t>
        </is>
      </c>
      <c r="C416" t="inlineStr">
        <is>
          <t>SIEMENS</t>
        </is>
      </c>
      <c r="D416" t="inlineStr">
        <is>
          <t>Capital Goods</t>
        </is>
      </c>
    </row>
    <row r="417">
      <c r="A417" t="n">
        <v>412</v>
      </c>
      <c r="B417" t="inlineStr">
        <is>
          <t>Signatureglobal (India) Ltd.</t>
        </is>
      </c>
      <c r="C417" t="inlineStr">
        <is>
          <t>SIGNATURE</t>
        </is>
      </c>
      <c r="D417" t="inlineStr">
        <is>
          <t>Realty</t>
        </is>
      </c>
    </row>
    <row r="418">
      <c r="A418" t="n">
        <v>413</v>
      </c>
      <c r="B418" t="inlineStr">
        <is>
          <t>SJVN Ltd.</t>
        </is>
      </c>
      <c r="C418" t="inlineStr">
        <is>
          <t>SJVN</t>
        </is>
      </c>
      <c r="D418" t="inlineStr">
        <is>
          <t>Power</t>
        </is>
      </c>
    </row>
    <row r="419">
      <c r="A419" t="n">
        <v>414</v>
      </c>
      <c r="B419" t="inlineStr">
        <is>
          <t>Sobha Ltd.</t>
        </is>
      </c>
      <c r="C419" t="inlineStr">
        <is>
          <t>SOBHA</t>
        </is>
      </c>
      <c r="D419" t="inlineStr">
        <is>
          <t>Realty</t>
        </is>
      </c>
    </row>
    <row r="420">
      <c r="A420" t="n">
        <v>415</v>
      </c>
      <c r="B420" t="inlineStr">
        <is>
          <t>Solar Industries India Ltd.</t>
        </is>
      </c>
      <c r="C420" t="inlineStr">
        <is>
          <t>SOLARINDS</t>
        </is>
      </c>
      <c r="D420" t="inlineStr">
        <is>
          <t>Chemicals</t>
        </is>
      </c>
    </row>
    <row r="421">
      <c r="A421" t="n">
        <v>416</v>
      </c>
      <c r="B421" t="inlineStr">
        <is>
          <t>Sona BLW Precision Forgings Ltd.</t>
        </is>
      </c>
      <c r="C421" t="inlineStr">
        <is>
          <t>SONACOMS</t>
        </is>
      </c>
      <c r="D421" t="inlineStr">
        <is>
          <t>Automobile and Auto Components</t>
        </is>
      </c>
    </row>
    <row r="422">
      <c r="A422" t="n">
        <v>417</v>
      </c>
      <c r="B422" t="inlineStr">
        <is>
          <t>SPR Auto Technologies Ltd.</t>
        </is>
      </c>
      <c r="C422" t="inlineStr">
        <is>
          <t>SHRIPISTON</t>
        </is>
      </c>
      <c r="D422" t="inlineStr">
        <is>
          <t>Automobile and Auto Components</t>
        </is>
      </c>
    </row>
    <row r="423">
      <c r="A423" t="n">
        <v>418</v>
      </c>
      <c r="B423" t="inlineStr">
        <is>
          <t>SRF Ltd.</t>
        </is>
      </c>
      <c r="C423" t="inlineStr">
        <is>
          <t>SRF</t>
        </is>
      </c>
      <c r="D423" t="inlineStr">
        <is>
          <t>Chemicals</t>
        </is>
      </c>
    </row>
    <row r="424">
      <c r="A424" t="n">
        <v>419</v>
      </c>
      <c r="B424" t="inlineStr">
        <is>
          <t>Star Health and Allied Insurance Company Ltd.</t>
        </is>
      </c>
      <c r="C424" t="inlineStr">
        <is>
          <t>STARHEALTH</t>
        </is>
      </c>
      <c r="D424" t="inlineStr">
        <is>
          <t>Financial Services</t>
        </is>
      </c>
    </row>
    <row r="425">
      <c r="A425" t="n">
        <v>420</v>
      </c>
      <c r="B425" t="inlineStr">
        <is>
          <t>State Bank of India</t>
        </is>
      </c>
      <c r="C425" t="inlineStr">
        <is>
          <t>SBIN</t>
        </is>
      </c>
      <c r="D425" t="inlineStr">
        <is>
          <t>Financial Services</t>
        </is>
      </c>
    </row>
    <row r="426">
      <c r="A426" t="n">
        <v>421</v>
      </c>
      <c r="B426" t="inlineStr">
        <is>
          <t>Steel Authority of India Ltd.</t>
        </is>
      </c>
      <c r="C426" t="inlineStr">
        <is>
          <t>SAIL</t>
        </is>
      </c>
      <c r="D426" t="inlineStr">
        <is>
          <t>Metals &amp; Mining</t>
        </is>
      </c>
    </row>
    <row r="427">
      <c r="A427" t="n">
        <v>422</v>
      </c>
      <c r="B427" t="inlineStr">
        <is>
          <t>Sterlite Technologies Ltd.</t>
        </is>
      </c>
      <c r="C427" t="inlineStr">
        <is>
          <t>STLTECH</t>
        </is>
      </c>
      <c r="D427" t="inlineStr">
        <is>
          <t>Telecommunication</t>
        </is>
      </c>
    </row>
    <row r="428">
      <c r="A428" t="n">
        <v>423</v>
      </c>
      <c r="B428" t="inlineStr">
        <is>
          <t>Sumitomo Chemical India Ltd.</t>
        </is>
      </c>
      <c r="C428" t="inlineStr">
        <is>
          <t>SUMICHEM</t>
        </is>
      </c>
      <c r="D428" t="inlineStr">
        <is>
          <t>Chemicals</t>
        </is>
      </c>
    </row>
    <row r="429">
      <c r="A429" t="n">
        <v>424</v>
      </c>
      <c r="B429" t="inlineStr">
        <is>
          <t>Sun Pharmaceutical Industries Ltd.</t>
        </is>
      </c>
      <c r="C429" t="inlineStr">
        <is>
          <t>SUNPHARMA</t>
        </is>
      </c>
      <c r="D429" t="inlineStr">
        <is>
          <t>Healthcare</t>
        </is>
      </c>
    </row>
    <row r="430">
      <c r="A430" t="n">
        <v>425</v>
      </c>
      <c r="B430" t="inlineStr">
        <is>
          <t>Sun TV Network Ltd.</t>
        </is>
      </c>
      <c r="C430" t="inlineStr">
        <is>
          <t>SUNTV</t>
        </is>
      </c>
      <c r="D430" t="inlineStr">
        <is>
          <t>Media Entertainment &amp; Publication</t>
        </is>
      </c>
    </row>
    <row r="431">
      <c r="A431" t="n">
        <v>426</v>
      </c>
      <c r="B431" t="inlineStr">
        <is>
          <t>Sundaram Finance Ltd.</t>
        </is>
      </c>
      <c r="C431" t="inlineStr">
        <is>
          <t>SUNDARMFIN</t>
        </is>
      </c>
      <c r="D431" t="inlineStr">
        <is>
          <t>Financial Services</t>
        </is>
      </c>
    </row>
    <row r="432">
      <c r="A432" t="n">
        <v>427</v>
      </c>
      <c r="B432" t="inlineStr">
        <is>
          <t>Supreme Industries Ltd.</t>
        </is>
      </c>
      <c r="C432" t="inlineStr">
        <is>
          <t>SUPREMEIND</t>
        </is>
      </c>
      <c r="D432" t="inlineStr">
        <is>
          <t>Capital Goods</t>
        </is>
      </c>
    </row>
    <row r="433">
      <c r="A433" t="n">
        <v>428</v>
      </c>
      <c r="B433" t="inlineStr">
        <is>
          <t>Suzlon Energy Ltd.</t>
        </is>
      </c>
      <c r="C433" t="inlineStr">
        <is>
          <t>SUZLON</t>
        </is>
      </c>
      <c r="D433" t="inlineStr">
        <is>
          <t>Capital Goods</t>
        </is>
      </c>
    </row>
    <row r="434">
      <c r="A434" t="n">
        <v>429</v>
      </c>
      <c r="B434" t="inlineStr">
        <is>
          <t>Swan Corp Ltd.</t>
        </is>
      </c>
      <c r="C434" t="inlineStr">
        <is>
          <t>SWANCORP</t>
        </is>
      </c>
      <c r="D434" t="inlineStr">
        <is>
          <t>Chemicals</t>
        </is>
      </c>
    </row>
    <row r="435">
      <c r="A435" t="n">
        <v>430</v>
      </c>
      <c r="B435" t="inlineStr">
        <is>
          <t>Swiggy Ltd.</t>
        </is>
      </c>
      <c r="C435" t="inlineStr">
        <is>
          <t>SWIGGY</t>
        </is>
      </c>
      <c r="D435" t="inlineStr">
        <is>
          <t>Consumer Services</t>
        </is>
      </c>
    </row>
    <row r="436">
      <c r="A436" t="n">
        <v>431</v>
      </c>
      <c r="B436" t="inlineStr">
        <is>
          <t>Syngene International Ltd.</t>
        </is>
      </c>
      <c r="C436" t="inlineStr">
        <is>
          <t>SYNGENE</t>
        </is>
      </c>
      <c r="D436" t="inlineStr">
        <is>
          <t>Healthcare</t>
        </is>
      </c>
    </row>
    <row r="437">
      <c r="A437" t="n">
        <v>432</v>
      </c>
      <c r="B437" t="inlineStr">
        <is>
          <t>Syrma SGS Technology Ltd.</t>
        </is>
      </c>
      <c r="C437" t="inlineStr">
        <is>
          <t>SYRMA</t>
        </is>
      </c>
      <c r="D437" t="inlineStr">
        <is>
          <t>Capital Goods</t>
        </is>
      </c>
    </row>
    <row r="438">
      <c r="A438" t="n">
        <v>433</v>
      </c>
      <c r="B438" t="inlineStr">
        <is>
          <t>Tata Capital Ltd.</t>
        </is>
      </c>
      <c r="C438" t="inlineStr">
        <is>
          <t>TATACAP</t>
        </is>
      </c>
      <c r="D438" t="inlineStr">
        <is>
          <t>Financial Services</t>
        </is>
      </c>
    </row>
    <row r="439">
      <c r="A439" t="n">
        <v>434</v>
      </c>
      <c r="B439" t="inlineStr">
        <is>
          <t>Tata Chemicals Ltd.</t>
        </is>
      </c>
      <c r="C439" t="inlineStr">
        <is>
          <t>TATACHEM</t>
        </is>
      </c>
      <c r="D439" t="inlineStr">
        <is>
          <t>Chemicals</t>
        </is>
      </c>
    </row>
    <row r="440">
      <c r="A440" t="n">
        <v>435</v>
      </c>
      <c r="B440" t="inlineStr">
        <is>
          <t>Tata Communications Ltd.</t>
        </is>
      </c>
      <c r="C440" t="inlineStr">
        <is>
          <t>TATACOMM</t>
        </is>
      </c>
      <c r="D440" t="inlineStr">
        <is>
          <t>Telecommunication</t>
        </is>
      </c>
    </row>
    <row r="441">
      <c r="A441" t="n">
        <v>436</v>
      </c>
      <c r="B441" t="inlineStr">
        <is>
          <t>Tata Consultancy Services Ltd.</t>
        </is>
      </c>
      <c r="C441" t="inlineStr">
        <is>
          <t>TCS</t>
        </is>
      </c>
      <c r="D441" t="inlineStr">
        <is>
          <t>Information Technology</t>
        </is>
      </c>
    </row>
    <row r="442">
      <c r="A442" t="n">
        <v>437</v>
      </c>
      <c r="B442" t="inlineStr">
        <is>
          <t>Tata Consumer Products Ltd.</t>
        </is>
      </c>
      <c r="C442" t="inlineStr">
        <is>
          <t>TATACONSUM</t>
        </is>
      </c>
      <c r="D442" t="inlineStr">
        <is>
          <t>Fast Moving Consumer Goods</t>
        </is>
      </c>
    </row>
    <row r="443">
      <c r="A443" t="n">
        <v>438</v>
      </c>
      <c r="B443" t="inlineStr">
        <is>
          <t>Tata Elxsi Ltd.</t>
        </is>
      </c>
      <c r="C443" t="inlineStr">
        <is>
          <t>TATAELXSI</t>
        </is>
      </c>
      <c r="D443" t="inlineStr">
        <is>
          <t>Information Technology</t>
        </is>
      </c>
    </row>
    <row r="444">
      <c r="A444" t="n">
        <v>439</v>
      </c>
      <c r="B444" t="inlineStr">
        <is>
          <t>Tata Investment Corporation Ltd.</t>
        </is>
      </c>
      <c r="C444" t="inlineStr">
        <is>
          <t>TATAINVEST</t>
        </is>
      </c>
      <c r="D444" t="inlineStr">
        <is>
          <t>Financial Services</t>
        </is>
      </c>
    </row>
    <row r="445">
      <c r="A445" t="n">
        <v>440</v>
      </c>
      <c r="B445" t="inlineStr">
        <is>
          <t>Tata Motors Ltd.</t>
        </is>
      </c>
      <c r="C445" t="inlineStr">
        <is>
          <t>TMCV</t>
        </is>
      </c>
      <c r="D445" t="inlineStr">
        <is>
          <t>Capital Goods</t>
        </is>
      </c>
    </row>
    <row r="446">
      <c r="A446" t="n">
        <v>441</v>
      </c>
      <c r="B446" t="inlineStr">
        <is>
          <t>Tata Motors Passenger Vehicles Ltd.</t>
        </is>
      </c>
      <c r="C446" t="inlineStr">
        <is>
          <t>TMPV</t>
        </is>
      </c>
      <c r="D446" t="inlineStr">
        <is>
          <t>Automobile and Auto Components</t>
        </is>
      </c>
    </row>
    <row r="447">
      <c r="A447" t="n">
        <v>442</v>
      </c>
      <c r="B447" t="inlineStr">
        <is>
          <t>Tata Power Co. Ltd.</t>
        </is>
      </c>
      <c r="C447" t="inlineStr">
        <is>
          <t>TATAPOWER</t>
        </is>
      </c>
      <c r="D447" t="inlineStr">
        <is>
          <t>Power</t>
        </is>
      </c>
    </row>
    <row r="448">
      <c r="A448" t="n">
        <v>443</v>
      </c>
      <c r="B448" t="inlineStr">
        <is>
          <t>Tata Steel Ltd.</t>
        </is>
      </c>
      <c r="C448" t="inlineStr">
        <is>
          <t>TATASTEEL</t>
        </is>
      </c>
      <c r="D448" t="inlineStr">
        <is>
          <t>Metals &amp; Mining</t>
        </is>
      </c>
    </row>
    <row r="449">
      <c r="A449" t="n">
        <v>444</v>
      </c>
      <c r="B449" t="inlineStr">
        <is>
          <t>Tata Technologies Ltd.</t>
        </is>
      </c>
      <c r="C449" t="inlineStr">
        <is>
          <t>TATATECH</t>
        </is>
      </c>
      <c r="D449" t="inlineStr">
        <is>
          <t>Information Technology</t>
        </is>
      </c>
    </row>
    <row r="450">
      <c r="A450" t="n">
        <v>445</v>
      </c>
      <c r="B450" t="inlineStr">
        <is>
          <t>Tata Teleservices (Maharashtra) Ltd.</t>
        </is>
      </c>
      <c r="C450" t="inlineStr">
        <is>
          <t>TTML</t>
        </is>
      </c>
      <c r="D450" t="inlineStr">
        <is>
          <t>Telecommunication</t>
        </is>
      </c>
    </row>
    <row r="451">
      <c r="A451" t="n">
        <v>446</v>
      </c>
      <c r="B451" t="inlineStr">
        <is>
          <t>TBO Tek Ltd.</t>
        </is>
      </c>
      <c r="C451" t="inlineStr">
        <is>
          <t>TBOTEK</t>
        </is>
      </c>
      <c r="D451" t="inlineStr">
        <is>
          <t>Consumer Services</t>
        </is>
      </c>
    </row>
    <row r="452">
      <c r="A452" t="n">
        <v>447</v>
      </c>
      <c r="B452" t="inlineStr">
        <is>
          <t>TD Power Systems Ltd.</t>
        </is>
      </c>
      <c r="C452" t="inlineStr">
        <is>
          <t>TDPOWERSYS</t>
        </is>
      </c>
      <c r="D452" t="inlineStr">
        <is>
          <t>Capital Goods</t>
        </is>
      </c>
    </row>
    <row r="453">
      <c r="A453" t="n">
        <v>448</v>
      </c>
      <c r="B453" t="inlineStr">
        <is>
          <t>Tech Mahindra Ltd.</t>
        </is>
      </c>
      <c r="C453" t="inlineStr">
        <is>
          <t>TECHM</t>
        </is>
      </c>
      <c r="D453" t="inlineStr">
        <is>
          <t>Information Technology</t>
        </is>
      </c>
    </row>
    <row r="454">
      <c r="A454" t="n">
        <v>449</v>
      </c>
      <c r="B454" t="inlineStr">
        <is>
          <t>Techno Electric &amp; Engineering Company Ltd.</t>
        </is>
      </c>
      <c r="C454" t="inlineStr">
        <is>
          <t>TECHNOE</t>
        </is>
      </c>
      <c r="D454" t="inlineStr">
        <is>
          <t>Construction</t>
        </is>
      </c>
    </row>
    <row r="455">
      <c r="A455" t="n">
        <v>450</v>
      </c>
      <c r="B455" t="inlineStr">
        <is>
          <t>Tega Industries Ltd.</t>
        </is>
      </c>
      <c r="C455" t="inlineStr">
        <is>
          <t>TEGA</t>
        </is>
      </c>
      <c r="D455" t="inlineStr">
        <is>
          <t>Capital Goods</t>
        </is>
      </c>
    </row>
    <row r="456">
      <c r="A456" t="n">
        <v>451</v>
      </c>
      <c r="B456" t="inlineStr">
        <is>
          <t>Tejas Networks Ltd.</t>
        </is>
      </c>
      <c r="C456" t="inlineStr">
        <is>
          <t>TEJASNET</t>
        </is>
      </c>
      <c r="D456" t="inlineStr">
        <is>
          <t>Telecommunication</t>
        </is>
      </c>
    </row>
    <row r="457">
      <c r="A457" t="n">
        <v>452</v>
      </c>
      <c r="B457" t="inlineStr">
        <is>
          <t>Tenneco Clean Air India Ltd.</t>
        </is>
      </c>
      <c r="C457" t="inlineStr">
        <is>
          <t>TENNIND</t>
        </is>
      </c>
      <c r="D457" t="inlineStr">
        <is>
          <t>Automobile and Auto Components</t>
        </is>
      </c>
    </row>
    <row r="458">
      <c r="A458" t="n">
        <v>453</v>
      </c>
      <c r="B458" t="inlineStr">
        <is>
          <t>Thangamayil Jewellery Ltd.</t>
        </is>
      </c>
      <c r="C458" t="inlineStr">
        <is>
          <t>THANGAMAYL</t>
        </is>
      </c>
      <c r="D458" t="inlineStr">
        <is>
          <t>Consumer Durables</t>
        </is>
      </c>
    </row>
    <row r="459">
      <c r="A459" t="n">
        <v>454</v>
      </c>
      <c r="B459" t="inlineStr">
        <is>
          <t>The New India Assurance Company Ltd.</t>
        </is>
      </c>
      <c r="C459" t="inlineStr">
        <is>
          <t>NIACL</t>
        </is>
      </c>
      <c r="D459" t="inlineStr">
        <is>
          <t>Financial Services</t>
        </is>
      </c>
    </row>
    <row r="460">
      <c r="A460" t="n">
        <v>455</v>
      </c>
      <c r="B460" t="inlineStr">
        <is>
          <t>The Ramco Cements Ltd.</t>
        </is>
      </c>
      <c r="C460" t="inlineStr">
        <is>
          <t>RAMCOCEM</t>
        </is>
      </c>
      <c r="D460" t="inlineStr">
        <is>
          <t>Construction Materials</t>
        </is>
      </c>
    </row>
    <row r="461">
      <c r="A461" t="n">
        <v>456</v>
      </c>
      <c r="B461" t="inlineStr">
        <is>
          <t>Thermax Ltd.</t>
        </is>
      </c>
      <c r="C461" t="inlineStr">
        <is>
          <t>THERMAX</t>
        </is>
      </c>
      <c r="D461" t="inlineStr">
        <is>
          <t>Capital Goods</t>
        </is>
      </c>
    </row>
    <row r="462">
      <c r="A462" t="n">
        <v>457</v>
      </c>
      <c r="B462" t="inlineStr">
        <is>
          <t>Timken India Ltd.</t>
        </is>
      </c>
      <c r="C462" t="inlineStr">
        <is>
          <t>TIMKEN</t>
        </is>
      </c>
      <c r="D462" t="inlineStr">
        <is>
          <t>Capital Goods</t>
        </is>
      </c>
    </row>
    <row r="463">
      <c r="A463" t="n">
        <v>458</v>
      </c>
      <c r="B463" t="inlineStr">
        <is>
          <t>Titagarh Rail Systems Ltd.</t>
        </is>
      </c>
      <c r="C463" t="inlineStr">
        <is>
          <t>TITAGARH</t>
        </is>
      </c>
      <c r="D463" t="inlineStr">
        <is>
          <t>Capital Goods</t>
        </is>
      </c>
    </row>
    <row r="464">
      <c r="A464" t="n">
        <v>459</v>
      </c>
      <c r="B464" t="inlineStr">
        <is>
          <t>Titan Company Ltd.</t>
        </is>
      </c>
      <c r="C464" t="inlineStr">
        <is>
          <t>TITAN</t>
        </is>
      </c>
      <c r="D464" t="inlineStr">
        <is>
          <t>Consumer Durables</t>
        </is>
      </c>
    </row>
    <row r="465">
      <c r="A465" t="n">
        <v>460</v>
      </c>
      <c r="B465" t="inlineStr">
        <is>
          <t>Torrent Pharmaceuticals Ltd.</t>
        </is>
      </c>
      <c r="C465" t="inlineStr">
        <is>
          <t>TORNTPHARM</t>
        </is>
      </c>
      <c r="D465" t="inlineStr">
        <is>
          <t>Healthcare</t>
        </is>
      </c>
    </row>
    <row r="466">
      <c r="A466" t="n">
        <v>461</v>
      </c>
      <c r="B466" t="inlineStr">
        <is>
          <t>Torrent Power Ltd.</t>
        </is>
      </c>
      <c r="C466" t="inlineStr">
        <is>
          <t>TORNTPOWER</t>
        </is>
      </c>
      <c r="D466" t="inlineStr">
        <is>
          <t>Power</t>
        </is>
      </c>
    </row>
    <row r="467">
      <c r="A467" t="n">
        <v>462</v>
      </c>
      <c r="B467" t="inlineStr">
        <is>
          <t>Transformers And Rectifiers (India) Ltd.</t>
        </is>
      </c>
      <c r="C467" t="inlineStr">
        <is>
          <t>TARIL</t>
        </is>
      </c>
      <c r="D467" t="inlineStr">
        <is>
          <t>Capital Goods</t>
        </is>
      </c>
    </row>
    <row r="468">
      <c r="A468" t="n">
        <v>463</v>
      </c>
      <c r="B468" t="inlineStr">
        <is>
          <t>Trent Ltd.</t>
        </is>
      </c>
      <c r="C468" t="inlineStr">
        <is>
          <t>TRENT</t>
        </is>
      </c>
      <c r="D468" t="inlineStr">
        <is>
          <t>Consumer Services</t>
        </is>
      </c>
    </row>
    <row r="469">
      <c r="A469" t="n">
        <v>464</v>
      </c>
      <c r="B469" t="inlineStr">
        <is>
          <t>Trident Ltd.</t>
        </is>
      </c>
      <c r="C469" t="inlineStr">
        <is>
          <t>TRIDENT</t>
        </is>
      </c>
      <c r="D469" t="inlineStr">
        <is>
          <t>Textiles</t>
        </is>
      </c>
    </row>
    <row r="470">
      <c r="A470" t="n">
        <v>465</v>
      </c>
      <c r="B470" t="inlineStr">
        <is>
          <t>Triveni Turbine Ltd.</t>
        </is>
      </c>
      <c r="C470" t="inlineStr">
        <is>
          <t>TRITURBINE</t>
        </is>
      </c>
      <c r="D470" t="inlineStr">
        <is>
          <t>Capital Goods</t>
        </is>
      </c>
    </row>
    <row r="471">
      <c r="A471" t="n">
        <v>466</v>
      </c>
      <c r="B471" t="inlineStr">
        <is>
          <t>Tube Investments of India Ltd.</t>
        </is>
      </c>
      <c r="C471" t="inlineStr">
        <is>
          <t>TIINDIA</t>
        </is>
      </c>
      <c r="D471" t="inlineStr">
        <is>
          <t>Automobile and Auto Components</t>
        </is>
      </c>
    </row>
    <row r="472">
      <c r="A472" t="n">
        <v>467</v>
      </c>
      <c r="B472" t="inlineStr">
        <is>
          <t>TVS Motor Company Ltd.</t>
        </is>
      </c>
      <c r="C472" t="inlineStr">
        <is>
          <t>TVSMOTOR</t>
        </is>
      </c>
      <c r="D472" t="inlineStr">
        <is>
          <t>Automobile and Auto Components</t>
        </is>
      </c>
    </row>
    <row r="473">
      <c r="A473" t="n">
        <v>468</v>
      </c>
      <c r="B473" t="inlineStr">
        <is>
          <t>UCO Bank</t>
        </is>
      </c>
      <c r="C473" t="inlineStr">
        <is>
          <t>UCOBANK</t>
        </is>
      </c>
      <c r="D473" t="inlineStr">
        <is>
          <t>Financial Services</t>
        </is>
      </c>
    </row>
    <row r="474">
      <c r="A474" t="n">
        <v>469</v>
      </c>
      <c r="B474" t="inlineStr">
        <is>
          <t>UltraTech Cement Ltd.</t>
        </is>
      </c>
      <c r="C474" t="inlineStr">
        <is>
          <t>ULTRACEMCO</t>
        </is>
      </c>
      <c r="D474" t="inlineStr">
        <is>
          <t>Construction Materials</t>
        </is>
      </c>
    </row>
    <row r="475">
      <c r="A475" t="n">
        <v>470</v>
      </c>
      <c r="B475" t="inlineStr">
        <is>
          <t>Union Bank of India</t>
        </is>
      </c>
      <c r="C475" t="inlineStr">
        <is>
          <t>UNIONBANK</t>
        </is>
      </c>
      <c r="D475" t="inlineStr">
        <is>
          <t>Financial Services</t>
        </is>
      </c>
    </row>
    <row r="476">
      <c r="A476" t="n">
        <v>471</v>
      </c>
      <c r="B476" t="inlineStr">
        <is>
          <t>United Breweries Ltd.</t>
        </is>
      </c>
      <c r="C476" t="inlineStr">
        <is>
          <t>UBL</t>
        </is>
      </c>
      <c r="D476" t="inlineStr">
        <is>
          <t>Fast Moving Consumer Goods</t>
        </is>
      </c>
    </row>
    <row r="477">
      <c r="A477" t="n">
        <v>472</v>
      </c>
      <c r="B477" t="inlineStr">
        <is>
          <t>United Spirits Ltd.</t>
        </is>
      </c>
      <c r="C477" t="inlineStr">
        <is>
          <t>UNITDSPR</t>
        </is>
      </c>
      <c r="D477" t="inlineStr">
        <is>
          <t>Fast Moving Consumer Goods</t>
        </is>
      </c>
    </row>
    <row r="478">
      <c r="A478" t="n">
        <v>473</v>
      </c>
      <c r="B478" t="inlineStr">
        <is>
          <t>UNO Minda Ltd.</t>
        </is>
      </c>
      <c r="C478" t="inlineStr">
        <is>
          <t>UNOMINDA</t>
        </is>
      </c>
      <c r="D478" t="inlineStr">
        <is>
          <t>Automobile and Auto Components</t>
        </is>
      </c>
    </row>
    <row r="479">
      <c r="A479" t="n">
        <v>474</v>
      </c>
      <c r="B479" t="inlineStr">
        <is>
          <t>UPL Ltd.</t>
        </is>
      </c>
      <c r="C479" t="inlineStr">
        <is>
          <t>UPL</t>
        </is>
      </c>
      <c r="D479" t="inlineStr">
        <is>
          <t>Chemicals</t>
        </is>
      </c>
    </row>
    <row r="480">
      <c r="A480" t="n">
        <v>475</v>
      </c>
      <c r="B480" t="inlineStr">
        <is>
          <t>Urban Company Ltd.</t>
        </is>
      </c>
      <c r="C480" t="inlineStr">
        <is>
          <t>URBANCO</t>
        </is>
      </c>
      <c r="D480" t="inlineStr">
        <is>
          <t>Consumer Services</t>
        </is>
      </c>
    </row>
    <row r="481">
      <c r="A481" t="n">
        <v>476</v>
      </c>
      <c r="B481" t="inlineStr">
        <is>
          <t>Usha Martin Ltd.</t>
        </is>
      </c>
      <c r="C481" t="inlineStr">
        <is>
          <t>USHAMART</t>
        </is>
      </c>
      <c r="D481" t="inlineStr">
        <is>
          <t>Capital Goods</t>
        </is>
      </c>
    </row>
    <row r="482">
      <c r="A482" t="n">
        <v>477</v>
      </c>
      <c r="B482" t="inlineStr">
        <is>
          <t>UTI Asset Management Company Ltd.</t>
        </is>
      </c>
      <c r="C482" t="inlineStr">
        <is>
          <t>UTIAMC</t>
        </is>
      </c>
      <c r="D482" t="inlineStr">
        <is>
          <t>Financial Services</t>
        </is>
      </c>
    </row>
    <row r="483">
      <c r="A483" t="n">
        <v>478</v>
      </c>
      <c r="B483" t="inlineStr">
        <is>
          <t>Vardhman Textiles Ltd.</t>
        </is>
      </c>
      <c r="C483" t="inlineStr">
        <is>
          <t>VTL</t>
        </is>
      </c>
      <c r="D483" t="inlineStr">
        <is>
          <t>Textiles</t>
        </is>
      </c>
    </row>
    <row r="484">
      <c r="A484" t="n">
        <v>479</v>
      </c>
      <c r="B484" t="inlineStr">
        <is>
          <t>Varun Beverages Ltd.</t>
        </is>
      </c>
      <c r="C484" t="inlineStr">
        <is>
          <t>VBL</t>
        </is>
      </c>
      <c r="D484" t="inlineStr">
        <is>
          <t>Fast Moving Consumer Goods</t>
        </is>
      </c>
    </row>
    <row r="485">
      <c r="A485" t="n">
        <v>480</v>
      </c>
      <c r="B485" t="inlineStr">
        <is>
          <t>Vedanta Aluminium Metal Ltd.</t>
        </is>
      </c>
      <c r="C485" t="inlineStr">
        <is>
          <t>VAML</t>
        </is>
      </c>
      <c r="D485" t="inlineStr">
        <is>
          <t>Metals &amp; Mining</t>
        </is>
      </c>
    </row>
    <row r="486">
      <c r="A486" t="n">
        <v>481</v>
      </c>
      <c r="B486" t="inlineStr">
        <is>
          <t>Vedanta Iron and Steel Ltd.</t>
        </is>
      </c>
      <c r="C486" t="inlineStr">
        <is>
          <t>VISL</t>
        </is>
      </c>
      <c r="D486" t="inlineStr">
        <is>
          <t>Metals &amp; Mining</t>
        </is>
      </c>
    </row>
    <row r="487">
      <c r="A487" t="n">
        <v>482</v>
      </c>
      <c r="B487" t="inlineStr">
        <is>
          <t>Vedanta Ltd.</t>
        </is>
      </c>
      <c r="C487" t="inlineStr">
        <is>
          <t>VEDL</t>
        </is>
      </c>
      <c r="D487" t="inlineStr">
        <is>
          <t>Metals &amp; Mining</t>
        </is>
      </c>
    </row>
    <row r="488">
      <c r="A488" t="n">
        <v>483</v>
      </c>
      <c r="B488" t="inlineStr">
        <is>
          <t>Vedanta Oil and Gas Ltd.</t>
        </is>
      </c>
      <c r="C488" t="inlineStr">
        <is>
          <t>VOGL</t>
        </is>
      </c>
      <c r="D488" t="inlineStr">
        <is>
          <t>Oil Gas &amp; Consumable Fuels</t>
        </is>
      </c>
    </row>
    <row r="489">
      <c r="A489" t="n">
        <v>484</v>
      </c>
      <c r="B489" t="inlineStr">
        <is>
          <t>Vedanta Power Ltd.</t>
        </is>
      </c>
      <c r="C489" t="inlineStr">
        <is>
          <t>VEDPOWER</t>
        </is>
      </c>
      <c r="D489" t="inlineStr">
        <is>
          <t>Power</t>
        </is>
      </c>
    </row>
    <row r="490">
      <c r="A490" t="n">
        <v>485</v>
      </c>
      <c r="B490" t="inlineStr">
        <is>
          <t>Vijaya Diagnostic Centre Ltd.</t>
        </is>
      </c>
      <c r="C490" t="inlineStr">
        <is>
          <t>VIJAYA</t>
        </is>
      </c>
      <c r="D490" t="inlineStr">
        <is>
          <t>Healthcare</t>
        </is>
      </c>
    </row>
    <row r="491">
      <c r="A491" t="n">
        <v>486</v>
      </c>
      <c r="B491" t="inlineStr">
        <is>
          <t>Vishal Mega Mart Ltd.</t>
        </is>
      </c>
      <c r="C491" t="inlineStr">
        <is>
          <t>VMM</t>
        </is>
      </c>
      <c r="D491" t="inlineStr">
        <is>
          <t>Consumer Services</t>
        </is>
      </c>
    </row>
    <row r="492">
      <c r="A492" t="n">
        <v>487</v>
      </c>
      <c r="B492" t="inlineStr">
        <is>
          <t>Vodafone Idea Ltd.</t>
        </is>
      </c>
      <c r="C492" t="inlineStr">
        <is>
          <t>IDEA</t>
        </is>
      </c>
      <c r="D492" t="inlineStr">
        <is>
          <t>Telecommunication</t>
        </is>
      </c>
    </row>
    <row r="493">
      <c r="A493" t="n">
        <v>488</v>
      </c>
      <c r="B493" t="inlineStr">
        <is>
          <t>Voltas Ltd.</t>
        </is>
      </c>
      <c r="C493" t="inlineStr">
        <is>
          <t>VOLTAS</t>
        </is>
      </c>
      <c r="D493" t="inlineStr">
        <is>
          <t>Consumer Durables</t>
        </is>
      </c>
    </row>
    <row r="494">
      <c r="A494" t="n">
        <v>489</v>
      </c>
      <c r="B494" t="inlineStr">
        <is>
          <t>Waaree Energies Ltd.</t>
        </is>
      </c>
      <c r="C494" t="inlineStr">
        <is>
          <t>WAAREEENER</t>
        </is>
      </c>
      <c r="D494" t="inlineStr">
        <is>
          <t>Capital Goods</t>
        </is>
      </c>
    </row>
    <row r="495">
      <c r="A495" t="n">
        <v>490</v>
      </c>
      <c r="B495" t="inlineStr">
        <is>
          <t>Welspun Corp Ltd.</t>
        </is>
      </c>
      <c r="C495" t="inlineStr">
        <is>
          <t>WELCORP</t>
        </is>
      </c>
      <c r="D495" t="inlineStr">
        <is>
          <t>Capital Goods</t>
        </is>
      </c>
    </row>
    <row r="496">
      <c r="A496" t="n">
        <v>491</v>
      </c>
      <c r="B496" t="inlineStr">
        <is>
          <t>Welspun Living Ltd.</t>
        </is>
      </c>
      <c r="C496" t="inlineStr">
        <is>
          <t>WELSPUNLIV</t>
        </is>
      </c>
      <c r="D496" t="inlineStr">
        <is>
          <t>Textiles</t>
        </is>
      </c>
    </row>
    <row r="497">
      <c r="A497" t="n">
        <v>492</v>
      </c>
      <c r="B497" t="inlineStr">
        <is>
          <t>Whirlpool of India Ltd.</t>
        </is>
      </c>
      <c r="C497" t="inlineStr">
        <is>
          <t>WHIRLPOOL</t>
        </is>
      </c>
      <c r="D497" t="inlineStr">
        <is>
          <t>Consumer Durables</t>
        </is>
      </c>
    </row>
    <row r="498">
      <c r="A498" t="n">
        <v>493</v>
      </c>
      <c r="B498" t="inlineStr">
        <is>
          <t>Wipro Ltd.</t>
        </is>
      </c>
      <c r="C498" t="inlineStr">
        <is>
          <t>WIPRO</t>
        </is>
      </c>
      <c r="D498" t="inlineStr">
        <is>
          <t>Information Technology</t>
        </is>
      </c>
    </row>
    <row r="499">
      <c r="A499" t="n">
        <v>494</v>
      </c>
      <c r="B499" t="inlineStr">
        <is>
          <t>Wockhardt Ltd.</t>
        </is>
      </c>
      <c r="C499" t="inlineStr">
        <is>
          <t>WOCKPHARMA</t>
        </is>
      </c>
      <c r="D499" t="inlineStr">
        <is>
          <t>Healthcare</t>
        </is>
      </c>
    </row>
    <row r="500">
      <c r="A500" t="n">
        <v>495</v>
      </c>
      <c r="B500" t="inlineStr">
        <is>
          <t>Yes Bank Ltd.</t>
        </is>
      </c>
      <c r="C500" t="inlineStr">
        <is>
          <t>YESBANK</t>
        </is>
      </c>
      <c r="D500" t="inlineStr">
        <is>
          <t>Financial Services</t>
        </is>
      </c>
    </row>
    <row r="501">
      <c r="A501" t="n">
        <v>496</v>
      </c>
      <c r="B501" t="inlineStr">
        <is>
          <t>Zee Entertainment Enterprises Ltd.</t>
        </is>
      </c>
      <c r="C501" t="inlineStr">
        <is>
          <t>ZEEL</t>
        </is>
      </c>
      <c r="D501" t="inlineStr">
        <is>
          <t>Media Entertainment &amp; Publication</t>
        </is>
      </c>
    </row>
    <row r="502">
      <c r="A502" t="n">
        <v>497</v>
      </c>
      <c r="B502" t="inlineStr">
        <is>
          <t>Zen Technologies Ltd.</t>
        </is>
      </c>
      <c r="C502" t="inlineStr">
        <is>
          <t>ZENTEC</t>
        </is>
      </c>
      <c r="D502" t="inlineStr">
        <is>
          <t>Capital Goods</t>
        </is>
      </c>
    </row>
    <row r="503">
      <c r="A503" t="n">
        <v>498</v>
      </c>
      <c r="B503" t="inlineStr">
        <is>
          <t>Zensar Technolgies Ltd.</t>
        </is>
      </c>
      <c r="C503" t="inlineStr">
        <is>
          <t>ZENSARTECH</t>
        </is>
      </c>
      <c r="D503" t="inlineStr">
        <is>
          <t>Information Technology</t>
        </is>
      </c>
    </row>
    <row r="504">
      <c r="A504" t="n">
        <v>499</v>
      </c>
      <c r="B504" t="inlineStr">
        <is>
          <t>ZF Commercial Vehicle Control Systems India Ltd.</t>
        </is>
      </c>
      <c r="C504" t="inlineStr">
        <is>
          <t>ZFCVINDIA</t>
        </is>
      </c>
      <c r="D504" t="inlineStr">
        <is>
          <t>Automobile and Auto Components</t>
        </is>
      </c>
    </row>
    <row r="505">
      <c r="A505" t="n">
        <v>500</v>
      </c>
      <c r="B505" t="inlineStr">
        <is>
          <t>Zydus Lifesciences Ltd.</t>
        </is>
      </c>
      <c r="C505" t="inlineStr">
        <is>
          <t>ZYDUSLIFE</t>
        </is>
      </c>
      <c r="D505" t="inlineStr">
        <is>
          <t>Healthcare</t>
        </is>
      </c>
    </row>
    <row r="506">
      <c r="A506" t="n">
        <v>501</v>
      </c>
      <c r="B506" t="inlineStr">
        <is>
          <t>Zydus Wellness Ltd.</t>
        </is>
      </c>
      <c r="C506" t="inlineStr">
        <is>
          <t>ZYDUSWELL</t>
        </is>
      </c>
      <c r="D506" t="inlineStr">
        <is>
          <t>Fast Moving Consumer Goods</t>
        </is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2026-10-15T17:22:35Z</dcterms:created>
  <dcterms:modified xsi:type="dcterms:W3CDTF">2026-10-15T17:23:02Z</dcterms:modified>
</cp:coreProperties>
</file>