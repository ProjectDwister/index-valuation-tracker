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Alpha Quality Value Low-Volatility 30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19627.15</v>
      </c>
      <c r="D5" s="2" t="inlineStr">
        <is>
          <t>P/E</t>
        </is>
      </c>
      <c r="E5" s="7" t="n">
        <v>16.24</v>
      </c>
    </row>
    <row r="6">
      <c r="A6" s="2" t="inlineStr">
        <is>
          <t>P/E percentile</t>
        </is>
      </c>
      <c r="B6" s="8" t="n">
        <v>0.09848484848484848</v>
      </c>
      <c r="D6" s="2" t="inlineStr">
        <is>
          <t>Implied EPS</t>
        </is>
      </c>
      <c r="E6" s="9" t="n">
        <v>1208.568349753695</v>
      </c>
    </row>
    <row r="7">
      <c r="A7" s="2" t="inlineStr">
        <is>
          <t>YoY implied EPS growth</t>
        </is>
      </c>
      <c r="B7" s="8" t="n">
        <v>0.4210730312030253</v>
      </c>
      <c r="D7" s="2" t="inlineStr">
        <is>
          <t>Earnings yield</t>
        </is>
      </c>
      <c r="E7" s="10" t="n">
        <v>0.06157635467980296</v>
      </c>
    </row>
    <row r="8">
      <c r="A8" s="2" t="inlineStr">
        <is>
          <t>Valuation score</t>
        </is>
      </c>
      <c r="B8" s="11" t="n">
        <v>90.15151515151516</v>
      </c>
      <c r="D8" s="2" t="inlineStr">
        <is>
          <t>Growth score</t>
        </is>
      </c>
      <c r="E8" s="11" t="n">
        <v>100</v>
      </c>
    </row>
    <row r="9">
      <c r="A9" s="2" t="inlineStr">
        <is>
          <t>Composite score</t>
        </is>
      </c>
      <c r="B9" s="11" t="n">
        <v>93.10606060606059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19.88428571428571</v>
      </c>
      <c r="C13" s="15" t="n">
        <v>24031.51837174525</v>
      </c>
      <c r="D13" s="16" t="n">
        <v>0.2244018296973962</v>
      </c>
    </row>
    <row r="14">
      <c r="A14" t="inlineStr">
        <is>
          <t>HOLD → SELL</t>
        </is>
      </c>
      <c r="B14" s="14" t="n">
        <v>24.38571428571429</v>
      </c>
      <c r="C14" s="15" t="n">
        <v>29471.80247185081</v>
      </c>
      <c r="D14" s="16" t="n">
        <v>0.5015833919774808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16" t="n">
        <v>0.5139281228435113</v>
      </c>
      <c r="D18" s="16" t="n">
        <v>0.2333119526577105</v>
      </c>
      <c r="E18" s="16" t="n">
        <v>0.2512250461377193</v>
      </c>
      <c r="F18" s="16" t="n"/>
      <c r="G18" s="16" t="n">
        <v>0</v>
      </c>
    </row>
    <row r="19">
      <c r="A19" t="inlineStr">
        <is>
          <t>Q2</t>
        </is>
      </c>
      <c r="B19" t="n">
        <v>7</v>
      </c>
      <c r="C19" s="16" t="n">
        <v>0.2759553123533951</v>
      </c>
      <c r="D19" s="16" t="n">
        <v>0.2273205201071804</v>
      </c>
      <c r="E19" s="16" t="n">
        <v>0.2179114106095108</v>
      </c>
      <c r="F19" s="16" t="n"/>
      <c r="G19" s="16" t="n">
        <v>0</v>
      </c>
    </row>
    <row r="20">
      <c r="A20" t="inlineStr">
        <is>
          <t>Q3</t>
        </is>
      </c>
      <c r="B20" t="n">
        <v>8</v>
      </c>
      <c r="C20" s="16" t="n">
        <v>0.04158210140847518</v>
      </c>
      <c r="D20" s="16" t="n">
        <v>0.1505962565443759</v>
      </c>
      <c r="E20" s="16" t="n">
        <v>0.2359175641577784</v>
      </c>
      <c r="F20" s="16" t="n"/>
      <c r="G20" s="16" t="n">
        <v>0</v>
      </c>
    </row>
    <row r="21">
      <c r="A21" t="inlineStr">
        <is>
          <t>Q4</t>
        </is>
      </c>
      <c r="B21" t="n">
        <v>7</v>
      </c>
      <c r="C21" s="16" t="n">
        <v>-0.00047578670368148</v>
      </c>
      <c r="D21" s="16" t="n">
        <v>0.1580333614610401</v>
      </c>
      <c r="E21" s="16" t="n">
        <v>0.1517848882801471</v>
      </c>
      <c r="F21" s="16" t="n"/>
      <c r="G21" s="16" t="n">
        <v>0</v>
      </c>
    </row>
    <row r="22">
      <c r="A22" t="inlineStr">
        <is>
          <t>Q5 Most Expensive</t>
        </is>
      </c>
      <c r="B22" t="n">
        <v>8</v>
      </c>
      <c r="C22" s="16" t="n">
        <v>0.01950708306457694</v>
      </c>
      <c r="D22" s="16" t="n">
        <v>0.2034414253706042</v>
      </c>
      <c r="E22" s="16" t="n">
        <v>0.1506948051896606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36</v>
      </c>
    </row>
    <row r="27">
      <c r="A27" s="2" t="inlineStr">
        <is>
          <t>Backtest start</t>
        </is>
      </c>
      <c r="B27" t="inlineStr">
        <is>
          <t>2017-09-30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9154.559999999999</v>
      </c>
      <c r="C2" s="7" t="n">
        <v>22.68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9781.629999999999</v>
      </c>
      <c r="C3" s="7" t="n">
        <v>23.69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10090.67</v>
      </c>
      <c r="C4" s="7" t="n">
        <v>23.41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10248.72</v>
      </c>
      <c r="C5" s="7" t="n">
        <v>23.24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10933.68</v>
      </c>
      <c r="C6" s="7" t="n">
        <v>23.89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11255.08</v>
      </c>
      <c r="C7" s="7" t="n">
        <v>24.59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10886.49</v>
      </c>
      <c r="C8" s="7" t="n">
        <v>23.32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10619.82</v>
      </c>
      <c r="C9" s="7" t="n">
        <v>22.55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11074.59</v>
      </c>
      <c r="C10" s="7" t="n">
        <v>21.85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10684.32</v>
      </c>
      <c r="C11" s="7" t="n">
        <v>21.1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10424.34</v>
      </c>
      <c r="C12" s="7" t="n">
        <v>20.16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10701.1</v>
      </c>
      <c r="C13" s="7" t="n">
        <v>20.69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10674.56</v>
      </c>
      <c r="C14" s="7" t="n">
        <v>20.53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10511.67</v>
      </c>
      <c r="C15" s="7" t="n">
        <v>19.79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10018.88</v>
      </c>
      <c r="C16" s="7" t="n">
        <v>18.12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10967.88</v>
      </c>
      <c r="C17" s="7" t="n">
        <v>19.9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11268.99</v>
      </c>
      <c r="C18" s="7" t="n">
        <v>19.59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11105.53</v>
      </c>
      <c r="C19" s="7" t="n">
        <v>18.06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11478.59</v>
      </c>
      <c r="C20" s="7" t="n">
        <v>18.84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11883.74</v>
      </c>
      <c r="C21" s="7" t="n">
        <v>19.02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11435.95</v>
      </c>
      <c r="C22" s="7" t="n">
        <v>14.86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11286.06</v>
      </c>
      <c r="C23" s="7" t="n">
        <v>14.57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11207.2</v>
      </c>
      <c r="C24" s="7" t="n">
        <v>14.03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11392.81</v>
      </c>
      <c r="C25" s="7" t="n">
        <v>14.26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11914.43</v>
      </c>
      <c r="C26" s="7" t="n">
        <v>14.87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12461.1</v>
      </c>
      <c r="C27" s="7" t="n">
        <v>15.03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13207.13</v>
      </c>
      <c r="C28" s="7" t="n">
        <v>16.66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13822.95</v>
      </c>
      <c r="C29" s="7" t="n">
        <v>17.35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13613.35</v>
      </c>
      <c r="C30" s="7" t="n">
        <v>16.58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14170.16</v>
      </c>
      <c r="C31" s="7" t="n">
        <v>17.24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14008.85</v>
      </c>
      <c r="C32" s="7" t="n">
        <v>16.88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15475.87</v>
      </c>
      <c r="C33" s="7" t="n">
        <v>17.85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16996.76</v>
      </c>
      <c r="C34" s="7" t="n">
        <v>18.18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17912.92</v>
      </c>
      <c r="C35" s="7" t="n">
        <v>18.96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18254.2</v>
      </c>
      <c r="C36" s="7" t="n">
        <v>18.93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18329.04</v>
      </c>
      <c r="C37" s="7" t="n">
        <v>19.01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18896.81</v>
      </c>
      <c r="C38" s="7" t="n">
        <v>19.48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19568.02</v>
      </c>
      <c r="C39" s="7" t="n">
        <v>19.14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20647.43</v>
      </c>
      <c r="C40" s="7" t="n">
        <v>21.75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22326.74</v>
      </c>
      <c r="C41" s="7" t="n">
        <v>23.15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22518.63</v>
      </c>
      <c r="C42" s="7" t="n">
        <v>23.03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22716.73</v>
      </c>
      <c r="C43" s="7" t="n">
        <v>23.24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20949.11</v>
      </c>
      <c r="C44" s="7" t="n">
        <v>21.23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20870.76</v>
      </c>
      <c r="C45" s="7" t="n">
        <v>21.32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20379.55</v>
      </c>
      <c r="C46" s="7" t="n">
        <v>27.01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19961.4</v>
      </c>
      <c r="C47" s="7" t="n">
        <v>26.21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18077.45</v>
      </c>
      <c r="C48" s="7" t="n">
        <v>23.52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19091.2</v>
      </c>
      <c r="C49" s="7" t="n">
        <v>24.82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19722.5</v>
      </c>
      <c r="C50" s="7" t="n">
        <v>25.43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20255.15</v>
      </c>
      <c r="C51" s="7" t="n">
        <v>25.77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20720.9</v>
      </c>
      <c r="C52" s="7" t="n">
        <v>25.09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20380.05</v>
      </c>
      <c r="C53" s="7" t="n">
        <v>24.61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20625.95</v>
      </c>
      <c r="C54" s="7" t="n">
        <v>24.25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20531.15</v>
      </c>
      <c r="C55" s="7" t="n">
        <v>24.15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20972.5</v>
      </c>
      <c r="C56" s="7" t="n">
        <v>24.79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21381.85</v>
      </c>
      <c r="C57" s="7" t="n">
        <v>24.44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21453.15</v>
      </c>
      <c r="C58" s="7" t="n">
        <v>23.77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20838</v>
      </c>
      <c r="C59" s="7" t="n">
        <v>22.79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20686.7</v>
      </c>
      <c r="C60" s="7" t="n">
        <v>22.56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18543.9</v>
      </c>
      <c r="C61" s="7" t="n">
        <v>20.23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20025.55</v>
      </c>
      <c r="C62" s="7" t="n">
        <v>21.61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19802.65</v>
      </c>
      <c r="C63" s="7" t="n">
        <v>21.19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19921.05</v>
      </c>
      <c r="C64" s="7" t="n">
        <v>16.61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20544.15</v>
      </c>
      <c r="C65" s="7" t="n">
        <v>16.98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20212.2</v>
      </c>
      <c r="C66" s="7" t="n">
        <v>16.72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43008</v>
      </c>
      <c r="B2" s="6" t="n">
        <v>6428.23</v>
      </c>
      <c r="C2" s="7" t="n">
        <v>19.84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IF(C2="","",(COUNTIFS($D$2:$D$37,D2,$C$2:$C$37,"&gt;0",$C$2:$C$37,"&lt;"&amp;C2)+(COUNTIFS($D$2:$D$37,D2,$C$2:$C$37,C2)+1)/2)/COUNTIFS($D$2:$D$37,D2,$C$2:$C$37,"&gt;0"))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43100</v>
      </c>
      <c r="B3" s="6" t="n">
        <v>7087.55</v>
      </c>
      <c r="C3" s="7" t="n">
        <v>24.47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IF(C3="","",(COUNTIFS($D$2:$D$37,D3,$C$2:$C$37,"&gt;0",$C$2:$C$37,"&lt;"&amp;C3)+(COUNTIFS($D$2:$D$37,D3,$C$2:$C$37,C3)+1)/2)/COUNTIFS($D$2:$D$37,D3,$C$2:$C$37,"&gt;0"))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43190</v>
      </c>
      <c r="B4" s="6" t="n">
        <v>6865.65</v>
      </c>
      <c r="C4" s="7" t="n">
        <v>22.55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IF(C4="","",(COUNTIFS($D$2:$D$37,D4,$C$2:$C$37,"&gt;0",$C$2:$C$37,"&lt;"&amp;C4)+(COUNTIFS($D$2:$D$37,D4,$C$2:$C$37,C4)+1)/2)/COUNTIFS($D$2:$D$37,D4,$C$2:$C$37,"&gt;0"))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43281</v>
      </c>
      <c r="B5" s="6" t="n">
        <v>7023.09</v>
      </c>
      <c r="C5" s="7" t="n">
        <v>26.78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IF(C5="","",(COUNTIFS($D$2:$D$37,D5,$C$2:$C$37,"&gt;0",$C$2:$C$37,"&lt;"&amp;C5)+(COUNTIFS($D$2:$D$37,D5,$C$2:$C$37,C5)+1)/2)/COUNTIFS($D$2:$D$37,D5,$C$2:$C$37,"&gt;0"))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43373</v>
      </c>
      <c r="B6" s="6" t="n">
        <v>7023.83</v>
      </c>
      <c r="C6" s="7" t="n">
        <v>27.8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IF(C6="","",(COUNTIFS($D$2:$D$37,D6,$C$2:$C$37,"&gt;0",$C$2:$C$37,"&lt;"&amp;C6)+(COUNTIFS($D$2:$D$37,D6,$C$2:$C$37,C6)+1)/2)/COUNTIFS($D$2:$D$37,D6,$C$2:$C$37,"&gt;0"))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43465</v>
      </c>
      <c r="B7" s="6" t="n">
        <v>7131.23</v>
      </c>
      <c r="C7" s="7" t="n">
        <v>24.58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IF(C7="","",(COUNTIFS($D$2:$D$37,D7,$C$2:$C$37,"&gt;0",$C$2:$C$37,"&lt;"&amp;C7)+(COUNTIFS($D$2:$D$37,D7,$C$2:$C$37,C7)+1)/2)/COUNTIFS($D$2:$D$37,D7,$C$2:$C$37,"&gt;0"))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43555</v>
      </c>
      <c r="B8" s="6" t="n">
        <v>7310.94</v>
      </c>
      <c r="C8" s="7" t="n">
        <v>23.86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IF(C8="","",(COUNTIFS($D$2:$D$37,D8,$C$2:$C$37,"&gt;0",$C$2:$C$37,"&lt;"&amp;C8)+(COUNTIFS($D$2:$D$37,D8,$C$2:$C$37,C8)+1)/2)/COUNTIFS($D$2:$D$37,D8,$C$2:$C$37,"&gt;0"))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43646</v>
      </c>
      <c r="B9" s="6" t="n">
        <v>7160.09</v>
      </c>
      <c r="C9" s="7" t="n">
        <v>22.46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IF(C9="","",(COUNTIFS($D$2:$D$37,D9,$C$2:$C$37,"&gt;0",$C$2:$C$37,"&lt;"&amp;C9)+(COUNTIFS($D$2:$D$37,D9,$C$2:$C$37,C9)+1)/2)/COUNTIFS($D$2:$D$37,D9,$C$2:$C$37,"&gt;0"))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43738</v>
      </c>
      <c r="B10" s="6" t="n">
        <v>7290.72</v>
      </c>
      <c r="C10" s="7" t="n">
        <v>21.3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IF(C10="","",(COUNTIFS($D$2:$D$37,D10,$C$2:$C$37,"&gt;0",$C$2:$C$37,"&lt;"&amp;C10)+(COUNTIFS($D$2:$D$37,D10,$C$2:$C$37,C10)+1)/2)/COUNTIFS($D$2:$D$37,D10,$C$2:$C$37,"&gt;0"))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43830</v>
      </c>
      <c r="B11" s="6" t="n">
        <v>7290.46</v>
      </c>
      <c r="C11" s="7" t="n">
        <v>20.12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IF(C11="","",(COUNTIFS($D$2:$D$37,D11,$C$2:$C$37,"&gt;0",$C$2:$C$37,"&lt;"&amp;C11)+(COUNTIFS($D$2:$D$37,D11,$C$2:$C$37,C11)+1)/2)/COUNTIFS($D$2:$D$37,D11,$C$2:$C$37,"&gt;0"))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43921</v>
      </c>
      <c r="B12" s="6" t="n">
        <v>6042.81</v>
      </c>
      <c r="C12" s="7" t="n">
        <v>16.88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IF(C12="","",(COUNTIFS($D$2:$D$37,D12,$C$2:$C$37,"&gt;0",$C$2:$C$37,"&lt;"&amp;C12)+(COUNTIFS($D$2:$D$37,D12,$C$2:$C$37,C12)+1)/2)/COUNTIFS($D$2:$D$37,D12,$C$2:$C$37,"&gt;0"))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44012</v>
      </c>
      <c r="B13" s="6" t="n">
        <v>6961.87</v>
      </c>
      <c r="C13" s="7" t="n">
        <v>19.03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IF(C13="","",(COUNTIFS($D$2:$D$37,D13,$C$2:$C$37,"&gt;0",$C$2:$C$37,"&lt;"&amp;C13)+(COUNTIFS($D$2:$D$37,D13,$C$2:$C$37,C13)+1)/2)/COUNTIFS($D$2:$D$37,D13,$C$2:$C$37,"&gt;0"))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44104</v>
      </c>
      <c r="B14" s="6" t="n">
        <v>7661.87</v>
      </c>
      <c r="C14" s="7" t="n">
        <v>21.26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IF(C14="","",(COUNTIFS($D$2:$D$37,D14,$C$2:$C$37,"&gt;0",$C$2:$C$37,"&lt;"&amp;C14)+(COUNTIFS($D$2:$D$37,D14,$C$2:$C$37,C14)+1)/2)/COUNTIFS($D$2:$D$37,D14,$C$2:$C$37,"&gt;0"))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44196</v>
      </c>
      <c r="B15" s="6" t="n">
        <v>8986.4</v>
      </c>
      <c r="C15" s="7" t="n">
        <v>24.71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IF(C15="","",(COUNTIFS($D$2:$D$37,D15,$C$2:$C$37,"&gt;0",$C$2:$C$37,"&lt;"&amp;C15)+(COUNTIFS($D$2:$D$37,D15,$C$2:$C$37,C15)+1)/2)/COUNTIFS($D$2:$D$37,D15,$C$2:$C$37,"&gt;0"))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44286</v>
      </c>
      <c r="B16" s="6" t="n">
        <v>9148.379999999999</v>
      </c>
      <c r="C16" s="7" t="n">
        <v>22.73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IF(C16="","",(COUNTIFS($D$2:$D$37,D16,$C$2:$C$37,"&gt;0",$C$2:$C$37,"&lt;"&amp;C16)+(COUNTIFS($D$2:$D$37,D16,$C$2:$C$37,C16)+1)/2)/COUNTIFS($D$2:$D$37,D16,$C$2:$C$37,"&gt;0"))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44377</v>
      </c>
      <c r="B17" s="6" t="n">
        <v>10090.67</v>
      </c>
      <c r="C17" s="7" t="n">
        <v>23.41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IF(C17="","",(COUNTIFS($D$2:$D$37,D17,$C$2:$C$37,"&gt;0",$C$2:$C$37,"&lt;"&amp;C17)+(COUNTIFS($D$2:$D$37,D17,$C$2:$C$37,C17)+1)/2)/COUNTIFS($D$2:$D$37,D17,$C$2:$C$37,"&gt;0"))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44469</v>
      </c>
      <c r="B18" s="6" t="n">
        <v>11255.08</v>
      </c>
      <c r="C18" s="7" t="n">
        <v>24.59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IF(C18="","",(COUNTIFS($D$2:$D$37,D18,$C$2:$C$37,"&gt;0",$C$2:$C$37,"&lt;"&amp;C18)+(COUNTIFS($D$2:$D$37,D18,$C$2:$C$37,C18)+1)/2)/COUNTIFS($D$2:$D$37,D18,$C$2:$C$37,"&gt;0"))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 t="n"/>
      <c r="L18" s="16" t="n"/>
    </row>
    <row r="19">
      <c r="A19" s="18" t="n">
        <v>44561</v>
      </c>
      <c r="B19" s="6" t="n">
        <v>11074.59</v>
      </c>
      <c r="C19" s="7" t="n">
        <v>21.85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IF(C19="","",(COUNTIFS($D$2:$D$37,D19,$C$2:$C$37,"&gt;0",$C$2:$C$37,"&lt;"&amp;C19)+(COUNTIFS($D$2:$D$37,D19,$C$2:$C$37,C19)+1)/2)/COUNTIFS($D$2:$D$37,D19,$C$2:$C$37,"&gt;0"))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 t="n"/>
      <c r="L19" s="16" t="n"/>
    </row>
    <row r="20">
      <c r="A20" s="18" t="n">
        <v>44651</v>
      </c>
      <c r="B20" s="6" t="n">
        <v>10701.1</v>
      </c>
      <c r="C20" s="7" t="n">
        <v>20.69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IF(C20="","",(COUNTIFS($D$2:$D$37,D20,$C$2:$C$37,"&gt;0",$C$2:$C$37,"&lt;"&amp;C20)+(COUNTIFS($D$2:$D$37,D20,$C$2:$C$37,C20)+1)/2)/COUNTIFS($D$2:$D$37,D20,$C$2:$C$37,"&gt;0"))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 t="n"/>
      <c r="L20" s="16" t="n"/>
    </row>
    <row r="21">
      <c r="A21" s="18" t="n">
        <v>44742</v>
      </c>
      <c r="B21" s="6" t="n">
        <v>10018.88</v>
      </c>
      <c r="C21" s="7" t="n">
        <v>18.12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IF(C21="","",(COUNTIFS($D$2:$D$37,D21,$C$2:$C$37,"&gt;0",$C$2:$C$37,"&lt;"&amp;C21)+(COUNTIFS($D$2:$D$37,D21,$C$2:$C$37,C21)+1)/2)/COUNTIFS($D$2:$D$37,D21,$C$2:$C$37,"&gt;0"))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 t="n"/>
      <c r="L21" s="16" t="n"/>
    </row>
    <row r="22">
      <c r="A22" s="18" t="n">
        <v>44834</v>
      </c>
      <c r="B22" s="6" t="n">
        <v>11105.53</v>
      </c>
      <c r="C22" s="7" t="n">
        <v>18.06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IF(C22="","",(COUNTIFS($D$2:$D$37,D22,$C$2:$C$37,"&gt;0",$C$2:$C$37,"&lt;"&amp;C22)+(COUNTIFS($D$2:$D$37,D22,$C$2:$C$37,C22)+1)/2)/COUNTIFS($D$2:$D$37,D22,$C$2:$C$37,"&gt;0"))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 t="n"/>
      <c r="L22" s="16" t="n"/>
    </row>
    <row r="23">
      <c r="A23" s="18" t="n">
        <v>44926</v>
      </c>
      <c r="B23" s="6" t="n">
        <v>11435.95</v>
      </c>
      <c r="C23" s="7" t="n">
        <v>14.86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IF(C23="","",(COUNTIFS($D$2:$D$37,D23,$C$2:$C$37,"&gt;0",$C$2:$C$37,"&lt;"&amp;C23)+(COUNTIFS($D$2:$D$37,D23,$C$2:$C$37,C23)+1)/2)/COUNTIFS($D$2:$D$37,D23,$C$2:$C$37,"&gt;0"))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45016</v>
      </c>
      <c r="B24" s="6" t="n">
        <v>11392.81</v>
      </c>
      <c r="C24" s="7" t="n">
        <v>14.26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IF(C24="","",(COUNTIFS($D$2:$D$37,D24,$C$2:$C$37,"&gt;0",$C$2:$C$37,"&lt;"&amp;C24)+(COUNTIFS($D$2:$D$37,D24,$C$2:$C$37,C24)+1)/2)/COUNTIFS($D$2:$D$37,D24,$C$2:$C$37,"&gt;0"))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 t="n"/>
      <c r="L24" s="16" t="n"/>
    </row>
    <row r="25">
      <c r="A25" s="18" t="n">
        <v>45107</v>
      </c>
      <c r="B25" s="6" t="n">
        <v>13207.13</v>
      </c>
      <c r="C25" s="7" t="n">
        <v>16.66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IF(C25="","",(COUNTIFS($D$2:$D$37,D25,$C$2:$C$37,"&gt;0",$C$2:$C$37,"&lt;"&amp;C25)+(COUNTIFS($D$2:$D$37,D25,$C$2:$C$37,C25)+1)/2)/COUNTIFS($D$2:$D$37,D25,$C$2:$C$37,"&gt;0"))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45199</v>
      </c>
      <c r="B26" s="6" t="n">
        <v>14170.16</v>
      </c>
      <c r="C26" s="7" t="n">
        <v>17.24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IF(C26="","",(COUNTIFS($D$2:$D$37,D26,$C$2:$C$37,"&gt;0",$C$2:$C$37,"&lt;"&amp;C26)+(COUNTIFS($D$2:$D$37,D26,$C$2:$C$37,C26)+1)/2)/COUNTIFS($D$2:$D$37,D26,$C$2:$C$37,"&gt;0"))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 t="n"/>
      <c r="K26" s="16" t="n"/>
      <c r="L26" s="16" t="n"/>
    </row>
    <row r="27">
      <c r="A27" s="18" t="n">
        <v>45291</v>
      </c>
      <c r="B27" s="6" t="n">
        <v>16996.76</v>
      </c>
      <c r="C27" s="7" t="n">
        <v>18.18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IF(C27="","",(COUNTIFS($D$2:$D$37,D27,$C$2:$C$37,"&gt;0",$C$2:$C$37,"&lt;"&amp;C27)+(COUNTIFS($D$2:$D$37,D27,$C$2:$C$37,C27)+1)/2)/COUNTIFS($D$2:$D$37,D27,$C$2:$C$37,"&gt;0"))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 t="n"/>
      <c r="K27" s="16" t="n"/>
      <c r="L27" s="16" t="n"/>
    </row>
    <row r="28">
      <c r="A28" s="18" t="n">
        <v>45382</v>
      </c>
      <c r="B28" s="6" t="n">
        <v>18329.04</v>
      </c>
      <c r="C28" s="7" t="n">
        <v>19.01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IF(C28="","",(COUNTIFS($D$2:$D$37,D28,$C$2:$C$37,"&gt;0",$C$2:$C$37,"&lt;"&amp;C28)+(COUNTIFS($D$2:$D$37,D28,$C$2:$C$37,C28)+1)/2)/COUNTIFS($D$2:$D$37,D28,$C$2:$C$37,"&gt;0"))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 t="n"/>
      <c r="K28" s="16" t="n"/>
      <c r="L28" s="16" t="n"/>
    </row>
    <row r="29">
      <c r="A29" s="18" t="n">
        <v>45473</v>
      </c>
      <c r="B29" s="6" t="n">
        <v>20647.43</v>
      </c>
      <c r="C29" s="7" t="n">
        <v>21.75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IF(C29="","",(COUNTIFS($D$2:$D$37,D29,$C$2:$C$37,"&gt;0",$C$2:$C$37,"&lt;"&amp;C29)+(COUNTIFS($D$2:$D$37,D29,$C$2:$C$37,C29)+1)/2)/COUNTIFS($D$2:$D$37,D29,$C$2:$C$37,"&gt;0"))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 t="n"/>
      <c r="K29" s="16" t="n"/>
      <c r="L29" s="16" t="n"/>
    </row>
    <row r="30">
      <c r="A30" s="18" t="n">
        <v>45565</v>
      </c>
      <c r="B30" s="6" t="n">
        <v>22716.73</v>
      </c>
      <c r="C30" s="7" t="n">
        <v>23.24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IF(C30="","",(COUNTIFS($D$2:$D$37,D30,$C$2:$C$37,"&gt;0",$C$2:$C$37,"&lt;"&amp;C30)+(COUNTIFS($D$2:$D$37,D30,$C$2:$C$37,C30)+1)/2)/COUNTIFS($D$2:$D$37,D30,$C$2:$C$37,"&gt;0"))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 t="n"/>
      <c r="K30" s="16" t="n"/>
      <c r="L30" s="16" t="n"/>
    </row>
    <row r="31">
      <c r="A31" s="18" t="n">
        <v>45657</v>
      </c>
      <c r="B31" s="6" t="n">
        <v>20379.55</v>
      </c>
      <c r="C31" s="7" t="n">
        <v>27.01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IF(C31="","",(COUNTIFS($D$2:$D$37,D31,$C$2:$C$37,"&gt;0",$C$2:$C$37,"&lt;"&amp;C31)+(COUNTIFS($D$2:$D$37,D31,$C$2:$C$37,C31)+1)/2)/COUNTIFS($D$2:$D$37,D31,$C$2:$C$37,"&gt;0"))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45747</v>
      </c>
      <c r="B32" s="6" t="n">
        <v>19091.2</v>
      </c>
      <c r="C32" s="7" t="n">
        <v>24.82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IF(C32="","",(COUNTIFS($D$2:$D$37,D32,$C$2:$C$37,"&gt;0",$C$2:$C$37,"&lt;"&amp;C32)+(COUNTIFS($D$2:$D$37,D32,$C$2:$C$37,C32)+1)/2)/COUNTIFS($D$2:$D$37,D32,$C$2:$C$37,"&gt;0"))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 t="n"/>
      <c r="K32" s="16" t="n"/>
      <c r="L32" s="16" t="n"/>
    </row>
    <row r="33">
      <c r="A33" s="18" t="n">
        <v>45838</v>
      </c>
      <c r="B33" s="6" t="n">
        <v>20720.9</v>
      </c>
      <c r="C33" s="7" t="n">
        <v>25.09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IF(C33="","",(COUNTIFS($D$2:$D$37,D33,$C$2:$C$37,"&gt;0",$C$2:$C$37,"&lt;"&amp;C33)+(COUNTIFS($D$2:$D$37,D33,$C$2:$C$37,C33)+1)/2)/COUNTIFS($D$2:$D$37,D33,$C$2:$C$37,"&gt;0"))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45930</v>
      </c>
      <c r="B34" s="6" t="n">
        <v>20531.15</v>
      </c>
      <c r="C34" s="7" t="n">
        <v>24.15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IF(C34="","",(COUNTIFS($D$2:$D$37,D34,$C$2:$C$37,"&gt;0",$C$2:$C$37,"&lt;"&amp;C34)+(COUNTIFS($D$2:$D$37,D34,$C$2:$C$37,C34)+1)/2)/COUNTIFS($D$2:$D$37,D34,$C$2:$C$37,"&gt;0"))</f>
        <v/>
      </c>
      <c r="H34">
        <f>IF(G34="","",IF(G34&lt;=20%,"Q1 Cheapest",IF(G34&lt;=40%,"Q2",IF(G34&lt;=60%,"Q3",IF(G34&lt;=80%,"Q4","Q5 Most Expensive")))))</f>
        <v/>
      </c>
      <c r="I34" s="16" t="n"/>
      <c r="J34" s="16" t="n"/>
      <c r="K34" s="16" t="n"/>
      <c r="L34" s="16" t="n"/>
    </row>
    <row r="35">
      <c r="A35" s="18" t="n">
        <v>46022</v>
      </c>
      <c r="B35" s="6" t="n">
        <v>21453.15</v>
      </c>
      <c r="C35" s="7" t="n">
        <v>23.77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IF(C35="","",(COUNTIFS($D$2:$D$37,D35,$C$2:$C$37,"&gt;0",$C$2:$C$37,"&lt;"&amp;C35)+(COUNTIFS($D$2:$D$37,D35,$C$2:$C$37,C35)+1)/2)/COUNTIFS($D$2:$D$37,D35,$C$2:$C$37,"&gt;0"))</f>
        <v/>
      </c>
      <c r="H35">
        <f>IF(G35="","",IF(G35&lt;=20%,"Q1 Cheapest",IF(G35&lt;=40%,"Q2",IF(G35&lt;=60%,"Q3",IF(G35&lt;=80%,"Q4","Q5 Most Expensive")))))</f>
        <v/>
      </c>
      <c r="I35" s="16" t="n"/>
      <c r="J35" s="16" t="n"/>
      <c r="K35" s="16" t="n"/>
      <c r="L35" s="16" t="n"/>
    </row>
    <row r="36">
      <c r="A36" s="18" t="n">
        <v>46112</v>
      </c>
      <c r="B36" s="6" t="n">
        <v>18543.9</v>
      </c>
      <c r="C36" s="7" t="n">
        <v>20.23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IF(C36="","",(COUNTIFS($D$2:$D$37,D36,$C$2:$C$37,"&gt;0",$C$2:$C$37,"&lt;"&amp;C36)+(COUNTIFS($D$2:$D$37,D36,$C$2:$C$37,C36)+1)/2)/COUNTIFS($D$2:$D$37,D36,$C$2:$C$37,"&gt;0"))</f>
        <v/>
      </c>
      <c r="H36">
        <f>IF(G36="","",IF(G36&lt;=20%,"Q1 Cheapest",IF(G36&lt;=40%,"Q2",IF(G36&lt;=60%,"Q3",IF(G36&lt;=80%,"Q4","Q5 Most Expensive")))))</f>
        <v/>
      </c>
      <c r="I36" s="16" t="n"/>
      <c r="J36" s="16" t="n"/>
      <c r="K36" s="16" t="n"/>
      <c r="L36" s="16" t="n"/>
    </row>
    <row r="37">
      <c r="A37" s="18" t="n">
        <v>46203</v>
      </c>
      <c r="B37" s="6" t="n">
        <v>19921.05</v>
      </c>
      <c r="C37" s="7" t="n">
        <v>16.61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IF(C37="","",(COUNTIFS($D$2:$D$37,D37,$C$2:$C$37,"&gt;0",$C$2:$C$37,"&lt;"&amp;C37)+(COUNTIFS($D$2:$D$37,D37,$C$2:$C$37,C37)+1)/2)/COUNTIFS($D$2:$D$37,D37,$C$2:$C$37,"&gt;0"))</f>
        <v/>
      </c>
      <c r="H37">
        <f>IF(G37="","",IF(G37&lt;=20%,"Q1 Cheapest",IF(G37&lt;=40%,"Q2",IF(G37&lt;=60%,"Q3",IF(G37&lt;=80%,"Q4","Q5 Most Expensive")))))</f>
        <v/>
      </c>
      <c r="I37" s="16" t="n"/>
      <c r="J37" s="16" t="n"/>
      <c r="K37" s="16" t="n"/>
      <c r="L37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19516.45</v>
      </c>
      <c r="C2" s="7" t="n">
        <v>16.15</v>
      </c>
      <c r="D2" s="8" t="n">
        <v>0.09848484848480001</v>
      </c>
      <c r="E2" s="8" t="n">
        <v>0.421101556449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19627.15</v>
      </c>
      <c r="C3" s="7" t="n">
        <v>16.24</v>
      </c>
      <c r="D3" s="8" t="n">
        <v>0.09848484848480001</v>
      </c>
      <c r="E3" s="8" t="n">
        <v>0.421073031203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2026-09-22T09:39:58Z</dcterms:created>
  <dcterms:modified xsi:type="dcterms:W3CDTF">2026-09-22T09:39:58Z</dcterms:modified>
</cp:coreProperties>
</file>