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quality_value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Quality Value Low-Volatility 30 Valuation Tracker</t>
        </is>
      </c>
    </row>
    <row r="2">
      <c r="A2" s="2" t="inlineStr">
        <is>
          <t>As of</t>
        </is>
      </c>
      <c r="B2" s="23" t="n">
        <v>46308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18805.05</v>
      </c>
      <c r="D5" s="2" t="inlineStr">
        <is>
          <t>P/E</t>
        </is>
      </c>
      <c r="E5" s="25" t="n">
        <v>15.53</v>
      </c>
    </row>
    <row r="6">
      <c r="A6" s="2" t="inlineStr">
        <is>
          <t>P/E percentile</t>
        </is>
      </c>
      <c r="B6" s="26" t="n">
        <v>0.09701492537313433</v>
      </c>
      <c r="D6" s="2" t="inlineStr">
        <is>
          <t>Implied EPS</t>
        </is>
      </c>
      <c r="E6" s="27" t="n">
        <v>1210.885383129427</v>
      </c>
    </row>
    <row r="7">
      <c r="A7" s="2" t="inlineStr">
        <is>
          <t>YoY implied EPS growth</t>
        </is>
      </c>
      <c r="B7" s="26" t="n">
        <v>0.4240804818641333</v>
      </c>
      <c r="D7" s="2" t="inlineStr">
        <is>
          <t>Earnings yield</t>
        </is>
      </c>
      <c r="E7" s="10" t="n">
        <v>0.06439150032195751</v>
      </c>
    </row>
    <row r="8">
      <c r="A8" s="2" t="inlineStr">
        <is>
          <t>Valuation score</t>
        </is>
      </c>
      <c r="B8" s="28" t="n">
        <v>90.29850746268657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93.20895522388059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19.82142857142857</v>
      </c>
      <c r="C13" s="15" t="n">
        <v>24001.47812988685</v>
      </c>
      <c r="D13" s="30" t="n">
        <v>0.2763315242388003</v>
      </c>
    </row>
    <row r="14">
      <c r="A14" t="inlineStr">
        <is>
          <t>HOLD → SELL</t>
        </is>
      </c>
      <c r="B14" s="29" t="n">
        <v>24.35857142857143</v>
      </c>
      <c r="C14" s="15" t="n">
        <v>29495.43809677123</v>
      </c>
      <c r="D14" s="30" t="n">
        <v>0.5684849599852821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0.5000925291048076</v>
      </c>
      <c r="D18" s="30" t="n">
        <v>0.2343413383059733</v>
      </c>
      <c r="E18" s="30" t="n">
        <v>0.2512250461377193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0.297089752538766</v>
      </c>
      <c r="D19" s="30" t="n">
        <v>0.1619098643813</v>
      </c>
      <c r="E19" s="30" t="n">
        <v>0.2179114106095108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0.04624464102179193</v>
      </c>
      <c r="D20" s="30" t="n">
        <v>0.1345450069933184</v>
      </c>
      <c r="E20" s="30" t="n">
        <v>0.2359175641577784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0.00616291948557679</v>
      </c>
      <c r="D21" s="30" t="n">
        <v>0.1917323432218313</v>
      </c>
      <c r="E21" s="30" t="n">
        <v>0.1517848882801471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0.003109874850221406</v>
      </c>
      <c r="D22" s="30" t="n">
        <v>0.2034414253706042</v>
      </c>
      <c r="E22" s="30" t="n">
        <v>0.1426647297439754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9154.559999999999</v>
      </c>
      <c r="C2" s="25" t="n">
        <v>22.68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9781.629999999999</v>
      </c>
      <c r="C3" s="25" t="n">
        <v>23.69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10090.67</v>
      </c>
      <c r="C4" s="25" t="n">
        <v>23.41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10248.72</v>
      </c>
      <c r="C5" s="25" t="n">
        <v>23.24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10933.68</v>
      </c>
      <c r="C6" s="25" t="n">
        <v>23.89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11255.08</v>
      </c>
      <c r="C7" s="25" t="n">
        <v>24.59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10886.49</v>
      </c>
      <c r="C8" s="25" t="n">
        <v>23.32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10619.82</v>
      </c>
      <c r="C9" s="25" t="n">
        <v>22.55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11074.59</v>
      </c>
      <c r="C10" s="25" t="n">
        <v>21.85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10684.32</v>
      </c>
      <c r="C11" s="25" t="n">
        <v>21.1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10424.34</v>
      </c>
      <c r="C12" s="25" t="n">
        <v>20.16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10701.1</v>
      </c>
      <c r="C13" s="25" t="n">
        <v>20.69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10674.56</v>
      </c>
      <c r="C14" s="25" t="n">
        <v>20.53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10511.67</v>
      </c>
      <c r="C15" s="25" t="n">
        <v>19.79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10018.88</v>
      </c>
      <c r="C16" s="25" t="n">
        <v>18.12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10967.88</v>
      </c>
      <c r="C17" s="25" t="n">
        <v>19.9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11268.99</v>
      </c>
      <c r="C18" s="25" t="n">
        <v>19.59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11105.53</v>
      </c>
      <c r="C19" s="25" t="n">
        <v>18.06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11478.59</v>
      </c>
      <c r="C20" s="25" t="n">
        <v>18.84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11883.74</v>
      </c>
      <c r="C21" s="25" t="n">
        <v>19.02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11435.95</v>
      </c>
      <c r="C22" s="25" t="n">
        <v>14.86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11286.06</v>
      </c>
      <c r="C23" s="25" t="n">
        <v>14.57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11207.2</v>
      </c>
      <c r="C24" s="25" t="n">
        <v>14.03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11392.81</v>
      </c>
      <c r="C25" s="25" t="n">
        <v>14.26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11914.43</v>
      </c>
      <c r="C26" s="25" t="n">
        <v>14.87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12461.1</v>
      </c>
      <c r="C27" s="25" t="n">
        <v>15.03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13207.13</v>
      </c>
      <c r="C28" s="25" t="n">
        <v>16.66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13822.95</v>
      </c>
      <c r="C29" s="25" t="n">
        <v>17.35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13613.35</v>
      </c>
      <c r="C30" s="25" t="n">
        <v>16.58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14170.16</v>
      </c>
      <c r="C31" s="25" t="n">
        <v>17.24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14008.85</v>
      </c>
      <c r="C32" s="25" t="n">
        <v>16.88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15475.87</v>
      </c>
      <c r="C33" s="25" t="n">
        <v>17.85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16996.76</v>
      </c>
      <c r="C34" s="25" t="n">
        <v>18.18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17912.92</v>
      </c>
      <c r="C35" s="25" t="n">
        <v>18.96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18254.2</v>
      </c>
      <c r="C36" s="25" t="n">
        <v>18.93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18329.04</v>
      </c>
      <c r="C37" s="25" t="n">
        <v>19.01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18896.81</v>
      </c>
      <c r="C38" s="25" t="n">
        <v>19.48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19568.02</v>
      </c>
      <c r="C39" s="25" t="n">
        <v>19.14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20647.43</v>
      </c>
      <c r="C40" s="25" t="n">
        <v>21.75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22326.74</v>
      </c>
      <c r="C41" s="25" t="n">
        <v>23.15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22518.63</v>
      </c>
      <c r="C42" s="25" t="n">
        <v>23.03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22716.73</v>
      </c>
      <c r="C43" s="25" t="n">
        <v>23.24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20949.11</v>
      </c>
      <c r="C44" s="25" t="n">
        <v>21.23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20870.76</v>
      </c>
      <c r="C45" s="25" t="n">
        <v>21.32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20379.55</v>
      </c>
      <c r="C46" s="25" t="n">
        <v>27.01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19961.4</v>
      </c>
      <c r="C47" s="25" t="n">
        <v>26.21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18077.45</v>
      </c>
      <c r="C48" s="25" t="n">
        <v>23.52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19091.2</v>
      </c>
      <c r="C49" s="25" t="n">
        <v>24.82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19722.5</v>
      </c>
      <c r="C50" s="25" t="n">
        <v>25.43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20255.15</v>
      </c>
      <c r="C51" s="25" t="n">
        <v>25.77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20720.9</v>
      </c>
      <c r="C52" s="25" t="n">
        <v>25.09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20380.05</v>
      </c>
      <c r="C53" s="25" t="n">
        <v>24.61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20625.95</v>
      </c>
      <c r="C54" s="25" t="n">
        <v>24.25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20531.15</v>
      </c>
      <c r="C55" s="25" t="n">
        <v>24.15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20972.5</v>
      </c>
      <c r="C56" s="25" t="n">
        <v>24.79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21381.85</v>
      </c>
      <c r="C57" s="25" t="n">
        <v>24.44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21453.15</v>
      </c>
      <c r="C58" s="25" t="n">
        <v>23.77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20838</v>
      </c>
      <c r="C59" s="25" t="n">
        <v>22.79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20686.7</v>
      </c>
      <c r="C60" s="25" t="n">
        <v>22.56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18543.9</v>
      </c>
      <c r="C61" s="25" t="n">
        <v>20.23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20025.55</v>
      </c>
      <c r="C62" s="25" t="n">
        <v>21.61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19802.65</v>
      </c>
      <c r="C63" s="25" t="n">
        <v>21.19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19921.05</v>
      </c>
      <c r="C64" s="25" t="n">
        <v>16.61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20544.15</v>
      </c>
      <c r="C65" s="25" t="n">
        <v>16.98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20212.2</v>
      </c>
      <c r="C66" s="25" t="n">
        <v>16.72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18997.3</v>
      </c>
      <c r="C67" s="25" t="n">
        <v>15.71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6428.23</v>
      </c>
      <c r="C2" s="25" t="n">
        <v>19.84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IF(C2="","",(COUNTIFS($D$2:$D$38,D2,$C$2:$C$38,"&gt;0",$C$2:$C$38,"&lt;"&amp;C2)+(COUNTIFS($D$2:$D$38,D2,$C$2:$C$38,C2)+1)/2)/COUNTIFS($D$2:$D$38,D2,$C$2:$C$38,"&gt;0"))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7087.55</v>
      </c>
      <c r="C3" s="25" t="n">
        <v>24.47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IF(C3="","",(COUNTIFS($D$2:$D$38,D3,$C$2:$C$38,"&gt;0",$C$2:$C$38,"&lt;"&amp;C3)+(COUNTIFS($D$2:$D$38,D3,$C$2:$C$38,C3)+1)/2)/COUNTIFS($D$2:$D$38,D3,$C$2:$C$38,"&gt;0"))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6865.65</v>
      </c>
      <c r="C4" s="25" t="n">
        <v>22.55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IF(C4="","",(COUNTIFS($D$2:$D$38,D4,$C$2:$C$38,"&gt;0",$C$2:$C$38,"&lt;"&amp;C4)+(COUNTIFS($D$2:$D$38,D4,$C$2:$C$38,C4)+1)/2)/COUNTIFS($D$2:$D$38,D4,$C$2:$C$38,"&gt;0"))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7023.09</v>
      </c>
      <c r="C5" s="25" t="n">
        <v>26.78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IF(C5="","",(COUNTIFS($D$2:$D$38,D5,$C$2:$C$38,"&gt;0",$C$2:$C$38,"&lt;"&amp;C5)+(COUNTIFS($D$2:$D$38,D5,$C$2:$C$38,C5)+1)/2)/COUNTIFS($D$2:$D$38,D5,$C$2:$C$38,"&gt;0"))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7023.83</v>
      </c>
      <c r="C6" s="25" t="n">
        <v>27.8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IF(C6="","",(COUNTIFS($D$2:$D$38,D6,$C$2:$C$38,"&gt;0",$C$2:$C$38,"&lt;"&amp;C6)+(COUNTIFS($D$2:$D$38,D6,$C$2:$C$38,C6)+1)/2)/COUNTIFS($D$2:$D$38,D6,$C$2:$C$38,"&gt;0"))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7131.23</v>
      </c>
      <c r="C7" s="25" t="n">
        <v>24.58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IF(C7="","",(COUNTIFS($D$2:$D$38,D7,$C$2:$C$38,"&gt;0",$C$2:$C$38,"&lt;"&amp;C7)+(COUNTIFS($D$2:$D$38,D7,$C$2:$C$38,C7)+1)/2)/COUNTIFS($D$2:$D$38,D7,$C$2:$C$38,"&gt;0"))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7310.94</v>
      </c>
      <c r="C8" s="25" t="n">
        <v>23.86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IF(C8="","",(COUNTIFS($D$2:$D$38,D8,$C$2:$C$38,"&gt;0",$C$2:$C$38,"&lt;"&amp;C8)+(COUNTIFS($D$2:$D$38,D8,$C$2:$C$38,C8)+1)/2)/COUNTIFS($D$2:$D$38,D8,$C$2:$C$38,"&gt;0"))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7160.09</v>
      </c>
      <c r="C9" s="25" t="n">
        <v>22.46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IF(C9="","",(COUNTIFS($D$2:$D$38,D9,$C$2:$C$38,"&gt;0",$C$2:$C$38,"&lt;"&amp;C9)+(COUNTIFS($D$2:$D$38,D9,$C$2:$C$38,C9)+1)/2)/COUNTIFS($D$2:$D$38,D9,$C$2:$C$38,"&gt;0"))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7290.72</v>
      </c>
      <c r="C10" s="25" t="n">
        <v>21.3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IF(C10="","",(COUNTIFS($D$2:$D$38,D10,$C$2:$C$38,"&gt;0",$C$2:$C$38,"&lt;"&amp;C10)+(COUNTIFS($D$2:$D$38,D10,$C$2:$C$38,C10)+1)/2)/COUNTIFS($D$2:$D$38,D10,$C$2:$C$38,"&gt;0"))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7290.46</v>
      </c>
      <c r="C11" s="25" t="n">
        <v>20.12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IF(C11="","",(COUNTIFS($D$2:$D$38,D11,$C$2:$C$38,"&gt;0",$C$2:$C$38,"&lt;"&amp;C11)+(COUNTIFS($D$2:$D$38,D11,$C$2:$C$38,C11)+1)/2)/COUNTIFS($D$2:$D$38,D11,$C$2:$C$38,"&gt;0"))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6042.81</v>
      </c>
      <c r="C12" s="25" t="n">
        <v>16.88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IF(C12="","",(COUNTIFS($D$2:$D$38,D12,$C$2:$C$38,"&gt;0",$C$2:$C$38,"&lt;"&amp;C12)+(COUNTIFS($D$2:$D$38,D12,$C$2:$C$38,C12)+1)/2)/COUNTIFS($D$2:$D$38,D12,$C$2:$C$38,"&gt;0"))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6961.87</v>
      </c>
      <c r="C13" s="25" t="n">
        <v>19.03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IF(C13="","",(COUNTIFS($D$2:$D$38,D13,$C$2:$C$38,"&gt;0",$C$2:$C$38,"&lt;"&amp;C13)+(COUNTIFS($D$2:$D$38,D13,$C$2:$C$38,C13)+1)/2)/COUNTIFS($D$2:$D$38,D13,$C$2:$C$38,"&gt;0"))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7661.87</v>
      </c>
      <c r="C14" s="25" t="n">
        <v>21.26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IF(C14="","",(COUNTIFS($D$2:$D$38,D14,$C$2:$C$38,"&gt;0",$C$2:$C$38,"&lt;"&amp;C14)+(COUNTIFS($D$2:$D$38,D14,$C$2:$C$38,C14)+1)/2)/COUNTIFS($D$2:$D$38,D14,$C$2:$C$38,"&gt;0"))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8986.4</v>
      </c>
      <c r="C15" s="25" t="n">
        <v>24.71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IF(C15="","",(COUNTIFS($D$2:$D$38,D15,$C$2:$C$38,"&gt;0",$C$2:$C$38,"&lt;"&amp;C15)+(COUNTIFS($D$2:$D$38,D15,$C$2:$C$38,C15)+1)/2)/COUNTIFS($D$2:$D$38,D15,$C$2:$C$38,"&gt;0"))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9148.379999999999</v>
      </c>
      <c r="C16" s="25" t="n">
        <v>22.73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IF(C16="","",(COUNTIFS($D$2:$D$38,D16,$C$2:$C$38,"&gt;0",$C$2:$C$38,"&lt;"&amp;C16)+(COUNTIFS($D$2:$D$38,D16,$C$2:$C$38,C16)+1)/2)/COUNTIFS($D$2:$D$38,D16,$C$2:$C$38,"&gt;0"))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10090.67</v>
      </c>
      <c r="C17" s="25" t="n">
        <v>23.41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IF(C17="","",(COUNTIFS($D$2:$D$38,D17,$C$2:$C$38,"&gt;0",$C$2:$C$38,"&lt;"&amp;C17)+(COUNTIFS($D$2:$D$38,D17,$C$2:$C$38,C17)+1)/2)/COUNTIFS($D$2:$D$38,D17,$C$2:$C$38,"&gt;0"))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11255.08</v>
      </c>
      <c r="C18" s="25" t="n">
        <v>24.59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IF(C18="","",(COUNTIFS($D$2:$D$38,D18,$C$2:$C$38,"&gt;0",$C$2:$C$38,"&lt;"&amp;C18)+(COUNTIFS($D$2:$D$38,D18,$C$2:$C$38,C18)+1)/2)/COUNTIFS($D$2:$D$38,D18,$C$2:$C$38,"&gt;0"))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44561</v>
      </c>
      <c r="B19" s="24" t="n">
        <v>11074.59</v>
      </c>
      <c r="C19" s="25" t="n">
        <v>21.85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IF(C19="","",(COUNTIFS($D$2:$D$38,D19,$C$2:$C$38,"&gt;0",$C$2:$C$38,"&lt;"&amp;C19)+(COUNTIFS($D$2:$D$38,D19,$C$2:$C$38,C19)+1)/2)/COUNTIFS($D$2:$D$38,D19,$C$2:$C$38,"&gt;0"))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10701.1</v>
      </c>
      <c r="C20" s="25" t="n">
        <v>20.69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IF(C20="","",(COUNTIFS($D$2:$D$38,D20,$C$2:$C$38,"&gt;0",$C$2:$C$38,"&lt;"&amp;C20)+(COUNTIFS($D$2:$D$38,D20,$C$2:$C$38,C20)+1)/2)/COUNTIFS($D$2:$D$38,D20,$C$2:$C$38,"&gt;0"))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10018.88</v>
      </c>
      <c r="C21" s="25" t="n">
        <v>18.12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IF(C21="","",(COUNTIFS($D$2:$D$38,D21,$C$2:$C$38,"&gt;0",$C$2:$C$38,"&lt;"&amp;C21)+(COUNTIFS($D$2:$D$38,D21,$C$2:$C$38,C21)+1)/2)/COUNTIFS($D$2:$D$38,D21,$C$2:$C$38,"&gt;0"))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11105.53</v>
      </c>
      <c r="C22" s="25" t="n">
        <v>18.06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IF(C22="","",(COUNTIFS($D$2:$D$38,D22,$C$2:$C$38,"&gt;0",$C$2:$C$38,"&lt;"&amp;C22)+(COUNTIFS($D$2:$D$38,D22,$C$2:$C$38,C22)+1)/2)/COUNTIFS($D$2:$D$38,D22,$C$2:$C$38,"&gt;0"))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11435.95</v>
      </c>
      <c r="C23" s="25" t="n">
        <v>14.86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IF(C23="","",(COUNTIFS($D$2:$D$38,D23,$C$2:$C$38,"&gt;0",$C$2:$C$38,"&lt;"&amp;C23)+(COUNTIFS($D$2:$D$38,D23,$C$2:$C$38,C23)+1)/2)/COUNTIFS($D$2:$D$38,D23,$C$2:$C$38,"&gt;0"))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11392.81</v>
      </c>
      <c r="C24" s="25" t="n">
        <v>14.26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IF(C24="","",(COUNTIFS($D$2:$D$38,D24,$C$2:$C$38,"&gt;0",$C$2:$C$38,"&lt;"&amp;C24)+(COUNTIFS($D$2:$D$38,D24,$C$2:$C$38,C24)+1)/2)/COUNTIFS($D$2:$D$38,D24,$C$2:$C$38,"&gt;0"))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13207.13</v>
      </c>
      <c r="C25" s="25" t="n">
        <v>16.66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IF(C25="","",(COUNTIFS($D$2:$D$38,D25,$C$2:$C$38,"&gt;0",$C$2:$C$38,"&lt;"&amp;C25)+(COUNTIFS($D$2:$D$38,D25,$C$2:$C$38,C25)+1)/2)/COUNTIFS($D$2:$D$38,D25,$C$2:$C$38,"&gt;0"))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14170.16</v>
      </c>
      <c r="C26" s="25" t="n">
        <v>17.24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IF(C26="","",(COUNTIFS($D$2:$D$38,D26,$C$2:$C$38,"&gt;0",$C$2:$C$38,"&lt;"&amp;C26)+(COUNTIFS($D$2:$D$38,D26,$C$2:$C$38,C26)+1)/2)/COUNTIFS($D$2:$D$38,D26,$C$2:$C$38,"&gt;0"))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45291</v>
      </c>
      <c r="B27" s="24" t="n">
        <v>16996.76</v>
      </c>
      <c r="C27" s="25" t="n">
        <v>18.18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IF(C27="","",(COUNTIFS($D$2:$D$38,D27,$C$2:$C$38,"&gt;0",$C$2:$C$38,"&lt;"&amp;C27)+(COUNTIFS($D$2:$D$38,D27,$C$2:$C$38,C27)+1)/2)/COUNTIFS($D$2:$D$38,D27,$C$2:$C$38,"&gt;0"))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18329.04</v>
      </c>
      <c r="C28" s="25" t="n">
        <v>19.01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IF(C28="","",(COUNTIFS($D$2:$D$38,D28,$C$2:$C$38,"&gt;0",$C$2:$C$38,"&lt;"&amp;C28)+(COUNTIFS($D$2:$D$38,D28,$C$2:$C$38,C28)+1)/2)/COUNTIFS($D$2:$D$38,D28,$C$2:$C$38,"&gt;0"))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20647.43</v>
      </c>
      <c r="C29" s="25" t="n">
        <v>21.75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IF(C29="","",(COUNTIFS($D$2:$D$38,D29,$C$2:$C$38,"&gt;0",$C$2:$C$38,"&lt;"&amp;C29)+(COUNTIFS($D$2:$D$38,D29,$C$2:$C$38,C29)+1)/2)/COUNTIFS($D$2:$D$38,D29,$C$2:$C$38,"&gt;0"))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22716.73</v>
      </c>
      <c r="C30" s="25" t="n">
        <v>23.24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IF(C30="","",(COUNTIFS($D$2:$D$38,D30,$C$2:$C$38,"&gt;0",$C$2:$C$38,"&lt;"&amp;C30)+(COUNTIFS($D$2:$D$38,D30,$C$2:$C$38,C30)+1)/2)/COUNTIFS($D$2:$D$38,D30,$C$2:$C$38,"&gt;0"))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20379.55</v>
      </c>
      <c r="C31" s="25" t="n">
        <v>27.01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IF(C31="","",(COUNTIFS($D$2:$D$38,D31,$C$2:$C$38,"&gt;0",$C$2:$C$38,"&lt;"&amp;C31)+(COUNTIFS($D$2:$D$38,D31,$C$2:$C$38,C31)+1)/2)/COUNTIFS($D$2:$D$38,D31,$C$2:$C$38,"&gt;0"))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19091.2</v>
      </c>
      <c r="C32" s="25" t="n">
        <v>24.82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IF(C32="","",(COUNTIFS($D$2:$D$38,D32,$C$2:$C$38,"&gt;0",$C$2:$C$38,"&lt;"&amp;C32)+(COUNTIFS($D$2:$D$38,D32,$C$2:$C$38,C32)+1)/2)/COUNTIFS($D$2:$D$38,D32,$C$2:$C$38,"&gt;0"))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20720.9</v>
      </c>
      <c r="C33" s="25" t="n">
        <v>25.09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IF(C33="","",(COUNTIFS($D$2:$D$38,D33,$C$2:$C$38,"&gt;0",$C$2:$C$38,"&lt;"&amp;C33)+(COUNTIFS($D$2:$D$38,D33,$C$2:$C$38,C33)+1)/2)/COUNTIFS($D$2:$D$38,D33,$C$2:$C$38,"&gt;0"))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20531.15</v>
      </c>
      <c r="C34" s="25" t="n">
        <v>24.15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IF(C34="","",(COUNTIFS($D$2:$D$38,D34,$C$2:$C$38,"&gt;0",$C$2:$C$38,"&lt;"&amp;C34)+(COUNTIFS($D$2:$D$38,D34,$C$2:$C$38,C34)+1)/2)/COUNTIFS($D$2:$D$38,D34,$C$2:$C$38,"&gt;0"))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46022</v>
      </c>
      <c r="B35" s="24" t="n">
        <v>21453.15</v>
      </c>
      <c r="C35" s="25" t="n">
        <v>23.77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IF(C35="","",(COUNTIFS($D$2:$D$38,D35,$C$2:$C$38,"&gt;0",$C$2:$C$38,"&lt;"&amp;C35)+(COUNTIFS($D$2:$D$38,D35,$C$2:$C$38,C35)+1)/2)/COUNTIFS($D$2:$D$38,D35,$C$2:$C$38,"&gt;0"))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18543.9</v>
      </c>
      <c r="C36" s="25" t="n">
        <v>20.23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IF(C36="","",(COUNTIFS($D$2:$D$38,D36,$C$2:$C$38,"&gt;0",$C$2:$C$38,"&lt;"&amp;C36)+(COUNTIFS($D$2:$D$38,D36,$C$2:$C$38,C36)+1)/2)/COUNTIFS($D$2:$D$38,D36,$C$2:$C$38,"&gt;0"))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19921.05</v>
      </c>
      <c r="C37" s="25" t="n">
        <v>16.61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IF(C37="","",(COUNTIFS($D$2:$D$38,D37,$C$2:$C$38,"&gt;0",$C$2:$C$38,"&lt;"&amp;C37)+(COUNTIFS($D$2:$D$38,D37,$C$2:$C$38,C37)+1)/2)/COUNTIFS($D$2:$D$38,D37,$C$2:$C$38,"&gt;0"))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  <row r="38">
      <c r="A38" s="31" t="n">
        <v>46295</v>
      </c>
      <c r="B38" s="24" t="n">
        <v>18997.3</v>
      </c>
      <c r="C38" s="25" t="n">
        <v>15.71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IF(C38="","",(COUNTIFS($D$2:$D$38,D38,$C$2:$C$38,"&gt;0",$C$2:$C$38,"&lt;"&amp;C38)+(COUNTIFS($D$2:$D$38,D38,$C$2:$C$38,C38)+1)/2)/COUNTIFS($D$2:$D$38,D38,$C$2:$C$38,"&gt;0"))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19516.45</v>
      </c>
      <c r="C2" s="25" t="n">
        <v>16.15</v>
      </c>
      <c r="D2" s="26" t="n">
        <v>0.09848484848480001</v>
      </c>
      <c r="E2" s="26" t="n">
        <v>0.421101556449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19627.15</v>
      </c>
      <c r="C3" s="25" t="n">
        <v>16.24</v>
      </c>
      <c r="D3" s="26" t="n">
        <v>0.09848484848480001</v>
      </c>
      <c r="E3" s="26" t="n">
        <v>0.421073031203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19555.6</v>
      </c>
      <c r="C4" s="25" t="n">
        <v>16.18</v>
      </c>
      <c r="D4" s="26" t="n">
        <v>0.09848484848480001</v>
      </c>
      <c r="E4" s="26" t="n">
        <v>0.420827558401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19685.5</v>
      </c>
      <c r="C5" s="25" t="n">
        <v>16.29</v>
      </c>
      <c r="D5" s="26" t="n">
        <v>0.09848484848480001</v>
      </c>
      <c r="E5" s="26" t="n">
        <v>0.420862595465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19505.4</v>
      </c>
      <c r="C6" s="25" t="n">
        <v>16.14</v>
      </c>
      <c r="D6" s="26" t="n">
        <v>0.09848484848480001</v>
      </c>
      <c r="E6" s="26" t="n">
        <v>0.42073450677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19523.65</v>
      </c>
      <c r="C7" s="25" t="n">
        <v>16.15</v>
      </c>
      <c r="D7" s="26" t="n">
        <v>0.09848484848480001</v>
      </c>
      <c r="E7" s="26" t="n">
        <v>0.421227659946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19275.25</v>
      </c>
      <c r="C8" s="25" t="n">
        <v>15.95</v>
      </c>
      <c r="D8" s="26" t="n">
        <v>0.09848484848480001</v>
      </c>
      <c r="E8" s="26" t="n">
        <v>0.420597911184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19138.15</v>
      </c>
      <c r="C9" s="25" t="n">
        <v>15.83</v>
      </c>
      <c r="D9" s="26" t="n">
        <v>0.09848484848480001</v>
      </c>
      <c r="E9" s="26" t="n">
        <v>0.421667209257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18997.3</v>
      </c>
      <c r="C10" s="25" t="n">
        <v>15.71</v>
      </c>
      <c r="D10" s="26" t="n">
        <v>0.10447761194</v>
      </c>
      <c r="E10" s="26" t="n">
        <v>0.422392832274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18721.05</v>
      </c>
      <c r="C11" s="25" t="n">
        <v>15.48</v>
      </c>
      <c r="D11" s="26" t="n">
        <v>0.0970149253731</v>
      </c>
      <c r="E11" s="26" t="n">
        <v>0.42216529516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18830.4</v>
      </c>
      <c r="C12" s="25" t="n">
        <v>15.57</v>
      </c>
      <c r="D12" s="26" t="n">
        <v>0.0970149253731</v>
      </c>
      <c r="E12" s="26" t="n">
        <v>0.422579267962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18908</v>
      </c>
      <c r="C13" s="25" t="n">
        <v>15.64</v>
      </c>
      <c r="D13" s="26" t="n">
        <v>0.0970149253731</v>
      </c>
      <c r="E13" s="26" t="n">
        <v>0.421588956028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18736.7</v>
      </c>
      <c r="C14" s="25" t="n">
        <v>15.5</v>
      </c>
      <c r="D14" s="26" t="n">
        <v>0.0970149253731</v>
      </c>
      <c r="E14" s="26" t="n">
        <v>0.421457844663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18393.3</v>
      </c>
      <c r="C15" s="25" t="n">
        <v>15.21</v>
      </c>
      <c r="D15" s="26" t="n">
        <v>0.0970149253731</v>
      </c>
      <c r="E15" s="26" t="n">
        <v>0.422293199394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18675.3</v>
      </c>
      <c r="C16" s="25" t="n">
        <v>15.44</v>
      </c>
      <c r="D16" s="26" t="n">
        <v>0.0970149253731</v>
      </c>
      <c r="E16" s="26" t="n">
        <v>0.42262012876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18594.95</v>
      </c>
      <c r="C17" s="25" t="n">
        <v>15.36</v>
      </c>
      <c r="D17" s="26" t="n">
        <v>0.0970149253731</v>
      </c>
      <c r="E17" s="26" t="n">
        <v>0.423531888536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18805.05</v>
      </c>
      <c r="C18" s="25" t="n">
        <v>15.53</v>
      </c>
      <c r="D18" s="26" t="n">
        <v>0.0970149253731</v>
      </c>
      <c r="E18" s="26" t="n">
        <v>0.424080481864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Quality Value Low-Volatility 30 Composition</t>
        </is>
      </c>
    </row>
    <row r="2">
      <c r="A2" s="2" t="inlineStr">
        <is>
          <t>As of</t>
        </is>
      </c>
      <c r="B2" s="4" t="inlineStr">
        <is>
          <t>Retrieved 2026-10-13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Alkem Laboratories Ltd.</t>
        </is>
      </c>
      <c r="C6" t="inlineStr">
        <is>
          <t>ALKEM</t>
        </is>
      </c>
      <c r="D6" t="inlineStr">
        <is>
          <t>Healthcare</t>
        </is>
      </c>
    </row>
    <row r="7">
      <c r="A7" t="n">
        <v>2</v>
      </c>
      <c r="B7" t="inlineStr">
        <is>
          <t>Aurobindo Pharma Ltd.</t>
        </is>
      </c>
      <c r="C7" t="inlineStr">
        <is>
          <t>AUROPHARMA</t>
        </is>
      </c>
      <c r="D7" t="inlineStr">
        <is>
          <t>Healthcare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Britannia Industries Ltd.</t>
        </is>
      </c>
      <c r="C9" t="inlineStr">
        <is>
          <t>BRITANNIA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Cipla Ltd.</t>
        </is>
      </c>
      <c r="C10" t="inlineStr">
        <is>
          <t>CIPLA</t>
        </is>
      </c>
      <c r="D10" t="inlineStr">
        <is>
          <t>Healthcare</t>
        </is>
      </c>
    </row>
    <row r="11">
      <c r="A11" t="n">
        <v>6</v>
      </c>
      <c r="B11" t="inlineStr">
        <is>
          <t>Coal India Ltd.</t>
        </is>
      </c>
      <c r="C11" t="inlineStr">
        <is>
          <t>COALINDIA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Colgate Palmolive (India) Ltd.</t>
        </is>
      </c>
      <c r="C12" t="inlineStr">
        <is>
          <t>COLPAL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Dr. Reddy's Laboratories Ltd.</t>
        </is>
      </c>
      <c r="C13" t="inlineStr">
        <is>
          <t>DRREDDY</t>
        </is>
      </c>
      <c r="D13" t="inlineStr">
        <is>
          <t>Healthcare</t>
        </is>
      </c>
    </row>
    <row r="14">
      <c r="A14" t="n">
        <v>9</v>
      </c>
      <c r="B14" t="inlineStr">
        <is>
          <t>Eicher Motors Ltd.</t>
        </is>
      </c>
      <c r="C14" t="inlineStr">
        <is>
          <t>EICHERMOT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Federal Bank Ltd.</t>
        </is>
      </c>
      <c r="C15" t="inlineStr">
        <is>
          <t>FEDERALBNK</t>
        </is>
      </c>
      <c r="D15" t="inlineStr">
        <is>
          <t>Financial Services</t>
        </is>
      </c>
    </row>
    <row r="16">
      <c r="A16" t="n">
        <v>11</v>
      </c>
      <c r="B16" t="inlineStr">
        <is>
          <t>Grasim Industries Ltd.</t>
        </is>
      </c>
      <c r="C16" t="inlineStr">
        <is>
          <t>GRASIM</t>
        </is>
      </c>
      <c r="D16" t="inlineStr">
        <is>
          <t>Construction Materials</t>
        </is>
      </c>
    </row>
    <row r="17">
      <c r="A17" t="n">
        <v>12</v>
      </c>
      <c r="B17" t="inlineStr">
        <is>
          <t>Hero MotoCorp Ltd.</t>
        </is>
      </c>
      <c r="C17" t="inlineStr">
        <is>
          <t>HEROMOTOCO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Hindalco Industries Ltd.</t>
        </is>
      </c>
      <c r="C18" t="inlineStr">
        <is>
          <t>HINDALCO</t>
        </is>
      </c>
      <c r="D18" t="inlineStr">
        <is>
          <t>Metals &amp; Mining</t>
        </is>
      </c>
    </row>
    <row r="19">
      <c r="A19" t="n">
        <v>14</v>
      </c>
      <c r="B19" t="inlineStr">
        <is>
          <t>Hindustan Unilever Ltd.</t>
        </is>
      </c>
      <c r="C19" t="inlineStr">
        <is>
          <t>HINDUNILVR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Hindustan Zinc Ltd.</t>
        </is>
      </c>
      <c r="C20" t="inlineStr">
        <is>
          <t>HINDZINC</t>
        </is>
      </c>
      <c r="D20" t="inlineStr">
        <is>
          <t>Metals &amp; Mining</t>
        </is>
      </c>
    </row>
    <row r="21">
      <c r="A21" t="n">
        <v>16</v>
      </c>
      <c r="B21" t="inlineStr">
        <is>
          <t>ICICI Bank Ltd.</t>
        </is>
      </c>
      <c r="C21" t="inlineStr">
        <is>
          <t>ICICIBANK</t>
        </is>
      </c>
      <c r="D21" t="inlineStr">
        <is>
          <t>Financial Services</t>
        </is>
      </c>
    </row>
    <row r="22">
      <c r="A22" t="n">
        <v>17</v>
      </c>
      <c r="B22" t="inlineStr">
        <is>
          <t>ITC Ltd.</t>
        </is>
      </c>
      <c r="C22" t="inlineStr">
        <is>
          <t>ITC</t>
        </is>
      </c>
      <c r="D22" t="inlineStr">
        <is>
          <t>Fast Moving Consumer Goods</t>
        </is>
      </c>
    </row>
    <row r="23">
      <c r="A23" t="n">
        <v>18</v>
      </c>
      <c r="B23" t="inlineStr">
        <is>
          <t>Lupin Ltd.</t>
        </is>
      </c>
      <c r="C23" t="inlineStr">
        <is>
          <t>LUPIN</t>
        </is>
      </c>
      <c r="D23" t="inlineStr">
        <is>
          <t>Healthcare</t>
        </is>
      </c>
    </row>
    <row r="24">
      <c r="A24" t="n">
        <v>19</v>
      </c>
      <c r="B24" t="inlineStr">
        <is>
          <t>Marico Ltd.</t>
        </is>
      </c>
      <c r="C24" t="inlineStr">
        <is>
          <t>MARICO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Maruti Suzuki India Ltd.</t>
        </is>
      </c>
      <c r="C25" t="inlineStr">
        <is>
          <t>MARUTI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Nestle India Ltd.</t>
        </is>
      </c>
      <c r="C26" t="inlineStr">
        <is>
          <t>NESTLEIND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NMDC Ltd.</t>
        </is>
      </c>
      <c r="C27" t="inlineStr">
        <is>
          <t>NMDC</t>
        </is>
      </c>
      <c r="D27" t="inlineStr">
        <is>
          <t>Metals &amp; Mining</t>
        </is>
      </c>
    </row>
    <row r="28">
      <c r="A28" t="n">
        <v>23</v>
      </c>
      <c r="B28" t="inlineStr">
        <is>
          <t>NTPC Ltd.</t>
        </is>
      </c>
      <c r="C28" t="inlineStr">
        <is>
          <t>NTPC</t>
        </is>
      </c>
      <c r="D28" t="inlineStr">
        <is>
          <t>Power</t>
        </is>
      </c>
    </row>
    <row r="29">
      <c r="A29" t="n">
        <v>24</v>
      </c>
      <c r="B29" t="inlineStr">
        <is>
          <t>Oil &amp; Natural Gas Corporation Ltd.</t>
        </is>
      </c>
      <c r="C29" t="inlineStr">
        <is>
          <t>ONGC</t>
        </is>
      </c>
      <c r="D29" t="inlineStr">
        <is>
          <t>Oil Gas &amp; Consumable Fuels</t>
        </is>
      </c>
    </row>
    <row r="30">
      <c r="A30" t="n">
        <v>25</v>
      </c>
      <c r="B30" t="inlineStr">
        <is>
          <t>Power Finance Corporation Ltd.</t>
        </is>
      </c>
      <c r="C30" t="inlineStr">
        <is>
          <t>PFC</t>
        </is>
      </c>
      <c r="D30" t="inlineStr">
        <is>
          <t>Financial Services</t>
        </is>
      </c>
    </row>
    <row r="31">
      <c r="A31" t="n">
        <v>26</v>
      </c>
      <c r="B31" t="inlineStr">
        <is>
          <t>State Bank of India</t>
        </is>
      </c>
      <c r="C31" t="inlineStr">
        <is>
          <t>SBIN</t>
        </is>
      </c>
      <c r="D31" t="inlineStr">
        <is>
          <t>Financial Services</t>
        </is>
      </c>
    </row>
    <row r="32">
      <c r="A32" t="n">
        <v>27</v>
      </c>
      <c r="B32" t="inlineStr">
        <is>
          <t>Sun Pharmaceutical Industries Ltd.</t>
        </is>
      </c>
      <c r="C32" t="inlineStr">
        <is>
          <t>SUNPHARMA</t>
        </is>
      </c>
      <c r="D32" t="inlineStr">
        <is>
          <t>Healthcare</t>
        </is>
      </c>
    </row>
    <row r="33">
      <c r="A33" t="n">
        <v>28</v>
      </c>
      <c r="B33" t="inlineStr">
        <is>
          <t>Tata Consultancy Services Ltd.</t>
        </is>
      </c>
      <c r="C33" t="inlineStr">
        <is>
          <t>TCS</t>
        </is>
      </c>
      <c r="D33" t="inlineStr">
        <is>
          <t>Information Technology</t>
        </is>
      </c>
    </row>
    <row r="34">
      <c r="A34" t="n">
        <v>29</v>
      </c>
      <c r="B34" t="inlineStr">
        <is>
          <t>Torrent Pharmaceuticals Ltd.</t>
        </is>
      </c>
      <c r="C34" t="inlineStr">
        <is>
          <t>TORNTPHARM</t>
        </is>
      </c>
      <c r="D34" t="inlineStr">
        <is>
          <t>Healthcare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2026-10-13T19:32:51Z</dcterms:created>
  <dcterms:modified xsi:type="dcterms:W3CDTF">2026-10-13T19:33:17Z</dcterms:modified>
</cp:coreProperties>
</file>