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_alpha_lowvol3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Alpha Low-Volatility 30 Valuation Tracker</t>
        </is>
      </c>
    </row>
    <row r="2">
      <c r="A2" s="2" t="inlineStr">
        <is>
          <t>As of</t>
        </is>
      </c>
      <c r="B2" s="23" t="n">
        <v>46318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24348.8</v>
      </c>
      <c r="D5" s="2" t="inlineStr">
        <is>
          <t>P/E</t>
        </is>
      </c>
      <c r="E5" s="25" t="n">
        <v>23.16</v>
      </c>
    </row>
    <row r="6">
      <c r="A6" s="2" t="inlineStr">
        <is>
          <t>P/E percentile</t>
        </is>
      </c>
      <c r="B6" s="26" t="n">
        <v>0.2164179104477612</v>
      </c>
      <c r="D6" s="2" t="inlineStr">
        <is>
          <t>Implied EPS</t>
        </is>
      </c>
      <c r="E6" s="27" t="n">
        <v>1051.3298791019</v>
      </c>
    </row>
    <row r="7">
      <c r="A7" s="2" t="inlineStr">
        <is>
          <t>YoY implied EPS growth</t>
        </is>
      </c>
      <c r="B7" s="26" t="n">
        <v>0.3002528361160219</v>
      </c>
      <c r="D7" s="2" t="inlineStr">
        <is>
          <t>Earnings yield</t>
        </is>
      </c>
      <c r="E7" s="10" t="n">
        <v>0.04317789291882556</v>
      </c>
    </row>
    <row r="8">
      <c r="A8" s="2" t="inlineStr">
        <is>
          <t>Valuation score</t>
        </is>
      </c>
      <c r="B8" s="28" t="n">
        <v>78.35820895522389</v>
      </c>
      <c r="D8" s="2" t="inlineStr">
        <is>
          <t>Growth score</t>
        </is>
      </c>
      <c r="E8" s="28" t="n">
        <v>100</v>
      </c>
    </row>
    <row r="9">
      <c r="A9" s="2" t="inlineStr">
        <is>
          <t>Composite score</t>
        </is>
      </c>
      <c r="B9" s="28" t="n">
        <v>84.85074626865672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29.16</v>
      </c>
      <c r="C13" s="15" t="n">
        <v>30656.77927461139</v>
      </c>
      <c r="D13" s="30" t="n">
        <v>0.2590673575129532</v>
      </c>
    </row>
    <row r="14">
      <c r="A14" t="inlineStr">
        <is>
          <t>HOLD → SELL</t>
        </is>
      </c>
      <c r="B14" s="29" t="n">
        <v>38.09285714285714</v>
      </c>
      <c r="C14" s="15" t="n">
        <v>40048.15889464594</v>
      </c>
      <c r="D14" s="30" t="n">
        <v>0.6447693066864051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0.4634223027640633</v>
      </c>
      <c r="D18" s="30" t="n">
        <v>0.1198410648319201</v>
      </c>
      <c r="E18" s="30" t="n">
        <v>0.1581647230218486</v>
      </c>
      <c r="F18" s="30" t="n"/>
      <c r="G18" s="30" t="n">
        <v>0</v>
      </c>
    </row>
    <row r="19">
      <c r="A19" t="inlineStr">
        <is>
          <t>Q2</t>
        </is>
      </c>
      <c r="B19" t="n">
        <v>8</v>
      </c>
      <c r="C19" s="30" t="n">
        <v>0.04236617139600818</v>
      </c>
      <c r="D19" s="30" t="n">
        <v>0.1583211156885989</v>
      </c>
      <c r="E19" s="30" t="n">
        <v>0.1504004478881824</v>
      </c>
      <c r="F19" s="30" t="n"/>
      <c r="G19" s="30" t="n">
        <v>0</v>
      </c>
    </row>
    <row r="20">
      <c r="A20" t="inlineStr">
        <is>
          <t>Q3</t>
        </is>
      </c>
      <c r="B20" t="n">
        <v>7</v>
      </c>
      <c r="C20" s="30" t="n">
        <v>0.08605489678642519</v>
      </c>
      <c r="D20" s="30" t="n">
        <v>0.1284448172986647</v>
      </c>
      <c r="E20" s="30" t="n">
        <v>0.1750042708169828</v>
      </c>
      <c r="F20" s="30" t="n"/>
      <c r="G20" s="30" t="n">
        <v>0</v>
      </c>
    </row>
    <row r="21">
      <c r="A21" t="inlineStr">
        <is>
          <t>Q4</t>
        </is>
      </c>
      <c r="B21" t="n">
        <v>8</v>
      </c>
      <c r="C21" s="30" t="n">
        <v>0.01243609963362813</v>
      </c>
      <c r="D21" s="30" t="n">
        <v>0.1546134215014774</v>
      </c>
      <c r="E21" s="30" t="n">
        <v>0.1389965410256879</v>
      </c>
      <c r="F21" s="30" t="n"/>
      <c r="G21" s="30" t="n">
        <v>0</v>
      </c>
    </row>
    <row r="22">
      <c r="A22" t="inlineStr">
        <is>
          <t>Q5 Most Expensive</t>
        </is>
      </c>
      <c r="B22" t="n">
        <v>8</v>
      </c>
      <c r="C22" s="30" t="n">
        <v>-0.02323433435995009</v>
      </c>
      <c r="D22" s="30" t="n">
        <v>0.1538639466543998</v>
      </c>
      <c r="E22" s="30" t="n">
        <v>0.1086169462579381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37</v>
      </c>
    </row>
    <row r="27">
      <c r="A27" s="2" t="inlineStr">
        <is>
          <t>Backtest start</t>
        </is>
      </c>
      <c r="B27" t="inlineStr">
        <is>
          <t>2017-09-30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14288.4</v>
      </c>
      <c r="C2" s="25" t="n">
        <v>35.93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15198</v>
      </c>
      <c r="C3" s="25" t="n">
        <v>35.75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15701.25</v>
      </c>
      <c r="C4" s="25" t="n">
        <v>38.81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16112.75</v>
      </c>
      <c r="C5" s="25" t="n">
        <v>38.39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17316.75</v>
      </c>
      <c r="C6" s="25" t="n">
        <v>39.81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17649.6</v>
      </c>
      <c r="C7" s="25" t="n">
        <v>40.58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17119.05</v>
      </c>
      <c r="C8" s="25" t="n">
        <v>38.26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16909.55</v>
      </c>
      <c r="C9" s="25" t="n">
        <v>37.14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17758.75</v>
      </c>
      <c r="C10" s="25" t="n">
        <v>43.18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16690.65</v>
      </c>
      <c r="C11" s="25" t="n">
        <v>40.33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16405.5</v>
      </c>
      <c r="C12" s="25" t="n">
        <v>39.28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16839.95</v>
      </c>
      <c r="C13" s="25" t="n">
        <v>40.3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16650.2</v>
      </c>
      <c r="C14" s="25" t="n">
        <v>39.26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15850.05</v>
      </c>
      <c r="C15" s="25" t="n">
        <v>37.87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14913.65</v>
      </c>
      <c r="C16" s="25" t="n">
        <v>29.12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16377.35</v>
      </c>
      <c r="C17" s="25" t="n">
        <v>31.45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17014.2</v>
      </c>
      <c r="C18" s="25" t="n">
        <v>31.86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16962.1</v>
      </c>
      <c r="C19" s="25" t="n">
        <v>31.78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17473.05</v>
      </c>
      <c r="C20" s="25" t="n">
        <v>32.54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17808.6</v>
      </c>
      <c r="C21" s="25" t="n">
        <v>32.71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17010.35</v>
      </c>
      <c r="C22" s="25" t="n">
        <v>22.52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16778</v>
      </c>
      <c r="C23" s="25" t="n">
        <v>22.03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16539.85</v>
      </c>
      <c r="C24" s="25" t="n">
        <v>21.03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16779</v>
      </c>
      <c r="C25" s="25" t="n">
        <v>21.33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17571.35</v>
      </c>
      <c r="C26" s="25" t="n">
        <v>22.15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18180.95</v>
      </c>
      <c r="C27" s="25" t="n">
        <v>21.57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19040.95</v>
      </c>
      <c r="C28" s="25" t="n">
        <v>21.03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19822.4</v>
      </c>
      <c r="C29" s="25" t="n">
        <v>21.53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19223.65</v>
      </c>
      <c r="C30" s="25" t="n">
        <v>18.38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19909.05</v>
      </c>
      <c r="C31" s="25" t="n">
        <v>19.04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19613.25</v>
      </c>
      <c r="C32" s="25" t="n">
        <v>18.43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21463.65</v>
      </c>
      <c r="C33" s="25" t="n">
        <v>18.22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23373.2</v>
      </c>
      <c r="C34" s="25" t="n">
        <v>22.59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24381.8</v>
      </c>
      <c r="C35" s="25" t="n">
        <v>22.58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25557.6</v>
      </c>
      <c r="C36" s="25" t="n">
        <v>23.49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26248.05</v>
      </c>
      <c r="C37" s="25" t="n">
        <v>24.13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26503.75</v>
      </c>
      <c r="C38" s="25" t="n">
        <v>23.61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26493.95</v>
      </c>
      <c r="C39" s="25" t="n">
        <v>23.22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28040.3</v>
      </c>
      <c r="C40" s="25" t="n">
        <v>27.35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29850.1</v>
      </c>
      <c r="C41" s="25" t="n">
        <v>28.88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30322.5</v>
      </c>
      <c r="C42" s="25" t="n">
        <v>29.26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31123.3</v>
      </c>
      <c r="C43" s="25" t="n">
        <v>30.05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28483.85</v>
      </c>
      <c r="C44" s="25" t="n">
        <v>27.15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27792.35</v>
      </c>
      <c r="C45" s="25" t="n">
        <v>26.89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27282</v>
      </c>
      <c r="C46" s="25" t="n">
        <v>37.66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26115.2</v>
      </c>
      <c r="C47" s="25" t="n">
        <v>35.66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23657</v>
      </c>
      <c r="C48" s="25" t="n">
        <v>31.05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25142.6</v>
      </c>
      <c r="C49" s="25" t="n">
        <v>33.08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26230</v>
      </c>
      <c r="C50" s="25" t="n">
        <v>34.27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26419.8</v>
      </c>
      <c r="C51" s="25" t="n">
        <v>33.26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27188.9</v>
      </c>
      <c r="C52" s="25" t="n">
        <v>34.77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26423.8</v>
      </c>
      <c r="C53" s="25" t="n">
        <v>33.62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26119.4</v>
      </c>
      <c r="C54" s="25" t="n">
        <v>32.44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25952.95</v>
      </c>
      <c r="C55" s="25" t="n">
        <v>32.24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26793.4</v>
      </c>
      <c r="C56" s="25" t="n">
        <v>32.99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27009.2</v>
      </c>
      <c r="C57" s="25" t="n">
        <v>32.48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27076.95</v>
      </c>
      <c r="C58" s="25" t="n">
        <v>32.61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26297.05</v>
      </c>
      <c r="C59" s="25" t="n">
        <v>31.4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27197.2</v>
      </c>
      <c r="C60" s="25" t="n">
        <v>32.24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23961.3</v>
      </c>
      <c r="C61" s="25" t="n">
        <v>28.47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25710.15</v>
      </c>
      <c r="C62" s="25" t="n">
        <v>30.4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25679.05</v>
      </c>
      <c r="C63" s="25" t="n">
        <v>30.25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26293.1</v>
      </c>
      <c r="C64" s="25" t="n">
        <v>26.57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27460.6</v>
      </c>
      <c r="C65" s="25" t="n">
        <v>27.18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27182.55</v>
      </c>
      <c r="C66" s="25" t="n">
        <v>26.13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25219.5</v>
      </c>
      <c r="C67" s="25" t="n">
        <v>24.24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43008</v>
      </c>
      <c r="B2" s="24" t="n">
        <v>10219.34</v>
      </c>
      <c r="C2" s="25" t="n">
        <v>24.64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IF(C2="","",(COUNTIFS($D$2:$D$38,D2,$C$2:$C$38,"&gt;0",$C$2:$C$38,"&lt;"&amp;C2)+(COUNTIFS($D$2:$D$38,D2,$C$2:$C$38,C2)+1)/2)/COUNTIFS($D$2:$D$38,D2,$C$2:$C$38,"&gt;0"))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43100</v>
      </c>
      <c r="B3" s="24" t="n">
        <v>11295.54</v>
      </c>
      <c r="C3" s="25" t="n">
        <v>33.12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IF(C3="","",(COUNTIFS($D$2:$D$38,D3,$C$2:$C$38,"&gt;0",$C$2:$C$38,"&lt;"&amp;C3)+(COUNTIFS($D$2:$D$38,D3,$C$2:$C$38,C3)+1)/2)/COUNTIFS($D$2:$D$38,D3,$C$2:$C$38,"&gt;0"))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43190</v>
      </c>
      <c r="B4" s="24" t="n">
        <v>10720.67</v>
      </c>
      <c r="C4" s="25" t="n">
        <v>31.47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IF(C4="","",(COUNTIFS($D$2:$D$38,D4,$C$2:$C$38,"&gt;0",$C$2:$C$38,"&lt;"&amp;C4)+(COUNTIFS($D$2:$D$38,D4,$C$2:$C$38,C4)+1)/2)/COUNTIFS($D$2:$D$38,D4,$C$2:$C$38,"&gt;0"))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43281</v>
      </c>
      <c r="B5" s="24" t="n">
        <v>11406.44</v>
      </c>
      <c r="C5" s="25" t="n">
        <v>28.87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IF(C5="","",(COUNTIFS($D$2:$D$38,D5,$C$2:$C$38,"&gt;0",$C$2:$C$38,"&lt;"&amp;C5)+(COUNTIFS($D$2:$D$38,D5,$C$2:$C$38,C5)+1)/2)/COUNTIFS($D$2:$D$38,D5,$C$2:$C$38,"&gt;0"))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43373</v>
      </c>
      <c r="B6" s="24" t="n">
        <v>11356.59</v>
      </c>
      <c r="C6" s="25" t="n">
        <v>27.38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IF(C6="","",(COUNTIFS($D$2:$D$38,D6,$C$2:$C$38,"&gt;0",$C$2:$C$38,"&lt;"&amp;C6)+(COUNTIFS($D$2:$D$38,D6,$C$2:$C$38,C6)+1)/2)/COUNTIFS($D$2:$D$38,D6,$C$2:$C$38,"&gt;0"))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43465</v>
      </c>
      <c r="B7" s="24" t="n">
        <v>11600.4</v>
      </c>
      <c r="C7" s="25" t="n">
        <v>28.82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IF(C7="","",(COUNTIFS($D$2:$D$38,D7,$C$2:$C$38,"&gt;0",$C$2:$C$38,"&lt;"&amp;C7)+(COUNTIFS($D$2:$D$38,D7,$C$2:$C$38,C7)+1)/2)/COUNTIFS($D$2:$D$38,D7,$C$2:$C$38,"&gt;0"))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43555</v>
      </c>
      <c r="B8" s="24" t="n">
        <v>11719.25</v>
      </c>
      <c r="C8" s="25" t="n">
        <v>29.48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IF(C8="","",(COUNTIFS($D$2:$D$38,D8,$C$2:$C$38,"&gt;0",$C$2:$C$38,"&lt;"&amp;C8)+(COUNTIFS($D$2:$D$38,D8,$C$2:$C$38,C8)+1)/2)/COUNTIFS($D$2:$D$38,D8,$C$2:$C$38,"&gt;0"))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43646</v>
      </c>
      <c r="B9" s="24" t="n">
        <v>11782.03</v>
      </c>
      <c r="C9" s="25" t="n">
        <v>34.8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IF(C9="","",(COUNTIFS($D$2:$D$38,D9,$C$2:$C$38,"&gt;0",$C$2:$C$38,"&lt;"&amp;C9)+(COUNTIFS($D$2:$D$38,D9,$C$2:$C$38,C9)+1)/2)/COUNTIFS($D$2:$D$38,D9,$C$2:$C$38,"&gt;0"))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43738</v>
      </c>
      <c r="B10" s="24" t="n">
        <v>11875.91</v>
      </c>
      <c r="C10" s="25" t="n">
        <v>31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IF(C10="","",(COUNTIFS($D$2:$D$38,D10,$C$2:$C$38,"&gt;0",$C$2:$C$38,"&lt;"&amp;C10)+(COUNTIFS($D$2:$D$38,D10,$C$2:$C$38,C10)+1)/2)/COUNTIFS($D$2:$D$38,D10,$C$2:$C$38,"&gt;0"))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43830</v>
      </c>
      <c r="B11" s="24" t="n">
        <v>12052.86</v>
      </c>
      <c r="C11" s="25" t="n">
        <v>29.35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IF(C11="","",(COUNTIFS($D$2:$D$38,D11,$C$2:$C$38,"&gt;0",$C$2:$C$38,"&lt;"&amp;C11)+(COUNTIFS($D$2:$D$38,D11,$C$2:$C$38,C11)+1)/2)/COUNTIFS($D$2:$D$38,D11,$C$2:$C$38,"&gt;0"))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43921</v>
      </c>
      <c r="B12" s="24" t="n">
        <v>9706.52</v>
      </c>
      <c r="C12" s="25" t="n">
        <v>22.47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IF(C12="","",(COUNTIFS($D$2:$D$38,D12,$C$2:$C$38,"&gt;0",$C$2:$C$38,"&lt;"&amp;C12)+(COUNTIFS($D$2:$D$38,D12,$C$2:$C$38,C12)+1)/2)/COUNTIFS($D$2:$D$38,D12,$C$2:$C$38,"&gt;0"))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44012</v>
      </c>
      <c r="B13" s="24" t="n">
        <v>10970.14</v>
      </c>
      <c r="C13" s="25" t="n">
        <v>27.71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IF(C13="","",(COUNTIFS($D$2:$D$38,D13,$C$2:$C$38,"&gt;0",$C$2:$C$38,"&lt;"&amp;C13)+(COUNTIFS($D$2:$D$38,D13,$C$2:$C$38,C13)+1)/2)/COUNTIFS($D$2:$D$38,D13,$C$2:$C$38,"&gt;0"))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44104</v>
      </c>
      <c r="B14" s="24" t="n">
        <v>12023.6</v>
      </c>
      <c r="C14" s="25" t="n">
        <v>31.03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IF(C14="","",(COUNTIFS($D$2:$D$38,D14,$C$2:$C$38,"&gt;0",$C$2:$C$38,"&lt;"&amp;C14)+(COUNTIFS($D$2:$D$38,D14,$C$2:$C$38,C14)+1)/2)/COUNTIFS($D$2:$D$38,D14,$C$2:$C$38,"&gt;0"))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44196</v>
      </c>
      <c r="B15" s="24" t="n">
        <v>13730.4</v>
      </c>
      <c r="C15" s="25" t="n">
        <v>36.31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IF(C15="","",(COUNTIFS($D$2:$D$38,D15,$C$2:$C$38,"&gt;0",$C$2:$C$38,"&lt;"&amp;C15)+(COUNTIFS($D$2:$D$38,D15,$C$2:$C$38,C15)+1)/2)/COUNTIFS($D$2:$D$38,D15,$C$2:$C$38,"&gt;0"))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44286</v>
      </c>
      <c r="B16" s="24" t="n">
        <v>14115.35</v>
      </c>
      <c r="C16" s="25" t="n">
        <v>35.41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IF(C16="","",(COUNTIFS($D$2:$D$38,D16,$C$2:$C$38,"&gt;0",$C$2:$C$38,"&lt;"&amp;C16)+(COUNTIFS($D$2:$D$38,D16,$C$2:$C$38,C16)+1)/2)/COUNTIFS($D$2:$D$38,D16,$C$2:$C$38,"&gt;0"))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44377</v>
      </c>
      <c r="B17" s="24" t="n">
        <v>15701.25</v>
      </c>
      <c r="C17" s="25" t="n">
        <v>38.81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IF(C17="","",(COUNTIFS($D$2:$D$38,D17,$C$2:$C$38,"&gt;0",$C$2:$C$38,"&lt;"&amp;C17)+(COUNTIFS($D$2:$D$38,D17,$C$2:$C$38,C17)+1)/2)/COUNTIFS($D$2:$D$38,D17,$C$2:$C$38,"&gt;0"))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44469</v>
      </c>
      <c r="B18" s="24" t="n">
        <v>17649.6</v>
      </c>
      <c r="C18" s="25" t="n">
        <v>40.58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IF(C18="","",(COUNTIFS($D$2:$D$38,D18,$C$2:$C$38,"&gt;0",$C$2:$C$38,"&lt;"&amp;C18)+(COUNTIFS($D$2:$D$38,D18,$C$2:$C$38,C18)+1)/2)/COUNTIFS($D$2:$D$38,D18,$C$2:$C$38,"&gt;0"))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44561</v>
      </c>
      <c r="B19" s="24" t="n">
        <v>17758.75</v>
      </c>
      <c r="C19" s="25" t="n">
        <v>43.18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IF(C19="","",(COUNTIFS($D$2:$D$38,D19,$C$2:$C$38,"&gt;0",$C$2:$C$38,"&lt;"&amp;C19)+(COUNTIFS($D$2:$D$38,D19,$C$2:$C$38,C19)+1)/2)/COUNTIFS($D$2:$D$38,D19,$C$2:$C$38,"&gt;0"))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44651</v>
      </c>
      <c r="B20" s="24" t="n">
        <v>16839.95</v>
      </c>
      <c r="C20" s="25" t="n">
        <v>40.3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IF(C20="","",(COUNTIFS($D$2:$D$38,D20,$C$2:$C$38,"&gt;0",$C$2:$C$38,"&lt;"&amp;C20)+(COUNTIFS($D$2:$D$38,D20,$C$2:$C$38,C20)+1)/2)/COUNTIFS($D$2:$D$38,D20,$C$2:$C$38,"&gt;0"))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44742</v>
      </c>
      <c r="B21" s="24" t="n">
        <v>14913.65</v>
      </c>
      <c r="C21" s="25" t="n">
        <v>29.12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IF(C21="","",(COUNTIFS($D$2:$D$38,D21,$C$2:$C$38,"&gt;0",$C$2:$C$38,"&lt;"&amp;C21)+(COUNTIFS($D$2:$D$38,D21,$C$2:$C$38,C21)+1)/2)/COUNTIFS($D$2:$D$38,D21,$C$2:$C$38,"&gt;0"))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44834</v>
      </c>
      <c r="B22" s="24" t="n">
        <v>16962.1</v>
      </c>
      <c r="C22" s="25" t="n">
        <v>31.78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IF(C22="","",(COUNTIFS($D$2:$D$38,D22,$C$2:$C$38,"&gt;0",$C$2:$C$38,"&lt;"&amp;C22)+(COUNTIFS($D$2:$D$38,D22,$C$2:$C$38,C22)+1)/2)/COUNTIFS($D$2:$D$38,D22,$C$2:$C$38,"&gt;0"))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44926</v>
      </c>
      <c r="B23" s="24" t="n">
        <v>17010.35</v>
      </c>
      <c r="C23" s="25" t="n">
        <v>22.52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IF(C23="","",(COUNTIFS($D$2:$D$38,D23,$C$2:$C$38,"&gt;0",$C$2:$C$38,"&lt;"&amp;C23)+(COUNTIFS($D$2:$D$38,D23,$C$2:$C$38,C23)+1)/2)/COUNTIFS($D$2:$D$38,D23,$C$2:$C$38,"&gt;0"))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45016</v>
      </c>
      <c r="B24" s="24" t="n">
        <v>16779</v>
      </c>
      <c r="C24" s="25" t="n">
        <v>21.33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IF(C24="","",(COUNTIFS($D$2:$D$38,D24,$C$2:$C$38,"&gt;0",$C$2:$C$38,"&lt;"&amp;C24)+(COUNTIFS($D$2:$D$38,D24,$C$2:$C$38,C24)+1)/2)/COUNTIFS($D$2:$D$38,D24,$C$2:$C$38,"&gt;0"))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45107</v>
      </c>
      <c r="B25" s="24" t="n">
        <v>19040.95</v>
      </c>
      <c r="C25" s="25" t="n">
        <v>21.03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IF(C25="","",(COUNTIFS($D$2:$D$38,D25,$C$2:$C$38,"&gt;0",$C$2:$C$38,"&lt;"&amp;C25)+(COUNTIFS($D$2:$D$38,D25,$C$2:$C$38,C25)+1)/2)/COUNTIFS($D$2:$D$38,D25,$C$2:$C$38,"&gt;0"))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45199</v>
      </c>
      <c r="B26" s="24" t="n">
        <v>19909.05</v>
      </c>
      <c r="C26" s="25" t="n">
        <v>19.04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IF(C26="","",(COUNTIFS($D$2:$D$38,D26,$C$2:$C$38,"&gt;0",$C$2:$C$38,"&lt;"&amp;C26)+(COUNTIFS($D$2:$D$38,D26,$C$2:$C$38,C26)+1)/2)/COUNTIFS($D$2:$D$38,D26,$C$2:$C$38,"&gt;0"))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45291</v>
      </c>
      <c r="B27" s="24" t="n">
        <v>23373.2</v>
      </c>
      <c r="C27" s="25" t="n">
        <v>22.59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IF(C27="","",(COUNTIFS($D$2:$D$38,D27,$C$2:$C$38,"&gt;0",$C$2:$C$38,"&lt;"&amp;C27)+(COUNTIFS($D$2:$D$38,D27,$C$2:$C$38,C27)+1)/2)/COUNTIFS($D$2:$D$38,D27,$C$2:$C$38,"&gt;0"))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45382</v>
      </c>
      <c r="B28" s="24" t="n">
        <v>26248.05</v>
      </c>
      <c r="C28" s="25" t="n">
        <v>24.13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IF(C28="","",(COUNTIFS($D$2:$D$38,D28,$C$2:$C$38,"&gt;0",$C$2:$C$38,"&lt;"&amp;C28)+(COUNTIFS($D$2:$D$38,D28,$C$2:$C$38,C28)+1)/2)/COUNTIFS($D$2:$D$38,D28,$C$2:$C$38,"&gt;0"))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45473</v>
      </c>
      <c r="B29" s="24" t="n">
        <v>28040.3</v>
      </c>
      <c r="C29" s="25" t="n">
        <v>27.35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IF(C29="","",(COUNTIFS($D$2:$D$38,D29,$C$2:$C$38,"&gt;0",$C$2:$C$38,"&lt;"&amp;C29)+(COUNTIFS($D$2:$D$38,D29,$C$2:$C$38,C29)+1)/2)/COUNTIFS($D$2:$D$38,D29,$C$2:$C$38,"&gt;0"))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45565</v>
      </c>
      <c r="B30" s="24" t="n">
        <v>31123.3</v>
      </c>
      <c r="C30" s="25" t="n">
        <v>30.05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IF(C30="","",(COUNTIFS($D$2:$D$38,D30,$C$2:$C$38,"&gt;0",$C$2:$C$38,"&lt;"&amp;C30)+(COUNTIFS($D$2:$D$38,D30,$C$2:$C$38,C30)+1)/2)/COUNTIFS($D$2:$D$38,D30,$C$2:$C$38,"&gt;0"))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45657</v>
      </c>
      <c r="B31" s="24" t="n">
        <v>27282</v>
      </c>
      <c r="C31" s="25" t="n">
        <v>37.66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IF(C31="","",(COUNTIFS($D$2:$D$38,D31,$C$2:$C$38,"&gt;0",$C$2:$C$38,"&lt;"&amp;C31)+(COUNTIFS($D$2:$D$38,D31,$C$2:$C$38,C31)+1)/2)/COUNTIFS($D$2:$D$38,D31,$C$2:$C$38,"&gt;0"))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45747</v>
      </c>
      <c r="B32" s="24" t="n">
        <v>25142.6</v>
      </c>
      <c r="C32" s="25" t="n">
        <v>33.08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IF(C32="","",(COUNTIFS($D$2:$D$38,D32,$C$2:$C$38,"&gt;0",$C$2:$C$38,"&lt;"&amp;C32)+(COUNTIFS($D$2:$D$38,D32,$C$2:$C$38,C32)+1)/2)/COUNTIFS($D$2:$D$38,D32,$C$2:$C$38,"&gt;0"))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45838</v>
      </c>
      <c r="B33" s="24" t="n">
        <v>27188.9</v>
      </c>
      <c r="C33" s="25" t="n">
        <v>34.77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IF(C33="","",(COUNTIFS($D$2:$D$38,D33,$C$2:$C$38,"&gt;0",$C$2:$C$38,"&lt;"&amp;C33)+(COUNTIFS($D$2:$D$38,D33,$C$2:$C$38,C33)+1)/2)/COUNTIFS($D$2:$D$38,D33,$C$2:$C$38,"&gt;0"))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45930</v>
      </c>
      <c r="B34" s="24" t="n">
        <v>25952.95</v>
      </c>
      <c r="C34" s="25" t="n">
        <v>32.24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IF(C34="","",(COUNTIFS($D$2:$D$38,D34,$C$2:$C$38,"&gt;0",$C$2:$C$38,"&lt;"&amp;C34)+(COUNTIFS($D$2:$D$38,D34,$C$2:$C$38,C34)+1)/2)/COUNTIFS($D$2:$D$38,D34,$C$2:$C$38,"&gt;0"))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46022</v>
      </c>
      <c r="B35" s="24" t="n">
        <v>27076.95</v>
      </c>
      <c r="C35" s="25" t="n">
        <v>32.61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IF(C35="","",(COUNTIFS($D$2:$D$38,D35,$C$2:$C$38,"&gt;0",$C$2:$C$38,"&lt;"&amp;C35)+(COUNTIFS($D$2:$D$38,D35,$C$2:$C$38,C35)+1)/2)/COUNTIFS($D$2:$D$38,D35,$C$2:$C$38,"&gt;0"))</f>
        <v/>
      </c>
      <c r="H35">
        <f>IF(G35="","",IF(G35&lt;=20%,"Q1 Cheapest",IF(G35&lt;=40%,"Q2",IF(G35&lt;=60%,"Q3",IF(G35&lt;=80%,"Q4","Q5 Most Expensive")))))</f>
        <v/>
      </c>
      <c r="I35" s="30" t="n"/>
      <c r="J35" s="30" t="n"/>
      <c r="K35" s="30" t="n"/>
      <c r="L35" s="30" t="n"/>
    </row>
    <row r="36">
      <c r="A36" s="31" t="n">
        <v>46112</v>
      </c>
      <c r="B36" s="24" t="n">
        <v>23961.3</v>
      </c>
      <c r="C36" s="25" t="n">
        <v>28.47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IF(C36="","",(COUNTIFS($D$2:$D$38,D36,$C$2:$C$38,"&gt;0",$C$2:$C$38,"&lt;"&amp;C36)+(COUNTIFS($D$2:$D$38,D36,$C$2:$C$38,C36)+1)/2)/COUNTIFS($D$2:$D$38,D36,$C$2:$C$38,"&gt;0"))</f>
        <v/>
      </c>
      <c r="H36">
        <f>IF(G36="","",IF(G36&lt;=20%,"Q1 Cheapest",IF(G36&lt;=40%,"Q2",IF(G36&lt;=60%,"Q3",IF(G36&lt;=80%,"Q4","Q5 Most Expensive")))))</f>
        <v/>
      </c>
      <c r="I36" s="30" t="n"/>
      <c r="J36" s="30" t="n"/>
      <c r="K36" s="30" t="n"/>
      <c r="L36" s="30" t="n"/>
    </row>
    <row r="37">
      <c r="A37" s="31" t="n">
        <v>46203</v>
      </c>
      <c r="B37" s="24" t="n">
        <v>26293.1</v>
      </c>
      <c r="C37" s="25" t="n">
        <v>26.57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IF(C37="","",(COUNTIFS($D$2:$D$38,D37,$C$2:$C$38,"&gt;0",$C$2:$C$38,"&lt;"&amp;C37)+(COUNTIFS($D$2:$D$38,D37,$C$2:$C$38,C37)+1)/2)/COUNTIFS($D$2:$D$38,D37,$C$2:$C$38,"&gt;0"))</f>
        <v/>
      </c>
      <c r="H37">
        <f>IF(G37="","",IF(G37&lt;=20%,"Q1 Cheapest",IF(G37&lt;=40%,"Q2",IF(G37&lt;=60%,"Q3",IF(G37&lt;=80%,"Q4","Q5 Most Expensive")))))</f>
        <v/>
      </c>
      <c r="I37" s="30" t="n"/>
      <c r="J37" s="30" t="n"/>
      <c r="K37" s="30" t="n"/>
      <c r="L37" s="30" t="n"/>
    </row>
    <row r="38">
      <c r="A38" s="31" t="n">
        <v>46295</v>
      </c>
      <c r="B38" s="24" t="n">
        <v>25219.5</v>
      </c>
      <c r="C38" s="25" t="n">
        <v>24.24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IF(C38="","",(COUNTIFS($D$2:$D$38,D38,$C$2:$C$38,"&gt;0",$C$2:$C$38,"&lt;"&amp;C38)+(COUNTIFS($D$2:$D$38,D38,$C$2:$C$38,C38)+1)/2)/COUNTIFS($D$2:$D$38,D38,$C$2:$C$38,"&gt;0"))</f>
        <v/>
      </c>
      <c r="H38">
        <f>IF(G38="","",IF(G38&lt;=20%,"Q1 Cheapest",IF(G38&lt;=40%,"Q2",IF(G38&lt;=60%,"Q3",IF(G38&lt;=80%,"Q4","Q5 Most Expensive")))))</f>
        <v/>
      </c>
      <c r="I38" s="30" t="n"/>
      <c r="J38" s="30" t="n"/>
      <c r="K38" s="30" t="n"/>
      <c r="L38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26110.95</v>
      </c>
      <c r="C2" s="25" t="n">
        <v>25.1</v>
      </c>
      <c r="D2" s="26" t="n">
        <v>0.280303030303</v>
      </c>
      <c r="E2" s="26" t="n">
        <v>0.291714135634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26224.3</v>
      </c>
      <c r="C3" s="25" t="n">
        <v>25.2</v>
      </c>
      <c r="D3" s="26" t="n">
        <v>0.280303030303</v>
      </c>
      <c r="E3" s="26" t="n">
        <v>0.292292118005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26098.3</v>
      </c>
      <c r="C4" s="25" t="n">
        <v>25.08</v>
      </c>
      <c r="D4" s="26" t="n">
        <v>0.280303030303</v>
      </c>
      <c r="E4" s="26" t="n">
        <v>0.292058286062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26292.85</v>
      </c>
      <c r="C5" s="25" t="n">
        <v>25.27</v>
      </c>
      <c r="D5" s="26" t="n">
        <v>0.280303030303</v>
      </c>
      <c r="E5" s="26" t="n">
        <v>0.292272833524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25910.35</v>
      </c>
      <c r="C6" s="25" t="n">
        <v>24.9</v>
      </c>
      <c r="D6" s="26" t="n">
        <v>0.280303030303</v>
      </c>
      <c r="E6" s="26" t="n">
        <v>0.292068835306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25992.5</v>
      </c>
      <c r="C7" s="25" t="n">
        <v>24.98</v>
      </c>
      <c r="D7" s="26" t="n">
        <v>0.280303030303</v>
      </c>
      <c r="E7" s="26" t="n">
        <v>0.292201159967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25672.35</v>
      </c>
      <c r="C8" s="25" t="n">
        <v>24.67</v>
      </c>
      <c r="D8" s="26" t="n">
        <v>0.280303030303</v>
      </c>
      <c r="E8" s="26" t="n">
        <v>0.292467167281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25468.8</v>
      </c>
      <c r="C9" s="25" t="n">
        <v>24.48</v>
      </c>
      <c r="D9" s="26" t="n">
        <v>0.280303030303</v>
      </c>
      <c r="E9" s="26" t="n">
        <v>0.291945122109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25219.5</v>
      </c>
      <c r="C10" s="25" t="n">
        <v>24.24</v>
      </c>
      <c r="D10" s="26" t="n">
        <v>0.283582089552</v>
      </c>
      <c r="E10" s="26" t="n">
        <v>0.292445264478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24935.1</v>
      </c>
      <c r="C11" s="25" t="n">
        <v>23.97</v>
      </c>
      <c r="D11" s="26" t="n">
        <v>0.261194029851</v>
      </c>
      <c r="E11" s="26" t="n">
        <v>0.29245938221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25011.5</v>
      </c>
      <c r="C12" s="25" t="n">
        <v>24.04</v>
      </c>
      <c r="D12" s="26" t="n">
        <v>0.261194029851</v>
      </c>
      <c r="E12" s="26" t="n">
        <v>0.292429641496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25180.9</v>
      </c>
      <c r="C13" s="25" t="n">
        <v>24.2</v>
      </c>
      <c r="D13" s="26" t="n">
        <v>0.276119402985</v>
      </c>
      <c r="E13" s="26" t="n">
        <v>0.292624366225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24910.35</v>
      </c>
      <c r="C14" s="25" t="n">
        <v>23.94</v>
      </c>
      <c r="D14" s="26" t="n">
        <v>0.261194029851</v>
      </c>
      <c r="E14" s="26" t="n">
        <v>0.292689744494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24409.15</v>
      </c>
      <c r="C15" s="25" t="n">
        <v>23.46</v>
      </c>
      <c r="D15" s="26" t="n">
        <v>0.231343283582</v>
      </c>
      <c r="E15" s="26" t="n">
        <v>0.292636794293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24692.85</v>
      </c>
      <c r="C16" s="25" t="n">
        <v>23.73</v>
      </c>
      <c r="D16" s="26" t="n">
        <v>0.261194029851</v>
      </c>
      <c r="E16" s="26" t="n">
        <v>0.292768986964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24582.85</v>
      </c>
      <c r="C17" s="25" t="n">
        <v>23.63</v>
      </c>
      <c r="D17" s="26" t="n">
        <v>0.261194029851</v>
      </c>
      <c r="E17" s="26" t="n">
        <v>0.292157744179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24812.55</v>
      </c>
      <c r="C18" s="25" t="n">
        <v>23.85</v>
      </c>
      <c r="D18" s="26" t="n">
        <v>0.261194029851</v>
      </c>
      <c r="E18" s="26" t="n">
        <v>0.292193411126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24748</v>
      </c>
      <c r="C19" s="25" t="n">
        <v>23.79</v>
      </c>
      <c r="D19" s="26" t="n">
        <v>0.261194029851</v>
      </c>
      <c r="E19" s="26" t="n">
        <v>0.292208406663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24880.6</v>
      </c>
      <c r="C20" s="25" t="n">
        <v>23.91</v>
      </c>
      <c r="D20" s="26" t="n">
        <v>0.261194029851</v>
      </c>
      <c r="E20" s="26" t="n">
        <v>0.29307323914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24914.1</v>
      </c>
      <c r="C21" s="25" t="n">
        <v>23.92</v>
      </c>
      <c r="D21" s="26" t="n">
        <v>0.261194029851</v>
      </c>
      <c r="E21" s="26" t="n">
        <v>0.294361585455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24753.65</v>
      </c>
      <c r="C22" s="25" t="n">
        <v>23.56</v>
      </c>
      <c r="D22" s="26" t="n">
        <v>0.246268656716</v>
      </c>
      <c r="E22" s="26" t="n">
        <v>0.303808835958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24581.6</v>
      </c>
      <c r="C23" s="25" t="n">
        <v>23.39</v>
      </c>
      <c r="D23" s="26" t="n">
        <v>0.231343283582</v>
      </c>
      <c r="E23" s="26" t="n">
        <v>0.300057429022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24515.7</v>
      </c>
      <c r="C24" s="25" t="n">
        <v>23.32</v>
      </c>
      <c r="D24" s="26" t="n">
        <v>0.231343283582</v>
      </c>
      <c r="E24" s="26" t="n">
        <v>0.300464088386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24348.8</v>
      </c>
      <c r="C25" s="25" t="n">
        <v>23.16</v>
      </c>
      <c r="D25" s="26" t="n">
        <v>0.216417910448</v>
      </c>
      <c r="E25" s="26" t="n">
        <v>0.300252836116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7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Alpha Low-Volatility 30 Composition</t>
        </is>
      </c>
    </row>
    <row r="2">
      <c r="A2" s="2" t="inlineStr">
        <is>
          <t>As of</t>
        </is>
      </c>
      <c r="B2" s="4" t="inlineStr">
        <is>
          <t>Retrieved 2026-10-23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Apollo Hospitals Enterprise Ltd.</t>
        </is>
      </c>
      <c r="C6" t="inlineStr">
        <is>
          <t>APOLLOHOSP</t>
        </is>
      </c>
      <c r="D6" t="inlineStr">
        <is>
          <t>Healthcare</t>
        </is>
      </c>
    </row>
    <row r="7">
      <c r="A7" t="n">
        <v>2</v>
      </c>
      <c r="B7" t="inlineStr">
        <is>
          <t>Asian Paints Ltd.</t>
        </is>
      </c>
      <c r="C7" t="inlineStr">
        <is>
          <t>ASIANPAINT</t>
        </is>
      </c>
      <c r="D7" t="inlineStr">
        <is>
          <t>Consumer Durables</t>
        </is>
      </c>
    </row>
    <row r="8">
      <c r="A8" t="n">
        <v>3</v>
      </c>
      <c r="B8" t="inlineStr">
        <is>
          <t>Bajaj Auto Ltd.</t>
        </is>
      </c>
      <c r="C8" t="inlineStr">
        <is>
          <t>BAJAJ-AUTO</t>
        </is>
      </c>
      <c r="D8" t="inlineStr">
        <is>
          <t>Automobile and Auto Components</t>
        </is>
      </c>
    </row>
    <row r="9">
      <c r="A9" t="n">
        <v>4</v>
      </c>
      <c r="B9" t="inlineStr">
        <is>
          <t>Bharti Airtel Ltd.</t>
        </is>
      </c>
      <c r="C9" t="inlineStr">
        <is>
          <t>BHARTIARTL</t>
        </is>
      </c>
      <c r="D9" t="inlineStr">
        <is>
          <t>Telecommunication</t>
        </is>
      </c>
    </row>
    <row r="10">
      <c r="A10" t="n">
        <v>5</v>
      </c>
      <c r="B10" t="inlineStr">
        <is>
          <t>Britannia Industries Ltd.</t>
        </is>
      </c>
      <c r="C10" t="inlineStr">
        <is>
          <t>BRITANNIA</t>
        </is>
      </c>
      <c r="D10" t="inlineStr">
        <is>
          <t>Fast Moving Consumer Goods</t>
        </is>
      </c>
    </row>
    <row r="11">
      <c r="A11" t="n">
        <v>6</v>
      </c>
      <c r="B11" t="inlineStr">
        <is>
          <t>Coal India Ltd.</t>
        </is>
      </c>
      <c r="C11" t="inlineStr">
        <is>
          <t>COALINDIA</t>
        </is>
      </c>
      <c r="D11" t="inlineStr">
        <is>
          <t>Oil Gas &amp; Consumable Fuels</t>
        </is>
      </c>
    </row>
    <row r="12">
      <c r="A12" t="n">
        <v>7</v>
      </c>
      <c r="B12" t="inlineStr">
        <is>
          <t>Cummins India Ltd.</t>
        </is>
      </c>
      <c r="C12" t="inlineStr">
        <is>
          <t>CUMMINSIND</t>
        </is>
      </c>
      <c r="D12" t="inlineStr">
        <is>
          <t>Capital Goods</t>
        </is>
      </c>
    </row>
    <row r="13">
      <c r="A13" t="n">
        <v>8</v>
      </c>
      <c r="B13" t="inlineStr">
        <is>
          <t>Eicher Motors Ltd.</t>
        </is>
      </c>
      <c r="C13" t="inlineStr">
        <is>
          <t>EICHERMOT</t>
        </is>
      </c>
      <c r="D13" t="inlineStr">
        <is>
          <t>Automobile and Auto Components</t>
        </is>
      </c>
    </row>
    <row r="14">
      <c r="A14" t="n">
        <v>9</v>
      </c>
      <c r="B14" t="inlineStr">
        <is>
          <t>Federal Bank Ltd.</t>
        </is>
      </c>
      <c r="C14" t="inlineStr">
        <is>
          <t>FEDERALBNK</t>
        </is>
      </c>
      <c r="D14" t="inlineStr">
        <is>
          <t>Financial Services</t>
        </is>
      </c>
    </row>
    <row r="15">
      <c r="A15" t="n">
        <v>10</v>
      </c>
      <c r="B15" t="inlineStr">
        <is>
          <t>Grasim Industries Ltd.</t>
        </is>
      </c>
      <c r="C15" t="inlineStr">
        <is>
          <t>GRASIM</t>
        </is>
      </c>
      <c r="D15" t="inlineStr">
        <is>
          <t>Construction Materials</t>
        </is>
      </c>
    </row>
    <row r="16">
      <c r="A16" t="n">
        <v>11</v>
      </c>
      <c r="B16" t="inlineStr">
        <is>
          <t>Hindalco Industries Ltd.</t>
        </is>
      </c>
      <c r="C16" t="inlineStr">
        <is>
          <t>HINDALCO</t>
        </is>
      </c>
      <c r="D16" t="inlineStr">
        <is>
          <t>Metals &amp; Mining</t>
        </is>
      </c>
    </row>
    <row r="17">
      <c r="A17" t="n">
        <v>12</v>
      </c>
      <c r="B17" t="inlineStr">
        <is>
          <t>ICICI Bank Ltd.</t>
        </is>
      </c>
      <c r="C17" t="inlineStr">
        <is>
          <t>ICICIBANK</t>
        </is>
      </c>
      <c r="D17" t="inlineStr">
        <is>
          <t>Financial Services</t>
        </is>
      </c>
    </row>
    <row r="18">
      <c r="A18" t="n">
        <v>13</v>
      </c>
      <c r="B18" t="inlineStr">
        <is>
          <t>JSW Steel Ltd.</t>
        </is>
      </c>
      <c r="C18" t="inlineStr">
        <is>
          <t>JSWSTEEL</t>
        </is>
      </c>
      <c r="D18" t="inlineStr">
        <is>
          <t>Metals &amp; Mining</t>
        </is>
      </c>
    </row>
    <row r="19">
      <c r="A19" t="n">
        <v>14</v>
      </c>
      <c r="B19" t="inlineStr">
        <is>
          <t>Lupin Ltd.</t>
        </is>
      </c>
      <c r="C19" t="inlineStr">
        <is>
          <t>LUPIN</t>
        </is>
      </c>
      <c r="D19" t="inlineStr">
        <is>
          <t>Healthcare</t>
        </is>
      </c>
    </row>
    <row r="20">
      <c r="A20" t="n">
        <v>15</v>
      </c>
      <c r="B20" t="inlineStr">
        <is>
          <t>Marico Ltd.</t>
        </is>
      </c>
      <c r="C20" t="inlineStr">
        <is>
          <t>MARICO</t>
        </is>
      </c>
      <c r="D20" t="inlineStr">
        <is>
          <t>Fast Moving Consumer Goods</t>
        </is>
      </c>
    </row>
    <row r="21">
      <c r="A21" t="n">
        <v>16</v>
      </c>
      <c r="B21" t="inlineStr">
        <is>
          <t>Maruti Suzuki India Ltd.</t>
        </is>
      </c>
      <c r="C21" t="inlineStr">
        <is>
          <t>MARUTI</t>
        </is>
      </c>
      <c r="D21" t="inlineStr">
        <is>
          <t>Automobile and Auto Components</t>
        </is>
      </c>
    </row>
    <row r="22">
      <c r="A22" t="n">
        <v>17</v>
      </c>
      <c r="B22" t="inlineStr">
        <is>
          <t>Max Financial Services Ltd.</t>
        </is>
      </c>
      <c r="C22" t="inlineStr">
        <is>
          <t>MFSL</t>
        </is>
      </c>
      <c r="D22" t="inlineStr">
        <is>
          <t>Financial Services</t>
        </is>
      </c>
    </row>
    <row r="23">
      <c r="A23" t="n">
        <v>18</v>
      </c>
      <c r="B23" t="inlineStr">
        <is>
          <t>Nestle India Ltd.</t>
        </is>
      </c>
      <c r="C23" t="inlineStr">
        <is>
          <t>NESTLEIND</t>
        </is>
      </c>
      <c r="D23" t="inlineStr">
        <is>
          <t>Fast Moving Consumer Goods</t>
        </is>
      </c>
    </row>
    <row r="24">
      <c r="A24" t="n">
        <v>19</v>
      </c>
      <c r="B24" t="inlineStr">
        <is>
          <t>NTPC Ltd.</t>
        </is>
      </c>
      <c r="C24" t="inlineStr">
        <is>
          <t>NTPC</t>
        </is>
      </c>
      <c r="D24" t="inlineStr">
        <is>
          <t>Power</t>
        </is>
      </c>
    </row>
    <row r="25">
      <c r="A25" t="n">
        <v>20</v>
      </c>
      <c r="B25" t="inlineStr">
        <is>
          <t>Pidilite Industries Ltd.</t>
        </is>
      </c>
      <c r="C25" t="inlineStr">
        <is>
          <t>PIDILITIND</t>
        </is>
      </c>
      <c r="D25" t="inlineStr">
        <is>
          <t>Chemicals</t>
        </is>
      </c>
    </row>
    <row r="26">
      <c r="A26" t="n">
        <v>21</v>
      </c>
      <c r="B26" t="inlineStr">
        <is>
          <t>Reliance Industries Ltd.</t>
        </is>
      </c>
      <c r="C26" t="inlineStr">
        <is>
          <t>RELIANCE</t>
        </is>
      </c>
      <c r="D26" t="inlineStr">
        <is>
          <t>Oil Gas &amp; Consumable Fuels</t>
        </is>
      </c>
    </row>
    <row r="27">
      <c r="A27" t="n">
        <v>22</v>
      </c>
      <c r="B27" t="inlineStr">
        <is>
          <t>SBI Life Insurance Company Ltd.</t>
        </is>
      </c>
      <c r="C27" t="inlineStr">
        <is>
          <t>SBILIFE</t>
        </is>
      </c>
      <c r="D27" t="inlineStr">
        <is>
          <t>Financial Services</t>
        </is>
      </c>
    </row>
    <row r="28">
      <c r="A28" t="n">
        <v>23</v>
      </c>
      <c r="B28" t="inlineStr">
        <is>
          <t>State Bank of India</t>
        </is>
      </c>
      <c r="C28" t="inlineStr">
        <is>
          <t>SBIN</t>
        </is>
      </c>
      <c r="D28" t="inlineStr">
        <is>
          <t>Financial Services</t>
        </is>
      </c>
    </row>
    <row r="29">
      <c r="A29" t="n">
        <v>24</v>
      </c>
      <c r="B29" t="inlineStr">
        <is>
          <t>Sun Pharmaceutical Industries Ltd.</t>
        </is>
      </c>
      <c r="C29" t="inlineStr">
        <is>
          <t>SUNPHARMA</t>
        </is>
      </c>
      <c r="D29" t="inlineStr">
        <is>
          <t>Healthcare</t>
        </is>
      </c>
    </row>
    <row r="30">
      <c r="A30" t="n">
        <v>25</v>
      </c>
      <c r="B30" t="inlineStr">
        <is>
          <t>Tata Consumer Products Ltd.</t>
        </is>
      </c>
      <c r="C30" t="inlineStr">
        <is>
          <t>TATACONSUM</t>
        </is>
      </c>
      <c r="D30" t="inlineStr">
        <is>
          <t>Fast Moving Consumer Goods</t>
        </is>
      </c>
    </row>
    <row r="31">
      <c r="A31" t="n">
        <v>26</v>
      </c>
      <c r="B31" t="inlineStr">
        <is>
          <t>Titan Company Ltd.</t>
        </is>
      </c>
      <c r="C31" t="inlineStr">
        <is>
          <t>TITAN</t>
        </is>
      </c>
      <c r="D31" t="inlineStr">
        <is>
          <t>Consumer Durables</t>
        </is>
      </c>
    </row>
    <row r="32">
      <c r="A32" t="n">
        <v>27</v>
      </c>
      <c r="B32" t="inlineStr">
        <is>
          <t>Torrent Pharmaceuticals Ltd.</t>
        </is>
      </c>
      <c r="C32" t="inlineStr">
        <is>
          <t>TORNTPHARM</t>
        </is>
      </c>
      <c r="D32" t="inlineStr">
        <is>
          <t>Healthcare</t>
        </is>
      </c>
    </row>
    <row r="33">
      <c r="A33" t="n">
        <v>28</v>
      </c>
      <c r="B33" t="inlineStr">
        <is>
          <t>TVS Motor Company Ltd.</t>
        </is>
      </c>
      <c r="C33" t="inlineStr">
        <is>
          <t>TVSMOTOR</t>
        </is>
      </c>
      <c r="D33" t="inlineStr">
        <is>
          <t>Automobile and Auto Components</t>
        </is>
      </c>
    </row>
    <row r="34">
      <c r="A34" t="n">
        <v>29</v>
      </c>
      <c r="B34" t="inlineStr">
        <is>
          <t>UltraTech Cement Ltd.</t>
        </is>
      </c>
      <c r="C34" t="inlineStr">
        <is>
          <t>ULTRACEMCO</t>
        </is>
      </c>
      <c r="D34" t="inlineStr">
        <is>
          <t>Construction Materials</t>
        </is>
      </c>
    </row>
    <row r="35">
      <c r="A35" t="n">
        <v>30</v>
      </c>
      <c r="B35" t="inlineStr">
        <is>
          <t>Zydus Lifesciences Ltd.</t>
        </is>
      </c>
      <c r="C35" t="inlineStr">
        <is>
          <t>ZYDUSLIFE</t>
        </is>
      </c>
      <c r="D3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2026-10-23T17:27:48Z</dcterms:created>
  <dcterms:modified xsi:type="dcterms:W3CDTF">2026-10-23T17:28:15Z</dcterms:modified>
</cp:coreProperties>
</file>