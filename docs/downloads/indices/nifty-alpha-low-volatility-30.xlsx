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 Alpha Low-Volatility 30 Valuation Tracker</t>
        </is>
      </c>
    </row>
    <row r="2">
      <c r="A2" s="2" t="inlineStr">
        <is>
          <t>As of</t>
        </is>
      </c>
      <c r="B2" s="3" t="n">
        <v>46286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26224.3</v>
      </c>
      <c r="D5" s="2" t="inlineStr">
        <is>
          <t>P/E</t>
        </is>
      </c>
      <c r="E5" s="7" t="n">
        <v>25.2</v>
      </c>
    </row>
    <row r="6">
      <c r="A6" s="2" t="inlineStr">
        <is>
          <t>P/E percentile</t>
        </is>
      </c>
      <c r="B6" s="8" t="n">
        <v>0.2803030303030303</v>
      </c>
      <c r="D6" s="2" t="inlineStr">
        <is>
          <t>Implied EPS</t>
        </is>
      </c>
      <c r="E6" s="9" t="n">
        <v>1040.646825396825</v>
      </c>
    </row>
    <row r="7">
      <c r="A7" s="2" t="inlineStr">
        <is>
          <t>YoY implied EPS growth</t>
        </is>
      </c>
      <c r="B7" s="8" t="n">
        <v>0.2922921180048439</v>
      </c>
      <c r="D7" s="2" t="inlineStr">
        <is>
          <t>Earnings yield</t>
        </is>
      </c>
      <c r="E7" s="10" t="n">
        <v>0.03968253968253968</v>
      </c>
    </row>
    <row r="8">
      <c r="A8" s="2" t="inlineStr">
        <is>
          <t>Valuation score</t>
        </is>
      </c>
      <c r="B8" s="11" t="n">
        <v>71.96969696969697</v>
      </c>
      <c r="D8" s="2" t="inlineStr">
        <is>
          <t>Growth score</t>
        </is>
      </c>
      <c r="E8" s="11" t="n">
        <v>100</v>
      </c>
    </row>
    <row r="9">
      <c r="A9" s="2" t="inlineStr">
        <is>
          <t>Composite score</t>
        </is>
      </c>
      <c r="B9" s="11" t="n">
        <v>80.37878787878788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29.24</v>
      </c>
      <c r="C13" s="15" t="n">
        <v>30428.51317460317</v>
      </c>
      <c r="D13" s="16" t="n">
        <v>0.1603174603174602</v>
      </c>
    </row>
    <row r="14">
      <c r="A14" t="inlineStr">
        <is>
          <t>HOLD → SELL</t>
        </is>
      </c>
      <c r="B14" s="14" t="n">
        <v>38.14857142857142</v>
      </c>
      <c r="C14" s="15" t="n">
        <v>39699.18975056688</v>
      </c>
      <c r="D14" s="16" t="n">
        <v>0.513832199546485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16" t="n">
        <v>0.4634223027640633</v>
      </c>
      <c r="D18" s="16" t="n">
        <v>0.1261116053462783</v>
      </c>
      <c r="E18" s="16" t="n">
        <v>0.1581647230218486</v>
      </c>
      <c r="F18" s="16" t="n"/>
      <c r="G18" s="16" t="n">
        <v>0</v>
      </c>
    </row>
    <row r="19">
      <c r="A19" t="inlineStr">
        <is>
          <t>Q2</t>
        </is>
      </c>
      <c r="B19" t="n">
        <v>7</v>
      </c>
      <c r="C19" s="16" t="n">
        <v>0.04236617139600818</v>
      </c>
      <c r="D19" s="16" t="n">
        <v>0.1583211156885989</v>
      </c>
      <c r="E19" s="16" t="n">
        <v>0.1504004478881824</v>
      </c>
      <c r="F19" s="16" t="n"/>
      <c r="G19" s="16" t="n">
        <v>0</v>
      </c>
    </row>
    <row r="20">
      <c r="A20" t="inlineStr">
        <is>
          <t>Q3</t>
        </is>
      </c>
      <c r="B20" t="n">
        <v>8</v>
      </c>
      <c r="C20" s="16" t="n">
        <v>0.08605489678642519</v>
      </c>
      <c r="D20" s="16" t="n">
        <v>0.1284448172986647</v>
      </c>
      <c r="E20" s="16" t="n">
        <v>0.1750042708169828</v>
      </c>
      <c r="F20" s="16" t="n"/>
      <c r="G20" s="16" t="n">
        <v>0</v>
      </c>
    </row>
    <row r="21">
      <c r="A21" t="inlineStr">
        <is>
          <t>Q4</t>
        </is>
      </c>
      <c r="B21" t="n">
        <v>7</v>
      </c>
      <c r="C21" s="16" t="n">
        <v>0.05279069872774966</v>
      </c>
      <c r="D21" s="16" t="n">
        <v>0.1546134215014774</v>
      </c>
      <c r="E21" s="16" t="n">
        <v>0.1389965410256879</v>
      </c>
      <c r="F21" s="16" t="n"/>
      <c r="G21" s="16" t="n">
        <v>0</v>
      </c>
    </row>
    <row r="22">
      <c r="A22" t="inlineStr">
        <is>
          <t>Q5 Most Expensive</t>
        </is>
      </c>
      <c r="B22" t="n">
        <v>8</v>
      </c>
      <c r="C22" s="16" t="n">
        <v>-0.02323433435995009</v>
      </c>
      <c r="D22" s="16" t="n">
        <v>0.1538639466543998</v>
      </c>
      <c r="E22" s="16" t="n">
        <v>0.1270429340889412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36</v>
      </c>
    </row>
    <row r="27">
      <c r="A27" s="2" t="inlineStr">
        <is>
          <t>Backtest start</t>
        </is>
      </c>
      <c r="B27" t="inlineStr">
        <is>
          <t>2017-09-30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14288.4</v>
      </c>
      <c r="C2" s="7" t="n">
        <v>35.93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15198</v>
      </c>
      <c r="C3" s="7" t="n">
        <v>35.75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15701.25</v>
      </c>
      <c r="C4" s="7" t="n">
        <v>38.81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16112.75</v>
      </c>
      <c r="C5" s="7" t="n">
        <v>38.39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17316.75</v>
      </c>
      <c r="C6" s="7" t="n">
        <v>39.81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17649.6</v>
      </c>
      <c r="C7" s="7" t="n">
        <v>40.58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17119.05</v>
      </c>
      <c r="C8" s="7" t="n">
        <v>38.26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16909.55</v>
      </c>
      <c r="C9" s="7" t="n">
        <v>37.14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17758.75</v>
      </c>
      <c r="C10" s="7" t="n">
        <v>43.18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16690.65</v>
      </c>
      <c r="C11" s="7" t="n">
        <v>40.33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16405.5</v>
      </c>
      <c r="C12" s="7" t="n">
        <v>39.28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16839.95</v>
      </c>
      <c r="C13" s="7" t="n">
        <v>40.3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16650.2</v>
      </c>
      <c r="C14" s="7" t="n">
        <v>39.26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15850.05</v>
      </c>
      <c r="C15" s="7" t="n">
        <v>37.87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14913.65</v>
      </c>
      <c r="C16" s="7" t="n">
        <v>29.12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16377.35</v>
      </c>
      <c r="C17" s="7" t="n">
        <v>31.45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17014.2</v>
      </c>
      <c r="C18" s="7" t="n">
        <v>31.86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16962.1</v>
      </c>
      <c r="C19" s="7" t="n">
        <v>31.78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17473.05</v>
      </c>
      <c r="C20" s="7" t="n">
        <v>32.54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17808.6</v>
      </c>
      <c r="C21" s="7" t="n">
        <v>32.71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17010.35</v>
      </c>
      <c r="C22" s="7" t="n">
        <v>22.52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16778</v>
      </c>
      <c r="C23" s="7" t="n">
        <v>22.03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16539.85</v>
      </c>
      <c r="C24" s="7" t="n">
        <v>21.03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16779</v>
      </c>
      <c r="C25" s="7" t="n">
        <v>21.33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17571.35</v>
      </c>
      <c r="C26" s="7" t="n">
        <v>22.15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18180.95</v>
      </c>
      <c r="C27" s="7" t="n">
        <v>21.57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19040.95</v>
      </c>
      <c r="C28" s="7" t="n">
        <v>21.03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19822.4</v>
      </c>
      <c r="C29" s="7" t="n">
        <v>21.53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19223.65</v>
      </c>
      <c r="C30" s="7" t="n">
        <v>18.38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19909.05</v>
      </c>
      <c r="C31" s="7" t="n">
        <v>19.04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19613.25</v>
      </c>
      <c r="C32" s="7" t="n">
        <v>18.43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21463.65</v>
      </c>
      <c r="C33" s="7" t="n">
        <v>18.22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23373.2</v>
      </c>
      <c r="C34" s="7" t="n">
        <v>22.59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24381.8</v>
      </c>
      <c r="C35" s="7" t="n">
        <v>22.58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25557.6</v>
      </c>
      <c r="C36" s="7" t="n">
        <v>23.49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26248.05</v>
      </c>
      <c r="C37" s="7" t="n">
        <v>24.13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26503.75</v>
      </c>
      <c r="C38" s="7" t="n">
        <v>23.61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26493.95</v>
      </c>
      <c r="C39" s="7" t="n">
        <v>23.22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28040.3</v>
      </c>
      <c r="C40" s="7" t="n">
        <v>27.35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29850.1</v>
      </c>
      <c r="C41" s="7" t="n">
        <v>28.88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30322.5</v>
      </c>
      <c r="C42" s="7" t="n">
        <v>29.26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31123.3</v>
      </c>
      <c r="C43" s="7" t="n">
        <v>30.05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28483.85</v>
      </c>
      <c r="C44" s="7" t="n">
        <v>27.15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27792.35</v>
      </c>
      <c r="C45" s="7" t="n">
        <v>26.89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27282</v>
      </c>
      <c r="C46" s="7" t="n">
        <v>37.66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26115.2</v>
      </c>
      <c r="C47" s="7" t="n">
        <v>35.66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23657</v>
      </c>
      <c r="C48" s="7" t="n">
        <v>31.05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25142.6</v>
      </c>
      <c r="C49" s="7" t="n">
        <v>33.08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26230</v>
      </c>
      <c r="C50" s="7" t="n">
        <v>34.27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26419.8</v>
      </c>
      <c r="C51" s="7" t="n">
        <v>33.26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27188.9</v>
      </c>
      <c r="C52" s="7" t="n">
        <v>34.77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26423.8</v>
      </c>
      <c r="C53" s="7" t="n">
        <v>33.62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26119.4</v>
      </c>
      <c r="C54" s="7" t="n">
        <v>32.44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25952.95</v>
      </c>
      <c r="C55" s="7" t="n">
        <v>32.24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26793.4</v>
      </c>
      <c r="C56" s="7" t="n">
        <v>32.99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27009.2</v>
      </c>
      <c r="C57" s="7" t="n">
        <v>32.48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27076.95</v>
      </c>
      <c r="C58" s="7" t="n">
        <v>32.61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26297.05</v>
      </c>
      <c r="C59" s="7" t="n">
        <v>31.4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27197.2</v>
      </c>
      <c r="C60" s="7" t="n">
        <v>32.24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23961.3</v>
      </c>
      <c r="C61" s="7" t="n">
        <v>28.47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25710.15</v>
      </c>
      <c r="C62" s="7" t="n">
        <v>30.4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25679.05</v>
      </c>
      <c r="C63" s="7" t="n">
        <v>30.25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26293.1</v>
      </c>
      <c r="C64" s="7" t="n">
        <v>26.57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27460.6</v>
      </c>
      <c r="C65" s="7" t="n">
        <v>27.18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27182.55</v>
      </c>
      <c r="C66" s="7" t="n">
        <v>26.13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43008</v>
      </c>
      <c r="B2" s="6" t="n">
        <v>10219.34</v>
      </c>
      <c r="C2" s="7" t="n">
        <v>24.64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IF(C2="","",(COUNTIFS($D$2:$D$37,D2,$C$2:$C$37,"&gt;0",$C$2:$C$37,"&lt;"&amp;C2)+(COUNTIFS($D$2:$D$37,D2,$C$2:$C$37,C2)+1)/2)/COUNTIFS($D$2:$D$37,D2,$C$2:$C$37,"&gt;0"))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 t="n"/>
    </row>
    <row r="3">
      <c r="A3" s="18" t="n">
        <v>43100</v>
      </c>
      <c r="B3" s="6" t="n">
        <v>11295.54</v>
      </c>
      <c r="C3" s="7" t="n">
        <v>33.12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IF(C3="","",(COUNTIFS($D$2:$D$37,D3,$C$2:$C$37,"&gt;0",$C$2:$C$37,"&lt;"&amp;C3)+(COUNTIFS($D$2:$D$37,D3,$C$2:$C$37,C3)+1)/2)/COUNTIFS($D$2:$D$37,D3,$C$2:$C$37,"&gt;0"))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43190</v>
      </c>
      <c r="B4" s="6" t="n">
        <v>10720.67</v>
      </c>
      <c r="C4" s="7" t="n">
        <v>31.47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IF(C4="","",(COUNTIFS($D$2:$D$37,D4,$C$2:$C$37,"&gt;0",$C$2:$C$37,"&lt;"&amp;C4)+(COUNTIFS($D$2:$D$37,D4,$C$2:$C$37,C4)+1)/2)/COUNTIFS($D$2:$D$37,D4,$C$2:$C$37,"&gt;0"))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43281</v>
      </c>
      <c r="B5" s="6" t="n">
        <v>11406.44</v>
      </c>
      <c r="C5" s="7" t="n">
        <v>28.87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IF(C5="","",(COUNTIFS($D$2:$D$37,D5,$C$2:$C$37,"&gt;0",$C$2:$C$37,"&lt;"&amp;C5)+(COUNTIFS($D$2:$D$37,D5,$C$2:$C$37,C5)+1)/2)/COUNTIFS($D$2:$D$37,D5,$C$2:$C$37,"&gt;0"))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43373</v>
      </c>
      <c r="B6" s="6" t="n">
        <v>11356.59</v>
      </c>
      <c r="C6" s="7" t="n">
        <v>27.38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IF(C6="","",(COUNTIFS($D$2:$D$37,D6,$C$2:$C$37,"&gt;0",$C$2:$C$37,"&lt;"&amp;C6)+(COUNTIFS($D$2:$D$37,D6,$C$2:$C$37,C6)+1)/2)/COUNTIFS($D$2:$D$37,D6,$C$2:$C$37,"&gt;0"))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43465</v>
      </c>
      <c r="B7" s="6" t="n">
        <v>11600.4</v>
      </c>
      <c r="C7" s="7" t="n">
        <v>28.82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IF(C7="","",(COUNTIFS($D$2:$D$37,D7,$C$2:$C$37,"&gt;0",$C$2:$C$37,"&lt;"&amp;C7)+(COUNTIFS($D$2:$D$37,D7,$C$2:$C$37,C7)+1)/2)/COUNTIFS($D$2:$D$37,D7,$C$2:$C$37,"&gt;0"))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43555</v>
      </c>
      <c r="B8" s="6" t="n">
        <v>11719.25</v>
      </c>
      <c r="C8" s="7" t="n">
        <v>29.48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IF(C8="","",(COUNTIFS($D$2:$D$37,D8,$C$2:$C$37,"&gt;0",$C$2:$C$37,"&lt;"&amp;C8)+(COUNTIFS($D$2:$D$37,D8,$C$2:$C$37,C8)+1)/2)/COUNTIFS($D$2:$D$37,D8,$C$2:$C$37,"&gt;0"))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43646</v>
      </c>
      <c r="B9" s="6" t="n">
        <v>11782.03</v>
      </c>
      <c r="C9" s="7" t="n">
        <v>34.8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IF(C9="","",(COUNTIFS($D$2:$D$37,D9,$C$2:$C$37,"&gt;0",$C$2:$C$37,"&lt;"&amp;C9)+(COUNTIFS($D$2:$D$37,D9,$C$2:$C$37,C9)+1)/2)/COUNTIFS($D$2:$D$37,D9,$C$2:$C$37,"&gt;0"))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43738</v>
      </c>
      <c r="B10" s="6" t="n">
        <v>11875.91</v>
      </c>
      <c r="C10" s="7" t="n">
        <v>31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IF(C10="","",(COUNTIFS($D$2:$D$37,D10,$C$2:$C$37,"&gt;0",$C$2:$C$37,"&lt;"&amp;C10)+(COUNTIFS($D$2:$D$37,D10,$C$2:$C$37,C10)+1)/2)/COUNTIFS($D$2:$D$37,D10,$C$2:$C$37,"&gt;0"))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43830</v>
      </c>
      <c r="B11" s="6" t="n">
        <v>12052.86</v>
      </c>
      <c r="C11" s="7" t="n">
        <v>29.35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IF(C11="","",(COUNTIFS($D$2:$D$37,D11,$C$2:$C$37,"&gt;0",$C$2:$C$37,"&lt;"&amp;C11)+(COUNTIFS($D$2:$D$37,D11,$C$2:$C$37,C11)+1)/2)/COUNTIFS($D$2:$D$37,D11,$C$2:$C$37,"&gt;0"))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43921</v>
      </c>
      <c r="B12" s="6" t="n">
        <v>9706.52</v>
      </c>
      <c r="C12" s="7" t="n">
        <v>22.47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IF(C12="","",(COUNTIFS($D$2:$D$37,D12,$C$2:$C$37,"&gt;0",$C$2:$C$37,"&lt;"&amp;C12)+(COUNTIFS($D$2:$D$37,D12,$C$2:$C$37,C12)+1)/2)/COUNTIFS($D$2:$D$37,D12,$C$2:$C$37,"&gt;0"))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44012</v>
      </c>
      <c r="B13" s="6" t="n">
        <v>10970.14</v>
      </c>
      <c r="C13" s="7" t="n">
        <v>27.71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IF(C13="","",(COUNTIFS($D$2:$D$37,D13,$C$2:$C$37,"&gt;0",$C$2:$C$37,"&lt;"&amp;C13)+(COUNTIFS($D$2:$D$37,D13,$C$2:$C$37,C13)+1)/2)/COUNTIFS($D$2:$D$37,D13,$C$2:$C$37,"&gt;0"))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44104</v>
      </c>
      <c r="B14" s="6" t="n">
        <v>12023.6</v>
      </c>
      <c r="C14" s="7" t="n">
        <v>31.03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IF(C14="","",(COUNTIFS($D$2:$D$37,D14,$C$2:$C$37,"&gt;0",$C$2:$C$37,"&lt;"&amp;C14)+(COUNTIFS($D$2:$D$37,D14,$C$2:$C$37,C14)+1)/2)/COUNTIFS($D$2:$D$37,D14,$C$2:$C$37,"&gt;0"))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44196</v>
      </c>
      <c r="B15" s="6" t="n">
        <v>13730.4</v>
      </c>
      <c r="C15" s="7" t="n">
        <v>36.31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IF(C15="","",(COUNTIFS($D$2:$D$37,D15,$C$2:$C$37,"&gt;0",$C$2:$C$37,"&lt;"&amp;C15)+(COUNTIFS($D$2:$D$37,D15,$C$2:$C$37,C15)+1)/2)/COUNTIFS($D$2:$D$37,D15,$C$2:$C$37,"&gt;0"))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44286</v>
      </c>
      <c r="B16" s="6" t="n">
        <v>14115.35</v>
      </c>
      <c r="C16" s="7" t="n">
        <v>35.41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IF(C16="","",(COUNTIFS($D$2:$D$37,D16,$C$2:$C$37,"&gt;0",$C$2:$C$37,"&lt;"&amp;C16)+(COUNTIFS($D$2:$D$37,D16,$C$2:$C$37,C16)+1)/2)/COUNTIFS($D$2:$D$37,D16,$C$2:$C$37,"&gt;0"))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44377</v>
      </c>
      <c r="B17" s="6" t="n">
        <v>15701.25</v>
      </c>
      <c r="C17" s="7" t="n">
        <v>38.81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IF(C17="","",(COUNTIFS($D$2:$D$37,D17,$C$2:$C$37,"&gt;0",$C$2:$C$37,"&lt;"&amp;C17)+(COUNTIFS($D$2:$D$37,D17,$C$2:$C$37,C17)+1)/2)/COUNTIFS($D$2:$D$37,D17,$C$2:$C$37,"&gt;0"))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44469</v>
      </c>
      <c r="B18" s="6" t="n">
        <v>17649.6</v>
      </c>
      <c r="C18" s="7" t="n">
        <v>40.58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IF(C18="","",(COUNTIFS($D$2:$D$37,D18,$C$2:$C$37,"&gt;0",$C$2:$C$37,"&lt;"&amp;C18)+(COUNTIFS($D$2:$D$37,D18,$C$2:$C$37,C18)+1)/2)/COUNTIFS($D$2:$D$37,D18,$C$2:$C$37,"&gt;0"))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 t="n"/>
      <c r="L18" s="16" t="n"/>
    </row>
    <row r="19">
      <c r="A19" s="18" t="n">
        <v>44561</v>
      </c>
      <c r="B19" s="6" t="n">
        <v>17758.75</v>
      </c>
      <c r="C19" s="7" t="n">
        <v>43.18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IF(C19="","",(COUNTIFS($D$2:$D$37,D19,$C$2:$C$37,"&gt;0",$C$2:$C$37,"&lt;"&amp;C19)+(COUNTIFS($D$2:$D$37,D19,$C$2:$C$37,C19)+1)/2)/COUNTIFS($D$2:$D$37,D19,$C$2:$C$37,"&gt;0"))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 t="n"/>
      <c r="L19" s="16" t="n"/>
    </row>
    <row r="20">
      <c r="A20" s="18" t="n">
        <v>44651</v>
      </c>
      <c r="B20" s="6" t="n">
        <v>16839.95</v>
      </c>
      <c r="C20" s="7" t="n">
        <v>40.3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IF(C20="","",(COUNTIFS($D$2:$D$37,D20,$C$2:$C$37,"&gt;0",$C$2:$C$37,"&lt;"&amp;C20)+(COUNTIFS($D$2:$D$37,D20,$C$2:$C$37,C20)+1)/2)/COUNTIFS($D$2:$D$37,D20,$C$2:$C$37,"&gt;0"))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 t="n"/>
      <c r="L20" s="16" t="n"/>
    </row>
    <row r="21">
      <c r="A21" s="18" t="n">
        <v>44742</v>
      </c>
      <c r="B21" s="6" t="n">
        <v>14913.65</v>
      </c>
      <c r="C21" s="7" t="n">
        <v>29.12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IF(C21="","",(COUNTIFS($D$2:$D$37,D21,$C$2:$C$37,"&gt;0",$C$2:$C$37,"&lt;"&amp;C21)+(COUNTIFS($D$2:$D$37,D21,$C$2:$C$37,C21)+1)/2)/COUNTIFS($D$2:$D$37,D21,$C$2:$C$37,"&gt;0"))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 t="n"/>
      <c r="L21" s="16" t="n"/>
    </row>
    <row r="22">
      <c r="A22" s="18" t="n">
        <v>44834</v>
      </c>
      <c r="B22" s="6" t="n">
        <v>16962.1</v>
      </c>
      <c r="C22" s="7" t="n">
        <v>31.78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IF(C22="","",(COUNTIFS($D$2:$D$37,D22,$C$2:$C$37,"&gt;0",$C$2:$C$37,"&lt;"&amp;C22)+(COUNTIFS($D$2:$D$37,D22,$C$2:$C$37,C22)+1)/2)/COUNTIFS($D$2:$D$37,D22,$C$2:$C$37,"&gt;0"))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 t="n"/>
      <c r="L22" s="16" t="n"/>
    </row>
    <row r="23">
      <c r="A23" s="18" t="n">
        <v>44926</v>
      </c>
      <c r="B23" s="6" t="n">
        <v>17010.35</v>
      </c>
      <c r="C23" s="7" t="n">
        <v>22.52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IF(C23="","",(COUNTIFS($D$2:$D$37,D23,$C$2:$C$37,"&gt;0",$C$2:$C$37,"&lt;"&amp;C23)+(COUNTIFS($D$2:$D$37,D23,$C$2:$C$37,C23)+1)/2)/COUNTIFS($D$2:$D$37,D23,$C$2:$C$37,"&gt;0"))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 t="n"/>
      <c r="L23" s="16" t="n"/>
    </row>
    <row r="24">
      <c r="A24" s="18" t="n">
        <v>45016</v>
      </c>
      <c r="B24" s="6" t="n">
        <v>16779</v>
      </c>
      <c r="C24" s="7" t="n">
        <v>21.33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IF(C24="","",(COUNTIFS($D$2:$D$37,D24,$C$2:$C$37,"&gt;0",$C$2:$C$37,"&lt;"&amp;C24)+(COUNTIFS($D$2:$D$37,D24,$C$2:$C$37,C24)+1)/2)/COUNTIFS($D$2:$D$37,D24,$C$2:$C$37,"&gt;0"))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 t="n"/>
      <c r="L24" s="16" t="n"/>
    </row>
    <row r="25">
      <c r="A25" s="18" t="n">
        <v>45107</v>
      </c>
      <c r="B25" s="6" t="n">
        <v>19040.95</v>
      </c>
      <c r="C25" s="7" t="n">
        <v>21.03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IF(C25="","",(COUNTIFS($D$2:$D$37,D25,$C$2:$C$37,"&gt;0",$C$2:$C$37,"&lt;"&amp;C25)+(COUNTIFS($D$2:$D$37,D25,$C$2:$C$37,C25)+1)/2)/COUNTIFS($D$2:$D$37,D25,$C$2:$C$37,"&gt;0"))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45199</v>
      </c>
      <c r="B26" s="6" t="n">
        <v>19909.05</v>
      </c>
      <c r="C26" s="7" t="n">
        <v>19.04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IF(C26="","",(COUNTIFS($D$2:$D$37,D26,$C$2:$C$37,"&gt;0",$C$2:$C$37,"&lt;"&amp;C26)+(COUNTIFS($D$2:$D$37,D26,$C$2:$C$37,C26)+1)/2)/COUNTIFS($D$2:$D$37,D26,$C$2:$C$37,"&gt;0"))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 t="n"/>
      <c r="K26" s="16" t="n"/>
      <c r="L26" s="16" t="n"/>
    </row>
    <row r="27">
      <c r="A27" s="18" t="n">
        <v>45291</v>
      </c>
      <c r="B27" s="6" t="n">
        <v>23373.2</v>
      </c>
      <c r="C27" s="7" t="n">
        <v>22.59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IF(C27="","",(COUNTIFS($D$2:$D$37,D27,$C$2:$C$37,"&gt;0",$C$2:$C$37,"&lt;"&amp;C27)+(COUNTIFS($D$2:$D$37,D27,$C$2:$C$37,C27)+1)/2)/COUNTIFS($D$2:$D$37,D27,$C$2:$C$37,"&gt;0"))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 t="n"/>
      <c r="K27" s="16" t="n"/>
      <c r="L27" s="16" t="n"/>
    </row>
    <row r="28">
      <c r="A28" s="18" t="n">
        <v>45382</v>
      </c>
      <c r="B28" s="6" t="n">
        <v>26248.05</v>
      </c>
      <c r="C28" s="7" t="n">
        <v>24.13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IF(C28="","",(COUNTIFS($D$2:$D$37,D28,$C$2:$C$37,"&gt;0",$C$2:$C$37,"&lt;"&amp;C28)+(COUNTIFS($D$2:$D$37,D28,$C$2:$C$37,C28)+1)/2)/COUNTIFS($D$2:$D$37,D28,$C$2:$C$37,"&gt;0"))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 t="n"/>
      <c r="K28" s="16" t="n"/>
      <c r="L28" s="16" t="n"/>
    </row>
    <row r="29">
      <c r="A29" s="18" t="n">
        <v>45473</v>
      </c>
      <c r="B29" s="6" t="n">
        <v>28040.3</v>
      </c>
      <c r="C29" s="7" t="n">
        <v>27.35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IF(C29="","",(COUNTIFS($D$2:$D$37,D29,$C$2:$C$37,"&gt;0",$C$2:$C$37,"&lt;"&amp;C29)+(COUNTIFS($D$2:$D$37,D29,$C$2:$C$37,C29)+1)/2)/COUNTIFS($D$2:$D$37,D29,$C$2:$C$37,"&gt;0"))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 t="n"/>
      <c r="K29" s="16" t="n"/>
      <c r="L29" s="16" t="n"/>
    </row>
    <row r="30">
      <c r="A30" s="18" t="n">
        <v>45565</v>
      </c>
      <c r="B30" s="6" t="n">
        <v>31123.3</v>
      </c>
      <c r="C30" s="7" t="n">
        <v>30.05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IF(C30="","",(COUNTIFS($D$2:$D$37,D30,$C$2:$C$37,"&gt;0",$C$2:$C$37,"&lt;"&amp;C30)+(COUNTIFS($D$2:$D$37,D30,$C$2:$C$37,C30)+1)/2)/COUNTIFS($D$2:$D$37,D30,$C$2:$C$37,"&gt;0"))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 t="n"/>
      <c r="K30" s="16" t="n"/>
      <c r="L30" s="16" t="n"/>
    </row>
    <row r="31">
      <c r="A31" s="18" t="n">
        <v>45657</v>
      </c>
      <c r="B31" s="6" t="n">
        <v>27282</v>
      </c>
      <c r="C31" s="7" t="n">
        <v>37.66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IF(C31="","",(COUNTIFS($D$2:$D$37,D31,$C$2:$C$37,"&gt;0",$C$2:$C$37,"&lt;"&amp;C31)+(COUNTIFS($D$2:$D$37,D31,$C$2:$C$37,C31)+1)/2)/COUNTIFS($D$2:$D$37,D31,$C$2:$C$37,"&gt;0"))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 t="n"/>
      <c r="K31" s="16" t="n"/>
      <c r="L31" s="16" t="n"/>
    </row>
    <row r="32">
      <c r="A32" s="18" t="n">
        <v>45747</v>
      </c>
      <c r="B32" s="6" t="n">
        <v>25142.6</v>
      </c>
      <c r="C32" s="7" t="n">
        <v>33.08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IF(C32="","",(COUNTIFS($D$2:$D$37,D32,$C$2:$C$37,"&gt;0",$C$2:$C$37,"&lt;"&amp;C32)+(COUNTIFS($D$2:$D$37,D32,$C$2:$C$37,C32)+1)/2)/COUNTIFS($D$2:$D$37,D32,$C$2:$C$37,"&gt;0"))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 t="n"/>
      <c r="K32" s="16" t="n"/>
      <c r="L32" s="16" t="n"/>
    </row>
    <row r="33">
      <c r="A33" s="18" t="n">
        <v>45838</v>
      </c>
      <c r="B33" s="6" t="n">
        <v>27188.9</v>
      </c>
      <c r="C33" s="7" t="n">
        <v>34.77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IF(C33="","",(COUNTIFS($D$2:$D$37,D33,$C$2:$C$37,"&gt;0",$C$2:$C$37,"&lt;"&amp;C33)+(COUNTIFS($D$2:$D$37,D33,$C$2:$C$37,C33)+1)/2)/COUNTIFS($D$2:$D$37,D33,$C$2:$C$37,"&gt;0"))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45930</v>
      </c>
      <c r="B34" s="6" t="n">
        <v>25952.95</v>
      </c>
      <c r="C34" s="7" t="n">
        <v>32.24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IF(C34="","",(COUNTIFS($D$2:$D$37,D34,$C$2:$C$37,"&gt;0",$C$2:$C$37,"&lt;"&amp;C34)+(COUNTIFS($D$2:$D$37,D34,$C$2:$C$37,C34)+1)/2)/COUNTIFS($D$2:$D$37,D34,$C$2:$C$37,"&gt;0"))</f>
        <v/>
      </c>
      <c r="H34">
        <f>IF(G34="","",IF(G34&lt;=20%,"Q1 Cheapest",IF(G34&lt;=40%,"Q2",IF(G34&lt;=60%,"Q3",IF(G34&lt;=80%,"Q4","Q5 Most Expensive")))))</f>
        <v/>
      </c>
      <c r="I34" s="16" t="n"/>
      <c r="J34" s="16" t="n"/>
      <c r="K34" s="16" t="n"/>
      <c r="L34" s="16" t="n"/>
    </row>
    <row r="35">
      <c r="A35" s="18" t="n">
        <v>46022</v>
      </c>
      <c r="B35" s="6" t="n">
        <v>27076.95</v>
      </c>
      <c r="C35" s="7" t="n">
        <v>32.61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IF(C35="","",(COUNTIFS($D$2:$D$37,D35,$C$2:$C$37,"&gt;0",$C$2:$C$37,"&lt;"&amp;C35)+(COUNTIFS($D$2:$D$37,D35,$C$2:$C$37,C35)+1)/2)/COUNTIFS($D$2:$D$37,D35,$C$2:$C$37,"&gt;0"))</f>
        <v/>
      </c>
      <c r="H35">
        <f>IF(G35="","",IF(G35&lt;=20%,"Q1 Cheapest",IF(G35&lt;=40%,"Q2",IF(G35&lt;=60%,"Q3",IF(G35&lt;=80%,"Q4","Q5 Most Expensive")))))</f>
        <v/>
      </c>
      <c r="I35" s="16" t="n"/>
      <c r="J35" s="16" t="n"/>
      <c r="K35" s="16" t="n"/>
      <c r="L35" s="16" t="n"/>
    </row>
    <row r="36">
      <c r="A36" s="18" t="n">
        <v>46112</v>
      </c>
      <c r="B36" s="6" t="n">
        <v>23961.3</v>
      </c>
      <c r="C36" s="7" t="n">
        <v>28.47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IF(C36="","",(COUNTIFS($D$2:$D$37,D36,$C$2:$C$37,"&gt;0",$C$2:$C$37,"&lt;"&amp;C36)+(COUNTIFS($D$2:$D$37,D36,$C$2:$C$37,C36)+1)/2)/COUNTIFS($D$2:$D$37,D36,$C$2:$C$37,"&gt;0"))</f>
        <v/>
      </c>
      <c r="H36">
        <f>IF(G36="","",IF(G36&lt;=20%,"Q1 Cheapest",IF(G36&lt;=40%,"Q2",IF(G36&lt;=60%,"Q3",IF(G36&lt;=80%,"Q4","Q5 Most Expensive")))))</f>
        <v/>
      </c>
      <c r="I36" s="16" t="n"/>
      <c r="J36" s="16" t="n"/>
      <c r="K36" s="16" t="n"/>
      <c r="L36" s="16" t="n"/>
    </row>
    <row r="37">
      <c r="A37" s="18" t="n">
        <v>46203</v>
      </c>
      <c r="B37" s="6" t="n">
        <v>26293.1</v>
      </c>
      <c r="C37" s="7" t="n">
        <v>26.57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IF(C37="","",(COUNTIFS($D$2:$D$37,D37,$C$2:$C$37,"&gt;0",$C$2:$C$37,"&lt;"&amp;C37)+(COUNTIFS($D$2:$D$37,D37,$C$2:$C$37,C37)+1)/2)/COUNTIFS($D$2:$D$37,D37,$C$2:$C$37,"&gt;0"))</f>
        <v/>
      </c>
      <c r="H37">
        <f>IF(G37="","",IF(G37&lt;=20%,"Q1 Cheapest",IF(G37&lt;=40%,"Q2",IF(G37&lt;=60%,"Q3",IF(G37&lt;=80%,"Q4","Q5 Most Expensive")))))</f>
        <v/>
      </c>
      <c r="I37" s="16" t="n"/>
      <c r="J37" s="16" t="n"/>
      <c r="K37" s="16" t="n"/>
      <c r="L37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26110.95</v>
      </c>
      <c r="C2" s="7" t="n">
        <v>25.1</v>
      </c>
      <c r="D2" s="8" t="n">
        <v>0.280303030303</v>
      </c>
      <c r="E2" s="8" t="n">
        <v>0.291714135634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26224.3</v>
      </c>
      <c r="C3" s="7" t="n">
        <v>25.2</v>
      </c>
      <c r="D3" s="8" t="n">
        <v>0.280303030303</v>
      </c>
      <c r="E3" s="8" t="n">
        <v>0.292292118005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2026-09-21T12:04:40Z</dcterms:created>
  <dcterms:modified xsi:type="dcterms:W3CDTF">2026-09-21T12:04:41Z</dcterms:modified>
</cp:coreProperties>
</file>