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Midsmallcap 400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Broad Market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21183.7</v>
      </c>
      <c r="D5" s="2" t="inlineStr">
        <is>
          <t>P/E</t>
        </is>
      </c>
      <c r="E5" s="7" t="n">
        <v>30.14</v>
      </c>
    </row>
    <row r="6">
      <c r="A6" s="2" t="inlineStr">
        <is>
          <t>P/E percentile</t>
        </is>
      </c>
      <c r="B6" s="8" t="n">
        <v>0.4621212121212121</v>
      </c>
      <c r="D6" s="2" t="inlineStr">
        <is>
          <t>Implied EPS</t>
        </is>
      </c>
      <c r="E6" s="9" t="n">
        <v>702.843397478434</v>
      </c>
    </row>
    <row r="7">
      <c r="A7" s="2" t="inlineStr">
        <is>
          <t>YoY implied EPS growth</t>
        </is>
      </c>
      <c r="B7" s="8" t="n">
        <v>0.1652240870393891</v>
      </c>
      <c r="D7" s="2" t="inlineStr">
        <is>
          <t>Earnings yield</t>
        </is>
      </c>
      <c r="E7" s="10" t="n">
        <v>0.033178500331785</v>
      </c>
    </row>
    <row r="8">
      <c r="A8" s="2" t="inlineStr">
        <is>
          <t>Valuation score</t>
        </is>
      </c>
      <c r="B8" s="11" t="n">
        <v>53.78787878787878</v>
      </c>
      <c r="D8" s="2" t="inlineStr">
        <is>
          <t>Growth score</t>
        </is>
      </c>
      <c r="E8" s="11" t="n">
        <v>83.04481740787782</v>
      </c>
    </row>
    <row r="9">
      <c r="A9" s="2" t="inlineStr">
        <is>
          <t>Composite score</t>
        </is>
      </c>
      <c r="B9" s="11" t="n">
        <v>62.56496037387848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27.65419142885277</v>
      </c>
      <c r="C13" s="15" t="n">
        <v>19436.56585837387</v>
      </c>
      <c r="D13" s="16" t="n">
        <v>-0.08247540050256252</v>
      </c>
    </row>
    <row r="14">
      <c r="A14" t="inlineStr">
        <is>
          <t>HOLD → SELL</t>
        </is>
      </c>
      <c r="B14" s="14" t="n">
        <v>33.49856900446541</v>
      </c>
      <c r="C14" s="15" t="n">
        <v>23544.24804976423</v>
      </c>
      <c r="D14" s="16" t="n">
        <v>0.1114322828289784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16" t="n">
        <v>0.3252360662055971</v>
      </c>
      <c r="D18" s="16" t="n">
        <v>0.2389859316348657</v>
      </c>
      <c r="E18" s="16" t="n">
        <v>0.3080232535389313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0.1192970637010133</v>
      </c>
      <c r="D19" s="16" t="n">
        <v>0.1943899449693794</v>
      </c>
      <c r="E19" s="16" t="n">
        <v>0.244757042126692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0.03855243177650913</v>
      </c>
      <c r="D20" s="16" t="n">
        <v>0.1552025128157288</v>
      </c>
      <c r="E20" s="16" t="n">
        <v>0.144794128736944</v>
      </c>
      <c r="F20" s="16" t="n">
        <v>0.1636365010662992</v>
      </c>
      <c r="G20" s="16" t="n">
        <v>0.3333333333333333</v>
      </c>
    </row>
    <row r="21">
      <c r="A21" t="inlineStr">
        <is>
          <t>Q4</t>
        </is>
      </c>
      <c r="B21" t="n">
        <v>8</v>
      </c>
      <c r="C21" s="16" t="n">
        <v>0.006062315094837845</v>
      </c>
      <c r="D21" s="16" t="n">
        <v>0.05061655540752419</v>
      </c>
      <c r="E21" s="16" t="n">
        <v>0.1548991236646319</v>
      </c>
      <c r="F21" s="16" t="n"/>
      <c r="G21" s="16" t="n">
        <v>0.25</v>
      </c>
    </row>
    <row r="22">
      <c r="A22" t="inlineStr">
        <is>
          <t>Q5 Most Expensive</t>
        </is>
      </c>
      <c r="B22" t="n">
        <v>9</v>
      </c>
      <c r="C22" s="16" t="n">
        <v>0.01198312151806236</v>
      </c>
      <c r="D22" s="16" t="n">
        <v>0.2647594617434795</v>
      </c>
      <c r="E22" s="16" t="n">
        <v>0.1660133018727705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41</v>
      </c>
    </row>
    <row r="27">
      <c r="A27" s="2" t="inlineStr">
        <is>
          <t>Backtest start</t>
        </is>
      </c>
      <c r="B27" t="inlineStr">
        <is>
          <t>2016-06-30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8463.049999999999</v>
      </c>
      <c r="C2" s="7" t="n">
        <v>42.84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9099.85</v>
      </c>
      <c r="C3" s="7" t="n">
        <v>38.34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9559.299999999999</v>
      </c>
      <c r="C4" s="7" t="n">
        <v>35.22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10007.9</v>
      </c>
      <c r="C5" s="7" t="n">
        <v>33.8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10052.6</v>
      </c>
      <c r="C6" s="7" t="n">
        <v>28.58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10642.9</v>
      </c>
      <c r="C7" s="7" t="n">
        <v>31.6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10666.3</v>
      </c>
      <c r="C8" s="7" t="n">
        <v>30.79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10543.9</v>
      </c>
      <c r="C9" s="7" t="n">
        <v>29.45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10928.5</v>
      </c>
      <c r="C10" s="7" t="n">
        <v>30.7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10835.2</v>
      </c>
      <c r="C11" s="7" t="n">
        <v>30.26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9996.450000000001</v>
      </c>
      <c r="C12" s="7" t="n">
        <v>26.62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10521.5</v>
      </c>
      <c r="C13" s="7" t="n">
        <v>26.21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10585.6</v>
      </c>
      <c r="C14" s="7" t="n">
        <v>26.21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9917.450000000001</v>
      </c>
      <c r="C15" s="7" t="n">
        <v>22.79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9340.6</v>
      </c>
      <c r="C16" s="7" t="n">
        <v>21.69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10331.7</v>
      </c>
      <c r="C17" s="7" t="n">
        <v>23.28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10940.75</v>
      </c>
      <c r="C18" s="7" t="n">
        <v>23.53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10773.45</v>
      </c>
      <c r="C19" s="7" t="n">
        <v>22.39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10972.8</v>
      </c>
      <c r="C20" s="7" t="n">
        <v>22.37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11220.05</v>
      </c>
      <c r="C21" s="7" t="n">
        <v>23.37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11025.7</v>
      </c>
      <c r="C22" s="7" t="n">
        <v>23.26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10761.8</v>
      </c>
      <c r="C23" s="7" t="n">
        <v>22.5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10516.95</v>
      </c>
      <c r="C24" s="7" t="n">
        <v>21.48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10428.65</v>
      </c>
      <c r="C25" s="7" t="n">
        <v>20.79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11030.1</v>
      </c>
      <c r="C26" s="7" t="n">
        <v>22.05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11652.4</v>
      </c>
      <c r="C27" s="7" t="n">
        <v>22.81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12378.5</v>
      </c>
      <c r="C28" s="7" t="n">
        <v>24.24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13152.1</v>
      </c>
      <c r="C29" s="7" t="n">
        <v>25.57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13719.8</v>
      </c>
      <c r="C30" s="7" t="n">
        <v>24.86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14111.7</v>
      </c>
      <c r="C31" s="7" t="n">
        <v>25.95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13679.75</v>
      </c>
      <c r="C32" s="7" t="n">
        <v>24.48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15022</v>
      </c>
      <c r="C33" s="7" t="n">
        <v>25.12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16015.55</v>
      </c>
      <c r="C34" s="7" t="n">
        <v>26.8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16917.35</v>
      </c>
      <c r="C35" s="7" t="n">
        <v>27.94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16845.15</v>
      </c>
      <c r="C36" s="7" t="n">
        <v>27.61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16549.9</v>
      </c>
      <c r="C37" s="7" t="n">
        <v>30.78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17839.95</v>
      </c>
      <c r="C38" s="7" t="n">
        <v>32.84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18007.5</v>
      </c>
      <c r="C39" s="7" t="n">
        <v>34.36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19529.65</v>
      </c>
      <c r="C40" s="7" t="n">
        <v>37.31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20491.15</v>
      </c>
      <c r="C41" s="7" t="n">
        <v>39.42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20620.05</v>
      </c>
      <c r="C42" s="7" t="n">
        <v>38.7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20951.9</v>
      </c>
      <c r="C43" s="7" t="n">
        <v>40.37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19818.1</v>
      </c>
      <c r="C44" s="7" t="n">
        <v>38.39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19822.1</v>
      </c>
      <c r="C45" s="7" t="n">
        <v>38.72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19978.1</v>
      </c>
      <c r="C46" s="7" t="n">
        <v>39.56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18423.1</v>
      </c>
      <c r="C47" s="7" t="n">
        <v>35.23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16338.65</v>
      </c>
      <c r="C48" s="7" t="n">
        <v>30.46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17677.95</v>
      </c>
      <c r="C49" s="7" t="n">
        <v>32.07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18234.6</v>
      </c>
      <c r="C50" s="7" t="n">
        <v>32.52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19591.6</v>
      </c>
      <c r="C51" s="7" t="n">
        <v>33.5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20506</v>
      </c>
      <c r="C52" s="7" t="n">
        <v>34.75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19861.1</v>
      </c>
      <c r="C53" s="7" t="n">
        <v>33.34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19232.3</v>
      </c>
      <c r="C54" s="7" t="n">
        <v>31.89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19482.1</v>
      </c>
      <c r="C55" s="7" t="n">
        <v>31.75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20340.95</v>
      </c>
      <c r="C56" s="7" t="n">
        <v>32.85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20308.2</v>
      </c>
      <c r="C57" s="7" t="n">
        <v>31.83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20217.5</v>
      </c>
      <c r="C58" s="7" t="n">
        <v>32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19365.95</v>
      </c>
      <c r="C59" s="7" t="n">
        <v>30.06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19627.5</v>
      </c>
      <c r="C60" s="7" t="n">
        <v>30.08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17524.35</v>
      </c>
      <c r="C61" s="7" t="n">
        <v>28.86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20064.95</v>
      </c>
      <c r="C62" s="7" t="n">
        <v>32.2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20515.85</v>
      </c>
      <c r="C63" s="7" t="n">
        <v>30.35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20932.8</v>
      </c>
      <c r="C64" s="7" t="n">
        <v>31.08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21234.2</v>
      </c>
      <c r="C65" s="7" t="n">
        <v>31.62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21658</v>
      </c>
      <c r="C66" s="7" t="n">
        <v>30.82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42551</v>
      </c>
      <c r="B2" s="6" t="n">
        <v>4598.9</v>
      </c>
      <c r="C2" s="7" t="n">
        <v>52.51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IF(C2="","",(COUNTIFS($D$2:$D$42,D2,$C$2:$C$42,"&gt;0",$C$2:$C$42,"&lt;"&amp;C2)+(COUNTIFS($D$2:$D$42,D2,$C$2:$C$42,C2)+1)/2)/COUNTIFS($D$2:$D$42,D2,$C$2:$C$42,"&gt;0"))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42643</v>
      </c>
      <c r="B3" s="6" t="n">
        <v>5037.48</v>
      </c>
      <c r="C3" s="7" t="n">
        <v>56.6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IF(C3="","",(COUNTIFS($D$2:$D$42,D3,$C$2:$C$42,"&gt;0",$C$2:$C$42,"&lt;"&amp;C3)+(COUNTIFS($D$2:$D$42,D3,$C$2:$C$42,C3)+1)/2)/COUNTIFS($D$2:$D$42,D3,$C$2:$C$42,"&gt;0"))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 t="n"/>
    </row>
    <row r="4">
      <c r="A4" s="18" t="n">
        <v>42735</v>
      </c>
      <c r="B4" s="6" t="n">
        <v>4689</v>
      </c>
      <c r="C4" s="7" t="n">
        <v>52.79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IF(C4="","",(COUNTIFS($D$2:$D$42,D4,$C$2:$C$42,"&gt;0",$C$2:$C$42,"&lt;"&amp;C4)+(COUNTIFS($D$2:$D$42,D4,$C$2:$C$42,C4)+1)/2)/COUNTIFS($D$2:$D$42,D4,$C$2:$C$42,"&gt;0"))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42825</v>
      </c>
      <c r="B5" s="6" t="n">
        <v>5660.4</v>
      </c>
      <c r="C5" s="7" t="n">
        <v>50.28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IF(C5="","",(COUNTIFS($D$2:$D$42,D5,$C$2:$C$42,"&gt;0",$C$2:$C$42,"&lt;"&amp;C5)+(COUNTIFS($D$2:$D$42,D5,$C$2:$C$42,C5)+1)/2)/COUNTIFS($D$2:$D$42,D5,$C$2:$C$42,"&gt;0"))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42916</v>
      </c>
      <c r="B6" s="6" t="n">
        <v>5966.42</v>
      </c>
      <c r="C6" s="7" t="n">
        <v>50.97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IF(C6="","",(COUNTIFS($D$2:$D$42,D6,$C$2:$C$42,"&gt;0",$C$2:$C$42,"&lt;"&amp;C6)+(COUNTIFS($D$2:$D$42,D6,$C$2:$C$42,C6)+1)/2)/COUNTIFS($D$2:$D$42,D6,$C$2:$C$42,"&gt;0"))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43008</v>
      </c>
      <c r="B7" s="6" t="n">
        <v>6176.75</v>
      </c>
      <c r="C7" s="7" t="n">
        <v>53.88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IF(C7="","",(COUNTIFS($D$2:$D$42,D7,$C$2:$C$42,"&gt;0",$C$2:$C$42,"&lt;"&amp;C7)+(COUNTIFS($D$2:$D$42,D7,$C$2:$C$42,C7)+1)/2)/COUNTIFS($D$2:$D$42,D7,$C$2:$C$42,"&gt;0"))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43100</v>
      </c>
      <c r="B8" s="6" t="n">
        <v>7281.14</v>
      </c>
      <c r="C8" s="7" t="n">
        <v>64.65000000000001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IF(C8="","",(COUNTIFS($D$2:$D$42,D8,$C$2:$C$42,"&gt;0",$C$2:$C$42,"&lt;"&amp;C8)+(COUNTIFS($D$2:$D$42,D8,$C$2:$C$42,C8)+1)/2)/COUNTIFS($D$2:$D$42,D8,$C$2:$C$42,"&gt;0"))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43190</v>
      </c>
      <c r="B9" s="6" t="n">
        <v>6479.83</v>
      </c>
      <c r="C9" s="7" t="n">
        <v>61.58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IF(C9="","",(COUNTIFS($D$2:$D$42,D9,$C$2:$C$42,"&gt;0",$C$2:$C$42,"&lt;"&amp;C9)+(COUNTIFS($D$2:$D$42,D9,$C$2:$C$42,C9)+1)/2)/COUNTIFS($D$2:$D$42,D9,$C$2:$C$42,"&gt;0"))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43281</v>
      </c>
      <c r="B10" s="6" t="n">
        <v>6196.44</v>
      </c>
      <c r="C10" s="7" t="n">
        <v>53.5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IF(C10="","",(COUNTIFS($D$2:$D$42,D10,$C$2:$C$42,"&gt;0",$C$2:$C$42,"&lt;"&amp;C10)+(COUNTIFS($D$2:$D$42,D10,$C$2:$C$42,C10)+1)/2)/COUNTIFS($D$2:$D$42,D10,$C$2:$C$42,"&gt;0"))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43373</v>
      </c>
      <c r="B11" s="6" t="n">
        <v>5770.74</v>
      </c>
      <c r="C11" s="7" t="n">
        <v>48.26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IF(C11="","",(COUNTIFS($D$2:$D$42,D11,$C$2:$C$42,"&gt;0",$C$2:$C$42,"&lt;"&amp;C11)+(COUNTIFS($D$2:$D$42,D11,$C$2:$C$42,C11)+1)/2)/COUNTIFS($D$2:$D$42,D11,$C$2:$C$42,"&gt;0"))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43465</v>
      </c>
      <c r="B12" s="6" t="n">
        <v>5971.86</v>
      </c>
      <c r="C12" s="7" t="n">
        <v>40.97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IF(C12="","",(COUNTIFS($D$2:$D$42,D12,$C$2:$C$42,"&gt;0",$C$2:$C$42,"&lt;"&amp;C12)+(COUNTIFS($D$2:$D$42,D12,$C$2:$C$42,C12)+1)/2)/COUNTIFS($D$2:$D$42,D12,$C$2:$C$42,"&gt;0"))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43555</v>
      </c>
      <c r="B13" s="6" t="n">
        <v>6128.7</v>
      </c>
      <c r="C13" s="7" t="n">
        <v>34.67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IF(C13="","",(COUNTIFS($D$2:$D$42,D13,$C$2:$C$42,"&gt;0",$C$2:$C$42,"&lt;"&amp;C13)+(COUNTIFS($D$2:$D$42,D13,$C$2:$C$42,C13)+1)/2)/COUNTIFS($D$2:$D$42,D13,$C$2:$C$42,"&gt;0"))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43646</v>
      </c>
      <c r="B14" s="6" t="n">
        <v>5917.65</v>
      </c>
      <c r="C14" s="7" t="n">
        <v>33.41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IF(C14="","",(COUNTIFS($D$2:$D$42,D14,$C$2:$C$42,"&gt;0",$C$2:$C$42,"&lt;"&amp;C14)+(COUNTIFS($D$2:$D$42,D14,$C$2:$C$42,C14)+1)/2)/COUNTIFS($D$2:$D$42,D14,$C$2:$C$42,"&gt;0"))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43738</v>
      </c>
      <c r="B15" s="6" t="n">
        <v>5472</v>
      </c>
      <c r="C15" s="7" t="n">
        <v>31.46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IF(C15="","",(COUNTIFS($D$2:$D$42,D15,$C$2:$C$42,"&gt;0",$C$2:$C$42,"&lt;"&amp;C15)+(COUNTIFS($D$2:$D$42,D15,$C$2:$C$42,C15)+1)/2)/COUNTIFS($D$2:$D$42,D15,$C$2:$C$42,"&gt;0"))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43830</v>
      </c>
      <c r="B16" s="6" t="n">
        <v>5797.05</v>
      </c>
      <c r="C16" s="7" t="n">
        <v>31.56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IF(C16="","",(COUNTIFS($D$2:$D$42,D16,$C$2:$C$42,"&gt;0",$C$2:$C$42,"&lt;"&amp;C16)+(COUNTIFS($D$2:$D$42,D16,$C$2:$C$42,C16)+1)/2)/COUNTIFS($D$2:$D$42,D16,$C$2:$C$42,"&gt;0"))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43921</v>
      </c>
      <c r="B17" s="6" t="n">
        <v>4027.95</v>
      </c>
      <c r="C17" s="7" t="n">
        <v>24.19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IF(C17="","",(COUNTIFS($D$2:$D$42,D17,$C$2:$C$42,"&gt;0",$C$2:$C$42,"&lt;"&amp;C17)+(COUNTIFS($D$2:$D$42,D17,$C$2:$C$42,C17)+1)/2)/COUNTIFS($D$2:$D$42,D17,$C$2:$C$42,"&gt;0"))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44012</v>
      </c>
      <c r="B18" s="6" t="n">
        <v>5065.05</v>
      </c>
      <c r="C18" s="7" t="n">
        <v>47.45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IF(C18="","",(COUNTIFS($D$2:$D$42,D18,$C$2:$C$42,"&gt;0",$C$2:$C$42,"&lt;"&amp;C18)+(COUNTIFS($D$2:$D$42,D18,$C$2:$C$42,C18)+1)/2)/COUNTIFS($D$2:$D$42,D18,$C$2:$C$42,"&gt;0"))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44104</v>
      </c>
      <c r="B19" s="6" t="n">
        <v>5952.2</v>
      </c>
      <c r="C19" s="7" t="n">
        <v>457.89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IF(C19="","",(COUNTIFS($D$2:$D$42,D19,$C$2:$C$42,"&gt;0",$C$2:$C$42,"&lt;"&amp;C19)+(COUNTIFS($D$2:$D$42,D19,$C$2:$C$42,C19)+1)/2)/COUNTIFS($D$2:$D$42,D19,$C$2:$C$42,"&gt;0"))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44196</v>
      </c>
      <c r="B20" s="6" t="n">
        <v>7224.4</v>
      </c>
      <c r="C20" s="7" t="n">
        <v>81.28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IF(C20="","",(COUNTIFS($D$2:$D$42,D20,$C$2:$C$42,"&gt;0",$C$2:$C$42,"&lt;"&amp;C20)+(COUNTIFS($D$2:$D$42,D20,$C$2:$C$42,C20)+1)/2)/COUNTIFS($D$2:$D$42,D20,$C$2:$C$42,"&gt;0"))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44286</v>
      </c>
      <c r="B21" s="6" t="n">
        <v>8260.950000000001</v>
      </c>
      <c r="C21" s="7" t="n">
        <v>41.34</v>
      </c>
      <c r="D21" s="2" t="inlineStr">
        <is>
          <t>Consolidated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IF(C21="","",(COUNTIFS($D$2:$D$42,D21,$C$2:$C$42,"&gt;0",$C$2:$C$42,"&lt;"&amp;C21)+(COUNTIFS($D$2:$D$42,D21,$C$2:$C$42,C21)+1)/2)/COUNTIFS($D$2:$D$42,D21,$C$2:$C$42,"&gt;0"))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44377</v>
      </c>
      <c r="B22" s="6" t="n">
        <v>9559.299999999999</v>
      </c>
      <c r="C22" s="7" t="n">
        <v>35.22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IF(C22="","",(COUNTIFS($D$2:$D$42,D22,$C$2:$C$42,"&gt;0",$C$2:$C$42,"&lt;"&amp;C22)+(COUNTIFS($D$2:$D$42,D22,$C$2:$C$42,C22)+1)/2)/COUNTIFS($D$2:$D$42,D22,$C$2:$C$42,"&gt;0"))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44469</v>
      </c>
      <c r="B23" s="6" t="n">
        <v>10642.9</v>
      </c>
      <c r="C23" s="7" t="n">
        <v>31.6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IF(C23="","",(COUNTIFS($D$2:$D$42,D23,$C$2:$C$42,"&gt;0",$C$2:$C$42,"&lt;"&amp;C23)+(COUNTIFS($D$2:$D$42,D23,$C$2:$C$42,C23)+1)/2)/COUNTIFS($D$2:$D$42,D23,$C$2:$C$42,"&gt;0"))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 t="n"/>
      <c r="L23" s="16" t="n"/>
    </row>
    <row r="24">
      <c r="A24" s="18" t="n">
        <v>44561</v>
      </c>
      <c r="B24" s="6" t="n">
        <v>10928.5</v>
      </c>
      <c r="C24" s="7" t="n">
        <v>30.7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IF(C24="","",(COUNTIFS($D$2:$D$42,D24,$C$2:$C$42,"&gt;0",$C$2:$C$42,"&lt;"&amp;C24)+(COUNTIFS($D$2:$D$42,D24,$C$2:$C$42,C24)+1)/2)/COUNTIFS($D$2:$D$42,D24,$C$2:$C$42,"&gt;0"))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44651</v>
      </c>
      <c r="B25" s="6" t="n">
        <v>10521.5</v>
      </c>
      <c r="C25" s="7" t="n">
        <v>26.21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IF(C25="","",(COUNTIFS($D$2:$D$42,D25,$C$2:$C$42,"&gt;0",$C$2:$C$42,"&lt;"&amp;C25)+(COUNTIFS($D$2:$D$42,D25,$C$2:$C$42,C25)+1)/2)/COUNTIFS($D$2:$D$42,D25,$C$2:$C$42,"&gt;0"))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44742</v>
      </c>
      <c r="B26" s="6" t="n">
        <v>9340.6</v>
      </c>
      <c r="C26" s="7" t="n">
        <v>21.69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IF(C26="","",(COUNTIFS($D$2:$D$42,D26,$C$2:$C$42,"&gt;0",$C$2:$C$42,"&lt;"&amp;C26)+(COUNTIFS($D$2:$D$42,D26,$C$2:$C$42,C26)+1)/2)/COUNTIFS($D$2:$D$42,D26,$C$2:$C$42,"&gt;0"))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44834</v>
      </c>
      <c r="B27" s="6" t="n">
        <v>10773.45</v>
      </c>
      <c r="C27" s="7" t="n">
        <v>22.39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IF(C27="","",(COUNTIFS($D$2:$D$42,D27,$C$2:$C$42,"&gt;0",$C$2:$C$42,"&lt;"&amp;C27)+(COUNTIFS($D$2:$D$42,D27,$C$2:$C$42,C27)+1)/2)/COUNTIFS($D$2:$D$42,D27,$C$2:$C$42,"&gt;0"))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44926</v>
      </c>
      <c r="B28" s="6" t="n">
        <v>11025.7</v>
      </c>
      <c r="C28" s="7" t="n">
        <v>23.26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IF(C28="","",(COUNTIFS($D$2:$D$42,D28,$C$2:$C$42,"&gt;0",$C$2:$C$42,"&lt;"&amp;C28)+(COUNTIFS($D$2:$D$42,D28,$C$2:$C$42,C28)+1)/2)/COUNTIFS($D$2:$D$42,D28,$C$2:$C$42,"&gt;0"))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45016</v>
      </c>
      <c r="B29" s="6" t="n">
        <v>10428.65</v>
      </c>
      <c r="C29" s="7" t="n">
        <v>20.79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IF(C29="","",(COUNTIFS($D$2:$D$42,D29,$C$2:$C$42,"&gt;0",$C$2:$C$42,"&lt;"&amp;C29)+(COUNTIFS($D$2:$D$42,D29,$C$2:$C$42,C29)+1)/2)/COUNTIFS($D$2:$D$42,D29,$C$2:$C$42,"&gt;0"))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45107</v>
      </c>
      <c r="B30" s="6" t="n">
        <v>12378.5</v>
      </c>
      <c r="C30" s="7" t="n">
        <v>24.24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IF(C30="","",(COUNTIFS($D$2:$D$42,D30,$C$2:$C$42,"&gt;0",$C$2:$C$42,"&lt;"&amp;C30)+(COUNTIFS($D$2:$D$42,D30,$C$2:$C$42,C30)+1)/2)/COUNTIFS($D$2:$D$42,D30,$C$2:$C$42,"&gt;0"))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45199</v>
      </c>
      <c r="B31" s="6" t="n">
        <v>14111.7</v>
      </c>
      <c r="C31" s="7" t="n">
        <v>25.95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IF(C31="","",(COUNTIFS($D$2:$D$42,D31,$C$2:$C$42,"&gt;0",$C$2:$C$42,"&lt;"&amp;C31)+(COUNTIFS($D$2:$D$42,D31,$C$2:$C$42,C31)+1)/2)/COUNTIFS($D$2:$D$42,D31,$C$2:$C$42,"&gt;0"))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 t="n"/>
      <c r="K31" s="16" t="n"/>
      <c r="L31" s="16" t="n"/>
    </row>
    <row r="32">
      <c r="A32" s="18" t="n">
        <v>45291</v>
      </c>
      <c r="B32" s="6" t="n">
        <v>16015.55</v>
      </c>
      <c r="C32" s="7" t="n">
        <v>26.8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IF(C32="","",(COUNTIFS($D$2:$D$42,D32,$C$2:$C$42,"&gt;0",$C$2:$C$42,"&lt;"&amp;C32)+(COUNTIFS($D$2:$D$42,D32,$C$2:$C$42,C32)+1)/2)/COUNTIFS($D$2:$D$42,D32,$C$2:$C$42,"&gt;0"))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45382</v>
      </c>
      <c r="B33" s="6" t="n">
        <v>16549.9</v>
      </c>
      <c r="C33" s="7" t="n">
        <v>30.78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IF(C33="","",(COUNTIFS($D$2:$D$42,D33,$C$2:$C$42,"&gt;0",$C$2:$C$42,"&lt;"&amp;C33)+(COUNTIFS($D$2:$D$42,D33,$C$2:$C$42,C33)+1)/2)/COUNTIFS($D$2:$D$42,D33,$C$2:$C$42,"&gt;0"))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45473</v>
      </c>
      <c r="B34" s="6" t="n">
        <v>19529.65</v>
      </c>
      <c r="C34" s="7" t="n">
        <v>37.31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IF(C34="","",(COUNTIFS($D$2:$D$42,D34,$C$2:$C$42,"&gt;0",$C$2:$C$42,"&lt;"&amp;C34)+(COUNTIFS($D$2:$D$42,D34,$C$2:$C$42,C34)+1)/2)/COUNTIFS($D$2:$D$42,D34,$C$2:$C$42,"&gt;0"))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45565</v>
      </c>
      <c r="B35" s="6" t="n">
        <v>20951.9</v>
      </c>
      <c r="C35" s="7" t="n">
        <v>40.37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IF(C35="","",(COUNTIFS($D$2:$D$42,D35,$C$2:$C$42,"&gt;0",$C$2:$C$42,"&lt;"&amp;C35)+(COUNTIFS($D$2:$D$42,D35,$C$2:$C$42,C35)+1)/2)/COUNTIFS($D$2:$D$42,D35,$C$2:$C$42,"&gt;0"))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45657</v>
      </c>
      <c r="B36" s="6" t="n">
        <v>19978.1</v>
      </c>
      <c r="C36" s="7" t="n">
        <v>39.56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IF(C36="","",(COUNTIFS($D$2:$D$42,D36,$C$2:$C$42,"&gt;0",$C$2:$C$42,"&lt;"&amp;C36)+(COUNTIFS($D$2:$D$42,D36,$C$2:$C$42,C36)+1)/2)/COUNTIFS($D$2:$D$42,D36,$C$2:$C$42,"&gt;0"))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45747</v>
      </c>
      <c r="B37" s="6" t="n">
        <v>17677.95</v>
      </c>
      <c r="C37" s="7" t="n">
        <v>32.07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IF(C37="","",(COUNTIFS($D$2:$D$42,D37,$C$2:$C$42,"&gt;0",$C$2:$C$42,"&lt;"&amp;C37)+(COUNTIFS($D$2:$D$42,D37,$C$2:$C$42,C37)+1)/2)/COUNTIFS($D$2:$D$42,D37,$C$2:$C$42,"&gt;0"))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45838</v>
      </c>
      <c r="B38" s="6" t="n">
        <v>20506</v>
      </c>
      <c r="C38" s="7" t="n">
        <v>34.75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IF(C38="","",(COUNTIFS($D$2:$D$42,D38,$C$2:$C$42,"&gt;0",$C$2:$C$42,"&lt;"&amp;C38)+(COUNTIFS($D$2:$D$42,D38,$C$2:$C$42,C38)+1)/2)/COUNTIFS($D$2:$D$42,D38,$C$2:$C$42,"&gt;0"))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45930</v>
      </c>
      <c r="B39" s="6" t="n">
        <v>19482.1</v>
      </c>
      <c r="C39" s="7" t="n">
        <v>31.75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IF(C39="","",(COUNTIFS($D$2:$D$42,D39,$C$2:$C$42,"&gt;0",$C$2:$C$42,"&lt;"&amp;C39)+(COUNTIFS($D$2:$D$42,D39,$C$2:$C$42,C39)+1)/2)/COUNTIFS($D$2:$D$42,D39,$C$2:$C$42,"&gt;0"))</f>
        <v/>
      </c>
      <c r="H39">
        <f>IF(G39="","",IF(G39&lt;=20%,"Q1 Cheapest",IF(G39&lt;=40%,"Q2",IF(G39&lt;=60%,"Q3",IF(G39&lt;=80%,"Q4","Q5 Most Expensive")))))</f>
        <v/>
      </c>
      <c r="I39" s="16" t="n"/>
      <c r="J39" s="16" t="n"/>
      <c r="K39" s="16" t="n"/>
      <c r="L39" s="16" t="n"/>
    </row>
    <row r="40">
      <c r="A40" s="18" t="n">
        <v>46022</v>
      </c>
      <c r="B40" s="6" t="n">
        <v>20217.5</v>
      </c>
      <c r="C40" s="7" t="n">
        <v>32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IF(C40="","",(COUNTIFS($D$2:$D$42,D40,$C$2:$C$42,"&gt;0",$C$2:$C$42,"&lt;"&amp;C40)+(COUNTIFS($D$2:$D$42,D40,$C$2:$C$42,C40)+1)/2)/COUNTIFS($D$2:$D$42,D40,$C$2:$C$42,"&gt;0"))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46112</v>
      </c>
      <c r="B41" s="6" t="n">
        <v>17524.35</v>
      </c>
      <c r="C41" s="7" t="n">
        <v>28.86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IF(C41="","",(COUNTIFS($D$2:$D$42,D41,$C$2:$C$42,"&gt;0",$C$2:$C$42,"&lt;"&amp;C41)+(COUNTIFS($D$2:$D$42,D41,$C$2:$C$42,C41)+1)/2)/COUNTIFS($D$2:$D$42,D41,$C$2:$C$42,"&gt;0"))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46203</v>
      </c>
      <c r="B42" s="6" t="n">
        <v>20932.8</v>
      </c>
      <c r="C42" s="7" t="n">
        <v>31.08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IF(C42="","",(COUNTIFS($D$2:$D$42,D42,$C$2:$C$42,"&gt;0",$C$2:$C$42,"&lt;"&amp;C42)+(COUNTIFS($D$2:$D$42,D42,$C$2:$C$42,C42)+1)/2)/COUNTIFS($D$2:$D$42,D42,$C$2:$C$42,"&gt;0"))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21238.65</v>
      </c>
      <c r="C2" s="7" t="n">
        <v>30.22</v>
      </c>
      <c r="D2" s="8" t="n">
        <v>0.462121212121</v>
      </c>
      <c r="E2" s="8" t="n">
        <v>0.165098754271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21183.7</v>
      </c>
      <c r="C3" s="7" t="n">
        <v>30.14</v>
      </c>
      <c r="D3" s="8" t="n">
        <v>0.462121212121</v>
      </c>
      <c r="E3" s="8" t="n">
        <v>0.165224087039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2026-09-22T09:28:55Z</dcterms:created>
  <dcterms:modified xsi:type="dcterms:W3CDTF">2026-09-22T09:28:55Z</dcterms:modified>
</cp:coreProperties>
</file>