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20923.55</v>
      </c>
      <c r="D5" s="2" t="inlineStr">
        <is>
          <t>P/E</t>
        </is>
      </c>
      <c r="E5" s="25" t="n">
        <v>29.77</v>
      </c>
    </row>
    <row r="6">
      <c r="A6" s="2" t="inlineStr">
        <is>
          <t>P/E percentile</t>
        </is>
      </c>
      <c r="B6" s="26" t="n">
        <v>0.4318181818181818</v>
      </c>
      <c r="D6" s="2" t="inlineStr">
        <is>
          <t>Implied EPS</t>
        </is>
      </c>
      <c r="E6" s="27" t="n">
        <v>702.8401074907625</v>
      </c>
    </row>
    <row r="7">
      <c r="A7" s="2" t="inlineStr">
        <is>
          <t>YoY implied EPS growth</t>
        </is>
      </c>
      <c r="B7" s="26" t="n">
        <v>0.1212013374795042</v>
      </c>
      <c r="D7" s="2" t="inlineStr">
        <is>
          <t>Earnings yield</t>
        </is>
      </c>
      <c r="E7" s="10" t="n">
        <v>0.03359086328518643</v>
      </c>
    </row>
    <row r="8">
      <c r="A8" s="2" t="inlineStr">
        <is>
          <t>Valuation score</t>
        </is>
      </c>
      <c r="B8" s="28" t="n">
        <v>56.81818181818181</v>
      </c>
      <c r="D8" s="2" t="inlineStr">
        <is>
          <t>Growth score</t>
        </is>
      </c>
      <c r="E8" s="28" t="n">
        <v>68.48053499180169</v>
      </c>
    </row>
    <row r="9">
      <c r="A9" s="2" t="inlineStr">
        <is>
          <t>Composite score</t>
        </is>
      </c>
      <c r="B9" s="28" t="n">
        <v>60.31688777026777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26.21</v>
      </c>
      <c r="C13" s="15" t="n">
        <v>18421.43921733289</v>
      </c>
      <c r="D13" s="30" t="n">
        <v>-0.1195834732952636</v>
      </c>
    </row>
    <row r="14">
      <c r="A14" t="inlineStr">
        <is>
          <t>HOLD → SELL</t>
        </is>
      </c>
      <c r="B14" s="29" t="n">
        <v>32.49883626212632</v>
      </c>
      <c r="C14" s="15" t="n">
        <v>22841.48557179756</v>
      </c>
      <c r="D14" s="30" t="n">
        <v>0.09166396580874459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