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21" customWidth="1" min="7" max="7"/>
  </cols>
  <sheetData>
    <row r="1" ht="26" customHeight="1">
      <c r="A1" s="1" t="inlineStr">
        <is>
          <t>NIFTY Sme Emerge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14910.1</v>
      </c>
      <c r="D5" s="2" t="inlineStr">
        <is>
          <t>P/E</t>
        </is>
      </c>
      <c r="E5" s="7" t="n">
        <v>22.73</v>
      </c>
    </row>
    <row r="6">
      <c r="A6" s="2" t="inlineStr">
        <is>
          <t>P/E percentile</t>
        </is>
      </c>
      <c r="B6" s="8" t="n">
        <v>0.0859375</v>
      </c>
      <c r="D6" s="2" t="inlineStr">
        <is>
          <t>Implied EPS</t>
        </is>
      </c>
      <c r="E6" s="9" t="n">
        <v>655.9656841179059</v>
      </c>
    </row>
    <row r="7">
      <c r="A7" s="2" t="inlineStr">
        <is>
          <t>YoY implied EPS growth</t>
        </is>
      </c>
      <c r="B7" s="8" t="n">
        <v>0.1348350150930409</v>
      </c>
      <c r="D7" s="2" t="inlineStr">
        <is>
          <t>Earnings yield</t>
        </is>
      </c>
      <c r="E7" s="10" t="n">
        <v>0.04399472063352398</v>
      </c>
    </row>
    <row r="8">
      <c r="A8" s="2" t="inlineStr">
        <is>
          <t>Valuation score</t>
        </is>
      </c>
      <c r="B8" s="11" t="n">
        <v>91.40625</v>
      </c>
      <c r="D8" s="2" t="inlineStr">
        <is>
          <t>Growth score</t>
        </is>
      </c>
      <c r="E8" s="11" t="n">
        <v>73.93400603721634</v>
      </c>
    </row>
    <row r="9">
      <c r="A9" s="2" t="inlineStr">
        <is>
          <t>Composite score</t>
        </is>
      </c>
      <c r="B9" s="11" t="n">
        <v>86.16457681116489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43.07314895733438</v>
      </c>
      <c r="C13" s="15" t="n">
        <v>28254.50762291031</v>
      </c>
      <c r="D13" s="16" t="n">
        <v>0.8949911551840903</v>
      </c>
    </row>
    <row r="14">
      <c r="A14" t="inlineStr">
        <is>
          <t>HOLD → SELL</t>
        </is>
      </c>
      <c r="B14" s="14" t="n">
        <v>83.14974530403873</v>
      </c>
      <c r="C14" s="15" t="n">
        <v>54543.3795625934</v>
      </c>
      <c r="D14" s="16" t="n">
        <v>2.658149815399856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16" t="n">
        <v>0.3855604153458748</v>
      </c>
      <c r="D18" s="16" t="n">
        <v>0.6995397341765872</v>
      </c>
      <c r="E18" s="16" t="n">
        <v>0.6423058604000583</v>
      </c>
      <c r="F18" s="16" t="n"/>
      <c r="G18" s="16" t="n">
        <v>0</v>
      </c>
    </row>
    <row r="19">
      <c r="A19" t="inlineStr">
        <is>
          <t>Q2</t>
        </is>
      </c>
      <c r="B19" t="n">
        <v>7</v>
      </c>
      <c r="C19" s="16" t="n">
        <v>0.2545961209779297</v>
      </c>
      <c r="D19" s="16" t="n">
        <v>0.6313516348216295</v>
      </c>
      <c r="E19" s="16" t="n">
        <v>0.6529708196426627</v>
      </c>
      <c r="F19" s="16" t="n"/>
      <c r="G19" s="16" t="n">
        <v>0</v>
      </c>
    </row>
    <row r="20">
      <c r="A20" t="inlineStr">
        <is>
          <t>Q3</t>
        </is>
      </c>
      <c r="B20" t="n">
        <v>6</v>
      </c>
      <c r="C20" s="16" t="n">
        <v>0.432145757920493</v>
      </c>
      <c r="D20" s="16" t="n">
        <v>0.3327947040781369</v>
      </c>
      <c r="E20" s="16" t="n">
        <v>0.4582269486734742</v>
      </c>
      <c r="F20" s="16" t="n"/>
      <c r="G20" s="16" t="n">
        <v>0</v>
      </c>
    </row>
    <row r="21">
      <c r="A21" t="inlineStr">
        <is>
          <t>Q4</t>
        </is>
      </c>
      <c r="B21" t="n">
        <v>7</v>
      </c>
      <c r="C21" s="16" t="n">
        <v>0.03411110714727905</v>
      </c>
      <c r="D21" s="16" t="n">
        <v>0.3006230162839707</v>
      </c>
      <c r="E21" s="16" t="n">
        <v>0.3492759927048708</v>
      </c>
      <c r="F21" s="16" t="n"/>
      <c r="G21" s="16" t="n">
        <v>0</v>
      </c>
    </row>
    <row r="22">
      <c r="A22" t="inlineStr">
        <is>
          <t>Q5 Most Expensive</t>
        </is>
      </c>
      <c r="B22" t="n">
        <v>8</v>
      </c>
      <c r="C22" s="16" t="n">
        <v>0.7010586745977565</v>
      </c>
      <c r="D22" s="16" t="n">
        <v>0.7407205559391973</v>
      </c>
      <c r="E22" s="16" t="n">
        <v>0.4667935158060869</v>
      </c>
      <c r="F22" s="16" t="n"/>
      <c r="G22" s="16" t="n">
        <v>0.1666666666666667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63</v>
      </c>
    </row>
    <row r="26">
      <c r="A26" s="2" t="inlineStr">
        <is>
          <t>Quarter-end P/E observations</t>
        </is>
      </c>
      <c r="B26" t="n">
        <v>34</v>
      </c>
    </row>
    <row r="27">
      <c r="A27" s="2" t="inlineStr">
        <is>
          <t>Backtest start</t>
        </is>
      </c>
      <c r="B27" t="inlineStr">
        <is>
          <t>2017-12-31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2051.06</v>
      </c>
      <c r="C2" s="7" t="n"/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2262.35</v>
      </c>
      <c r="C3" s="7" t="n"/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2616.17</v>
      </c>
      <c r="C4" s="7" t="n">
        <v>263.45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2767.18</v>
      </c>
      <c r="C5" s="7" t="n">
        <v>60.44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2805.76</v>
      </c>
      <c r="C6" s="7" t="n">
        <v>67.97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3200.47</v>
      </c>
      <c r="C7" s="7" t="n">
        <v>101.49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3243.35</v>
      </c>
      <c r="C8" s="7" t="n">
        <v>116.81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3390.51</v>
      </c>
      <c r="C9" s="7" t="n">
        <v>161.95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3825</v>
      </c>
      <c r="C10" s="7" t="n">
        <v>47.29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4407.87</v>
      </c>
      <c r="C11" s="7" t="n">
        <v>53.24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4259.75</v>
      </c>
      <c r="C12" s="7" t="n">
        <v>53.39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4653.26</v>
      </c>
      <c r="C13" s="7" t="n">
        <v>55.6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4912.49</v>
      </c>
      <c r="C14" s="7" t="n">
        <v>59.37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4727.85</v>
      </c>
      <c r="C15" s="7" t="n">
        <v>57.19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4451.97</v>
      </c>
      <c r="C16" s="7" t="n">
        <v>122.11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4747.12</v>
      </c>
      <c r="C17" s="7" t="n">
        <v>81.12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5401.17</v>
      </c>
      <c r="C18" s="7" t="n">
        <v>89.88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5593.53</v>
      </c>
      <c r="C19" s="7" t="n">
        <v>90.36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5981.93</v>
      </c>
      <c r="C20" s="7" t="n">
        <v>96.89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6542.41</v>
      </c>
      <c r="C21" s="7" t="n">
        <v>113.66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6529.07</v>
      </c>
      <c r="C22" s="7" t="n">
        <v>83.18000000000001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6978.61</v>
      </c>
      <c r="C23" s="7" t="n">
        <v>71.25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6382.34</v>
      </c>
      <c r="C24" s="7" t="n">
        <v>45.11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6164.19</v>
      </c>
      <c r="C25" s="7" t="n">
        <v>43.1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6861.3</v>
      </c>
      <c r="C26" s="7" t="n">
        <v>49.4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7113.19</v>
      </c>
      <c r="C27" s="7" t="n">
        <v>51.6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7570.15</v>
      </c>
      <c r="C28" s="7" t="n">
        <v>60.91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8194.42</v>
      </c>
      <c r="C29" s="7" t="n">
        <v>57.95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9459.08</v>
      </c>
      <c r="C30" s="7" t="n">
        <v>52.85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9251.200000000001</v>
      </c>
      <c r="C31" s="7" t="n">
        <v>51.94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10119.44</v>
      </c>
      <c r="C32" s="7" t="n">
        <v>57.09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10428.49</v>
      </c>
      <c r="C33" s="7" t="n">
        <v>58.65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10786.23</v>
      </c>
      <c r="C34" s="7" t="n">
        <v>55.91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12161.95</v>
      </c>
      <c r="C35" s="7" t="n">
        <v>66.61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12355.49</v>
      </c>
      <c r="C36" s="7" t="n">
        <v>67.7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11041.17</v>
      </c>
      <c r="C37" s="7" t="n">
        <v>70.48999999999999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12818.2</v>
      </c>
      <c r="C38" s="7" t="n">
        <v>81.84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12855.38</v>
      </c>
      <c r="C39" s="7" t="n">
        <v>82.38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14295.93</v>
      </c>
      <c r="C40" s="7" t="n">
        <v>95.38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14986.98</v>
      </c>
      <c r="C41" s="7" t="n">
        <v>100.3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15960.82</v>
      </c>
      <c r="C42" s="7" t="n">
        <v>107.59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16287.65</v>
      </c>
      <c r="C43" s="7" t="n">
        <v>119.52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16291.81</v>
      </c>
      <c r="C44" s="7" t="n">
        <v>119.79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16089.22</v>
      </c>
      <c r="C45" s="7" t="n">
        <v>124.84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16606.35</v>
      </c>
      <c r="C46" s="7" t="n">
        <v>148.76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15031.78</v>
      </c>
      <c r="C47" s="7" t="n">
        <v>77.09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12665.56</v>
      </c>
      <c r="C48" s="7" t="n">
        <v>42.39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12666.01</v>
      </c>
      <c r="C49" s="7" t="n">
        <v>33.41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13591.56</v>
      </c>
      <c r="C50" s="7" t="n">
        <v>31.81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14313.21</v>
      </c>
      <c r="C51" s="7" t="n">
        <v>33.52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14783.58</v>
      </c>
      <c r="C52" s="7" t="n">
        <v>33.22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15168.25</v>
      </c>
      <c r="C53" s="7" t="n">
        <v>27.44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15104.22</v>
      </c>
      <c r="C54" s="7" t="n">
        <v>26.18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15195.22</v>
      </c>
      <c r="C55" s="7" t="n">
        <v>27.24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15491.18</v>
      </c>
      <c r="C56" s="7" t="n">
        <v>27.64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15305.2</v>
      </c>
      <c r="C57" s="7" t="n">
        <v>26.95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14365</v>
      </c>
      <c r="C58" s="7" t="n">
        <v>27.8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12816.9</v>
      </c>
      <c r="C59" s="7" t="n">
        <v>22.47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12701.65</v>
      </c>
      <c r="C60" s="7" t="n">
        <v>21.38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11025.8</v>
      </c>
      <c r="C61" s="7" t="n">
        <v>17.23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13901.85</v>
      </c>
      <c r="C62" s="7" t="n">
        <v>21.81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13722.6</v>
      </c>
      <c r="C63" s="7" t="n">
        <v>21.57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14023.9</v>
      </c>
      <c r="C64" s="7" t="n">
        <v>22.85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13977.3</v>
      </c>
      <c r="C65" s="7" t="n">
        <v>22.84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14652.95</v>
      </c>
      <c r="C66" s="7" t="n">
        <v>22.84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43100</v>
      </c>
      <c r="B2" s="6" t="n">
        <v>1819.47</v>
      </c>
      <c r="C2" s="7" t="n">
        <v>33.59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IF(C2="","",(COUNTIFS($D$2:$D$36,D2,$C$2:$C$36,"&gt;0",$C$2:$C$36,"&lt;"&amp;C2)+(COUNTIFS($D$2:$D$36,D2,$C$2:$C$36,C2)+1)/2)/COUNTIFS($D$2:$D$36,D2,$C$2:$C$36,"&gt;0"))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43190</v>
      </c>
      <c r="B3" s="6" t="n">
        <v>1640.53</v>
      </c>
      <c r="C3" s="7" t="n">
        <v>29.81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IF(C3="","",(COUNTIFS($D$2:$D$36,D3,$C$2:$C$36,"&gt;0",$C$2:$C$36,"&lt;"&amp;C3)+(COUNTIFS($D$2:$D$36,D3,$C$2:$C$36,C3)+1)/2)/COUNTIFS($D$2:$D$36,D3,$C$2:$C$36,"&gt;0"))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43281</v>
      </c>
      <c r="B4" s="6" t="n">
        <v>1692.78</v>
      </c>
      <c r="C4" s="7" t="n">
        <v>27.19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IF(C4="","",(COUNTIFS($D$2:$D$36,D4,$C$2:$C$36,"&gt;0",$C$2:$C$36,"&lt;"&amp;C4)+(COUNTIFS($D$2:$D$36,D4,$C$2:$C$36,C4)+1)/2)/COUNTIFS($D$2:$D$36,D4,$C$2:$C$36,"&gt;0"))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43373</v>
      </c>
      <c r="B5" s="6" t="n">
        <v>1564.85</v>
      </c>
      <c r="C5" s="7" t="n">
        <v>16.24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IF(C5="","",(COUNTIFS($D$2:$D$36,D5,$C$2:$C$36,"&gt;0",$C$2:$C$36,"&lt;"&amp;C5)+(COUNTIFS($D$2:$D$36,D5,$C$2:$C$36,C5)+1)/2)/COUNTIFS($D$2:$D$36,D5,$C$2:$C$36,"&gt;0"))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43465</v>
      </c>
      <c r="B6" s="6" t="n">
        <v>1542.09</v>
      </c>
      <c r="C6" s="7" t="n">
        <v>17.32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IF(C6="","",(COUNTIFS($D$2:$D$36,D6,$C$2:$C$36,"&gt;0",$C$2:$C$36,"&lt;"&amp;C6)+(COUNTIFS($D$2:$D$36,D6,$C$2:$C$36,C6)+1)/2)/COUNTIFS($D$2:$D$36,D6,$C$2:$C$36,"&gt;0"))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43555</v>
      </c>
      <c r="B7" s="6" t="n">
        <v>1504.88</v>
      </c>
      <c r="C7" s="7" t="n">
        <v>16.48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IF(C7="","",(COUNTIFS($D$2:$D$36,D7,$C$2:$C$36,"&gt;0",$C$2:$C$36,"&lt;"&amp;C7)+(COUNTIFS($D$2:$D$36,D7,$C$2:$C$36,C7)+1)/2)/COUNTIFS($D$2:$D$36,D7,$C$2:$C$36,"&gt;0"))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43646</v>
      </c>
      <c r="B8" s="6" t="n">
        <v>1467.08</v>
      </c>
      <c r="C8" s="7" t="n">
        <v>15.52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IF(C8="","",(COUNTIFS($D$2:$D$36,D8,$C$2:$C$36,"&gt;0",$C$2:$C$36,"&lt;"&amp;C8)+(COUNTIFS($D$2:$D$36,D8,$C$2:$C$36,C8)+1)/2)/COUNTIFS($D$2:$D$36,D8,$C$2:$C$36,"&gt;0"))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43738</v>
      </c>
      <c r="B9" s="6" t="n">
        <v>1362.95</v>
      </c>
      <c r="C9" s="7" t="n">
        <v>13.08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IF(C9="","",(COUNTIFS($D$2:$D$36,D9,$C$2:$C$36,"&gt;0",$C$2:$C$36,"&lt;"&amp;C9)+(COUNTIFS($D$2:$D$36,D9,$C$2:$C$36,C9)+1)/2)/COUNTIFS($D$2:$D$36,D9,$C$2:$C$36,"&gt;0"))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43830</v>
      </c>
      <c r="B10" s="6" t="n">
        <v>1345.7</v>
      </c>
      <c r="C10" s="7" t="n">
        <v>13.56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IF(C10="","",(COUNTIFS($D$2:$D$36,D10,$C$2:$C$36,"&gt;0",$C$2:$C$36,"&lt;"&amp;C10)+(COUNTIFS($D$2:$D$36,D10,$C$2:$C$36,C10)+1)/2)/COUNTIFS($D$2:$D$36,D10,$C$2:$C$36,"&gt;0"))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43921</v>
      </c>
      <c r="B11" s="6" t="n">
        <v>1060.42</v>
      </c>
      <c r="C11" s="7" t="n">
        <v>10.68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IF(C11="","",(COUNTIFS($D$2:$D$36,D11,$C$2:$C$36,"&gt;0",$C$2:$C$36,"&lt;"&amp;C11)+(COUNTIFS($D$2:$D$36,D11,$C$2:$C$36,C11)+1)/2)/COUNTIFS($D$2:$D$36,D11,$C$2:$C$36,"&gt;0"))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44012</v>
      </c>
      <c r="B12" s="6" t="n">
        <v>1187.21</v>
      </c>
      <c r="C12" s="7" t="n">
        <v>15.6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IF(C12="","",(COUNTIFS($D$2:$D$36,D12,$C$2:$C$36,"&gt;0",$C$2:$C$36,"&lt;"&amp;C12)+(COUNTIFS($D$2:$D$36,D12,$C$2:$C$36,C12)+1)/2)/COUNTIFS($D$2:$D$36,D12,$C$2:$C$36,"&gt;0"))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44104</v>
      </c>
      <c r="B13" s="6" t="n">
        <v>1470.75</v>
      </c>
      <c r="C13" s="7" t="n">
        <v>31.22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IF(C13="","",(COUNTIFS($D$2:$D$36,D13,$C$2:$C$36,"&gt;0",$C$2:$C$36,"&lt;"&amp;C13)+(COUNTIFS($D$2:$D$36,D13,$C$2:$C$36,C13)+1)/2)/COUNTIFS($D$2:$D$36,D13,$C$2:$C$36,"&gt;0"))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44196</v>
      </c>
      <c r="B14" s="6" t="n">
        <v>1688.31</v>
      </c>
      <c r="C14" s="7" t="n">
        <v>65.55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IF(C14="","",(COUNTIFS($D$2:$D$36,D14,$C$2:$C$36,"&gt;0",$C$2:$C$36,"&lt;"&amp;C14)+(COUNTIFS($D$2:$D$36,D14,$C$2:$C$36,C14)+1)/2)/COUNTIFS($D$2:$D$36,D14,$C$2:$C$36,"&gt;0"))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44286</v>
      </c>
      <c r="B15" s="6" t="n">
        <v>1794.26</v>
      </c>
      <c r="C15" s="7" t="n"/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IF(C15="","",(COUNTIFS($D$2:$D$36,D15,$C$2:$C$36,"&gt;0",$C$2:$C$36,"&lt;"&amp;C15)+(COUNTIFS($D$2:$D$36,D15,$C$2:$C$36,C15)+1)/2)/COUNTIFS($D$2:$D$36,D15,$C$2:$C$36,"&gt;0"))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44377</v>
      </c>
      <c r="B16" s="6" t="n">
        <v>2616.17</v>
      </c>
      <c r="C16" s="7" t="n">
        <v>263.45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IF(C16="","",(COUNTIFS($D$2:$D$36,D16,$C$2:$C$36,"&gt;0",$C$2:$C$36,"&lt;"&amp;C16)+(COUNTIFS($D$2:$D$36,D16,$C$2:$C$36,C16)+1)/2)/COUNTIFS($D$2:$D$36,D16,$C$2:$C$36,"&gt;0"))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44469</v>
      </c>
      <c r="B17" s="6" t="n">
        <v>3200.47</v>
      </c>
      <c r="C17" s="7" t="n">
        <v>101.49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IF(C17="","",(COUNTIFS($D$2:$D$36,D17,$C$2:$C$36,"&gt;0",$C$2:$C$36,"&lt;"&amp;C17)+(COUNTIFS($D$2:$D$36,D17,$C$2:$C$36,C17)+1)/2)/COUNTIFS($D$2:$D$36,D17,$C$2:$C$36,"&gt;0"))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 t="n"/>
      <c r="L17" s="16" t="n"/>
    </row>
    <row r="18">
      <c r="A18" s="18" t="n">
        <v>44561</v>
      </c>
      <c r="B18" s="6" t="n">
        <v>3825</v>
      </c>
      <c r="C18" s="7" t="n">
        <v>47.29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IF(C18="","",(COUNTIFS($D$2:$D$36,D18,$C$2:$C$36,"&gt;0",$C$2:$C$36,"&lt;"&amp;C18)+(COUNTIFS($D$2:$D$36,D18,$C$2:$C$36,C18)+1)/2)/COUNTIFS($D$2:$D$36,D18,$C$2:$C$36,"&gt;0"))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 t="n"/>
      <c r="L18" s="16" t="n"/>
    </row>
    <row r="19">
      <c r="A19" s="18" t="n">
        <v>44651</v>
      </c>
      <c r="B19" s="6" t="n">
        <v>4653.26</v>
      </c>
      <c r="C19" s="7" t="n">
        <v>55.6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IF(C19="","",(COUNTIFS($D$2:$D$36,D19,$C$2:$C$36,"&gt;0",$C$2:$C$36,"&lt;"&amp;C19)+(COUNTIFS($D$2:$D$36,D19,$C$2:$C$36,C19)+1)/2)/COUNTIFS($D$2:$D$36,D19,$C$2:$C$36,"&gt;0"))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 t="n"/>
      <c r="L19" s="16" t="n"/>
    </row>
    <row r="20">
      <c r="A20" s="18" t="n">
        <v>44742</v>
      </c>
      <c r="B20" s="6" t="n">
        <v>4451.97</v>
      </c>
      <c r="C20" s="7" t="n">
        <v>122.11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IF(C20="","",(COUNTIFS($D$2:$D$36,D20,$C$2:$C$36,"&gt;0",$C$2:$C$36,"&lt;"&amp;C20)+(COUNTIFS($D$2:$D$36,D20,$C$2:$C$36,C20)+1)/2)/COUNTIFS($D$2:$D$36,D20,$C$2:$C$36,"&gt;0"))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 t="n"/>
      <c r="L20" s="16" t="n"/>
    </row>
    <row r="21">
      <c r="A21" s="18" t="n">
        <v>44834</v>
      </c>
      <c r="B21" s="6" t="n">
        <v>5593.53</v>
      </c>
      <c r="C21" s="7" t="n">
        <v>90.36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IF(C21="","",(COUNTIFS($D$2:$D$36,D21,$C$2:$C$36,"&gt;0",$C$2:$C$36,"&lt;"&amp;C21)+(COUNTIFS($D$2:$D$36,D21,$C$2:$C$36,C21)+1)/2)/COUNTIFS($D$2:$D$36,D21,$C$2:$C$36,"&gt;0"))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 t="n"/>
      <c r="L21" s="16" t="n"/>
    </row>
    <row r="22">
      <c r="A22" s="18" t="n">
        <v>44926</v>
      </c>
      <c r="B22" s="6" t="n">
        <v>6529.07</v>
      </c>
      <c r="C22" s="7" t="n">
        <v>83.18000000000001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IF(C22="","",(COUNTIFS($D$2:$D$36,D22,$C$2:$C$36,"&gt;0",$C$2:$C$36,"&lt;"&amp;C22)+(COUNTIFS($D$2:$D$36,D22,$C$2:$C$36,C22)+1)/2)/COUNTIFS($D$2:$D$36,D22,$C$2:$C$36,"&gt;0"))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 t="n"/>
      <c r="L22" s="16" t="n"/>
    </row>
    <row r="23">
      <c r="A23" s="18" t="n">
        <v>45016</v>
      </c>
      <c r="B23" s="6" t="n">
        <v>6164.19</v>
      </c>
      <c r="C23" s="7" t="n">
        <v>43.1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IF(C23="","",(COUNTIFS($D$2:$D$36,D23,$C$2:$C$36,"&gt;0",$C$2:$C$36,"&lt;"&amp;C23)+(COUNTIFS($D$2:$D$36,D23,$C$2:$C$36,C23)+1)/2)/COUNTIFS($D$2:$D$36,D23,$C$2:$C$36,"&gt;0"))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 t="n"/>
      <c r="L23" s="16" t="n"/>
    </row>
    <row r="24">
      <c r="A24" s="18" t="n">
        <v>45107</v>
      </c>
      <c r="B24" s="6" t="n">
        <v>7570.15</v>
      </c>
      <c r="C24" s="7" t="n">
        <v>60.91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IF(C24="","",(COUNTIFS($D$2:$D$36,D24,$C$2:$C$36,"&gt;0",$C$2:$C$36,"&lt;"&amp;C24)+(COUNTIFS($D$2:$D$36,D24,$C$2:$C$36,C24)+1)/2)/COUNTIFS($D$2:$D$36,D24,$C$2:$C$36,"&gt;0"))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 t="n"/>
      <c r="L24" s="16" t="n"/>
    </row>
    <row r="25">
      <c r="A25" s="18" t="n">
        <v>45199</v>
      </c>
      <c r="B25" s="6" t="n">
        <v>9251.200000000001</v>
      </c>
      <c r="C25" s="7" t="n">
        <v>51.94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IF(C25="","",(COUNTIFS($D$2:$D$36,D25,$C$2:$C$36,"&gt;0",$C$2:$C$36,"&lt;"&amp;C25)+(COUNTIFS($D$2:$D$36,D25,$C$2:$C$36,C25)+1)/2)/COUNTIFS($D$2:$D$36,D25,$C$2:$C$36,"&gt;0"))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 t="n"/>
      <c r="K25" s="16" t="n"/>
      <c r="L25" s="16" t="n"/>
    </row>
    <row r="26">
      <c r="A26" s="18" t="n">
        <v>45291</v>
      </c>
      <c r="B26" s="6" t="n">
        <v>10786.23</v>
      </c>
      <c r="C26" s="7" t="n">
        <v>55.91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IF(C26="","",(COUNTIFS($D$2:$D$36,D26,$C$2:$C$36,"&gt;0",$C$2:$C$36,"&lt;"&amp;C26)+(COUNTIFS($D$2:$D$36,D26,$C$2:$C$36,C26)+1)/2)/COUNTIFS($D$2:$D$36,D26,$C$2:$C$36,"&gt;0"))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 t="n"/>
      <c r="K26" s="16" t="n"/>
      <c r="L26" s="16" t="n"/>
    </row>
    <row r="27">
      <c r="A27" s="18" t="n">
        <v>45382</v>
      </c>
      <c r="B27" s="6" t="n">
        <v>11041.17</v>
      </c>
      <c r="C27" s="7" t="n">
        <v>70.48999999999999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IF(C27="","",(COUNTIFS($D$2:$D$36,D27,$C$2:$C$36,"&gt;0",$C$2:$C$36,"&lt;"&amp;C27)+(COUNTIFS($D$2:$D$36,D27,$C$2:$C$36,C27)+1)/2)/COUNTIFS($D$2:$D$36,D27,$C$2:$C$36,"&gt;0"))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 t="n"/>
      <c r="K27" s="16" t="n"/>
      <c r="L27" s="16" t="n"/>
    </row>
    <row r="28">
      <c r="A28" s="18" t="n">
        <v>45473</v>
      </c>
      <c r="B28" s="6" t="n">
        <v>14295.93</v>
      </c>
      <c r="C28" s="7" t="n">
        <v>95.38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IF(C28="","",(COUNTIFS($D$2:$D$36,D28,$C$2:$C$36,"&gt;0",$C$2:$C$36,"&lt;"&amp;C28)+(COUNTIFS($D$2:$D$36,D28,$C$2:$C$36,C28)+1)/2)/COUNTIFS($D$2:$D$36,D28,$C$2:$C$36,"&gt;0"))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 t="n"/>
      <c r="K28" s="16" t="n"/>
      <c r="L28" s="16" t="n"/>
    </row>
    <row r="29">
      <c r="A29" s="18" t="n">
        <v>45565</v>
      </c>
      <c r="B29" s="6" t="n">
        <v>16287.65</v>
      </c>
      <c r="C29" s="7" t="n">
        <v>119.52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IF(C29="","",(COUNTIFS($D$2:$D$36,D29,$C$2:$C$36,"&gt;0",$C$2:$C$36,"&lt;"&amp;C29)+(COUNTIFS($D$2:$D$36,D29,$C$2:$C$36,C29)+1)/2)/COUNTIFS($D$2:$D$36,D29,$C$2:$C$36,"&gt;0"))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 t="n"/>
      <c r="K29" s="16" t="n"/>
      <c r="L29" s="16" t="n"/>
    </row>
    <row r="30">
      <c r="A30" s="18" t="n">
        <v>45657</v>
      </c>
      <c r="B30" s="6" t="n">
        <v>16606.35</v>
      </c>
      <c r="C30" s="7" t="n">
        <v>148.76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IF(C30="","",(COUNTIFS($D$2:$D$36,D30,$C$2:$C$36,"&gt;0",$C$2:$C$36,"&lt;"&amp;C30)+(COUNTIFS($D$2:$D$36,D30,$C$2:$C$36,C30)+1)/2)/COUNTIFS($D$2:$D$36,D30,$C$2:$C$36,"&gt;0"))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 t="n"/>
      <c r="K30" s="16" t="n"/>
      <c r="L30" s="16" t="n"/>
    </row>
    <row r="31">
      <c r="A31" s="18" t="n">
        <v>45747</v>
      </c>
      <c r="B31" s="6" t="n">
        <v>12666.01</v>
      </c>
      <c r="C31" s="7" t="n">
        <v>33.41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IF(C31="","",(COUNTIFS($D$2:$D$36,D31,$C$2:$C$36,"&gt;0",$C$2:$C$36,"&lt;"&amp;C31)+(COUNTIFS($D$2:$D$36,D31,$C$2:$C$36,C31)+1)/2)/COUNTIFS($D$2:$D$36,D31,$C$2:$C$36,"&gt;0"))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 t="n"/>
      <c r="K31" s="16" t="n"/>
      <c r="L31" s="16" t="n"/>
    </row>
    <row r="32">
      <c r="A32" s="18" t="n">
        <v>45838</v>
      </c>
      <c r="B32" s="6" t="n">
        <v>14783.58</v>
      </c>
      <c r="C32" s="7" t="n">
        <v>33.22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IF(C32="","",(COUNTIFS($D$2:$D$36,D32,$C$2:$C$36,"&gt;0",$C$2:$C$36,"&lt;"&amp;C32)+(COUNTIFS($D$2:$D$36,D32,$C$2:$C$36,C32)+1)/2)/COUNTIFS($D$2:$D$36,D32,$C$2:$C$36,"&gt;0"))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 t="n"/>
      <c r="K32" s="16" t="n"/>
      <c r="L32" s="16" t="n"/>
    </row>
    <row r="33">
      <c r="A33" s="18" t="n">
        <v>45930</v>
      </c>
      <c r="B33" s="6" t="n">
        <v>15195.22</v>
      </c>
      <c r="C33" s="7" t="n">
        <v>27.24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IF(C33="","",(COUNTIFS($D$2:$D$36,D33,$C$2:$C$36,"&gt;0",$C$2:$C$36,"&lt;"&amp;C33)+(COUNTIFS($D$2:$D$36,D33,$C$2:$C$36,C33)+1)/2)/COUNTIFS($D$2:$D$36,D33,$C$2:$C$36,"&gt;0"))</f>
        <v/>
      </c>
      <c r="H33">
        <f>IF(G33="","",IF(G33&lt;=20%,"Q1 Cheapest",IF(G33&lt;=40%,"Q2",IF(G33&lt;=60%,"Q3",IF(G33&lt;=80%,"Q4","Q5 Most Expensive")))))</f>
        <v/>
      </c>
      <c r="I33" s="16" t="n"/>
      <c r="J33" s="16" t="n"/>
      <c r="K33" s="16" t="n"/>
      <c r="L33" s="16" t="n"/>
    </row>
    <row r="34">
      <c r="A34" s="18" t="n">
        <v>46022</v>
      </c>
      <c r="B34" s="6" t="n">
        <v>14365</v>
      </c>
      <c r="C34" s="7" t="n">
        <v>27.8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IF(C34="","",(COUNTIFS($D$2:$D$36,D34,$C$2:$C$36,"&gt;0",$C$2:$C$36,"&lt;"&amp;C34)+(COUNTIFS($D$2:$D$36,D34,$C$2:$C$36,C34)+1)/2)/COUNTIFS($D$2:$D$36,D34,$C$2:$C$36,"&gt;0"))</f>
        <v/>
      </c>
      <c r="H34">
        <f>IF(G34="","",IF(G34&lt;=20%,"Q1 Cheapest",IF(G34&lt;=40%,"Q2",IF(G34&lt;=60%,"Q3",IF(G34&lt;=80%,"Q4","Q5 Most Expensive")))))</f>
        <v/>
      </c>
      <c r="I34" s="16" t="n"/>
      <c r="J34" s="16" t="n"/>
      <c r="K34" s="16" t="n"/>
      <c r="L34" s="16" t="n"/>
    </row>
    <row r="35">
      <c r="A35" s="18" t="n">
        <v>46112</v>
      </c>
      <c r="B35" s="6" t="n">
        <v>11025.8</v>
      </c>
      <c r="C35" s="7" t="n">
        <v>17.23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IF(C35="","",(COUNTIFS($D$2:$D$36,D35,$C$2:$C$36,"&gt;0",$C$2:$C$36,"&lt;"&amp;C35)+(COUNTIFS($D$2:$D$36,D35,$C$2:$C$36,C35)+1)/2)/COUNTIFS($D$2:$D$36,D35,$C$2:$C$36,"&gt;0"))</f>
        <v/>
      </c>
      <c r="H35">
        <f>IF(G35="","",IF(G35&lt;=20%,"Q1 Cheapest",IF(G35&lt;=40%,"Q2",IF(G35&lt;=60%,"Q3",IF(G35&lt;=80%,"Q4","Q5 Most Expensive")))))</f>
        <v/>
      </c>
      <c r="I35" s="16" t="n"/>
      <c r="J35" s="16" t="n"/>
      <c r="K35" s="16" t="n"/>
      <c r="L35" s="16" t="n"/>
    </row>
    <row r="36">
      <c r="A36" s="18" t="n">
        <v>46203</v>
      </c>
      <c r="B36" s="6" t="n">
        <v>14023.9</v>
      </c>
      <c r="C36" s="7" t="n">
        <v>22.85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IF(C36="","",(COUNTIFS($D$2:$D$36,D36,$C$2:$C$36,"&gt;0",$C$2:$C$36,"&lt;"&amp;C36)+(COUNTIFS($D$2:$D$36,D36,$C$2:$C$36,C36)+1)/2)/COUNTIFS($D$2:$D$36,D36,$C$2:$C$36,"&gt;0"))</f>
        <v/>
      </c>
      <c r="H36">
        <f>IF(G36="","",IF(G36&lt;=20%,"Q1 Cheapest",IF(G36&lt;=40%,"Q2",IF(G36&lt;=60%,"Q3",IF(G36&lt;=80%,"Q4","Q5 Most Expensive")))))</f>
        <v/>
      </c>
      <c r="I36" s="16" t="n"/>
      <c r="J36" s="16" t="n"/>
      <c r="K36" s="16" t="n"/>
      <c r="L36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14965.15</v>
      </c>
      <c r="C2" s="7" t="n">
        <v>22.82</v>
      </c>
      <c r="D2" s="8" t="n">
        <v>0.0859375</v>
      </c>
      <c r="E2" s="8" t="n">
        <v>0.134601009538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14910.1</v>
      </c>
      <c r="C3" s="7" t="n">
        <v>22.73</v>
      </c>
      <c r="D3" s="8" t="n">
        <v>0.0859375</v>
      </c>
      <c r="E3" s="8" t="n">
        <v>0.134835015093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2026-09-21T12:04:42Z</dcterms:created>
  <dcterms:modified xsi:type="dcterms:W3CDTF">2026-09-21T12:04:42Z</dcterms:modified>
</cp:coreProperties>
</file>