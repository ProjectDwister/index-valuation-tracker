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Composition" sheetId="5" state="visible" r:id="rId5"/>
    <sheet name="Sources &amp; 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d-mmm-yyyy"/>
    <numFmt numFmtId="165" formatCode="#,##0.00;[Red](#,##0.00);-"/>
    <numFmt numFmtId="166" formatCode="0.00x;[Red](0.00x);-"/>
    <numFmt numFmtId="167" formatCode="0.0%"/>
    <numFmt numFmtId="168" formatCode="#,##0.0;[Red](#,##0.0);-"/>
    <numFmt numFmtId="169" formatCode="0.0"/>
    <numFmt numFmtId="170" formatCode="0.00x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0" fontId="3" fillId="0" borderId="0" pivotButton="0" quotePrefix="0" xfId="0"/>
    <xf numFmtId="169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0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0" fontId="7" fillId="0" borderId="0" pivotButton="0" quotePrefix="0" xfId="1"/>
    <xf numFmtId="164" fontId="0" fillId="0" borderId="0" pivotButton="0" quotePrefix="0" xfId="0"/>
    <xf numFmtId="165" fontId="5" fillId="0" borderId="0" pivotButton="0" quotePrefix="0" xfId="0"/>
    <xf numFmtId="10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70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5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0" fontId="8" fillId="2" borderId="0" pivotButton="0" quotePrefix="0" xfId="0"/>
    <xf numFmtId="0" fontId="6" fillId="4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iftyindices.com/IndexConstituent/ind_niftysmelist.csv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1" customWidth="1" min="4" max="4"/>
    <col width="29" customWidth="1" min="5" max="5"/>
    <col width="17" customWidth="1" min="6" max="6"/>
    <col width="21" customWidth="1" min="7" max="7"/>
  </cols>
  <sheetData>
    <row r="1" ht="26" customHeight="1">
      <c r="A1" s="1" t="inlineStr">
        <is>
          <t>NIFTY Sme Emerge Valuation Tracker</t>
        </is>
      </c>
    </row>
    <row r="2">
      <c r="A2" s="2" t="inlineStr">
        <is>
          <t>As of</t>
        </is>
      </c>
      <c r="B2" s="23" t="n">
        <v>46323</v>
      </c>
      <c r="D2" s="2" t="inlineStr">
        <is>
          <t>Group</t>
        </is>
      </c>
      <c r="E2" s="4" t="inlineStr">
        <is>
          <t>Strategy / Thematic / Other</t>
        </is>
      </c>
    </row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24" t="n">
        <v>14251</v>
      </c>
      <c r="D5" s="2" t="inlineStr">
        <is>
          <t>P/E</t>
        </is>
      </c>
      <c r="E5" s="25" t="n">
        <v>21.87</v>
      </c>
    </row>
    <row r="6">
      <c r="A6" s="2" t="inlineStr">
        <is>
          <t>P/E percentile</t>
        </is>
      </c>
      <c r="B6" s="26" t="n">
        <v>0.06923076923076923</v>
      </c>
      <c r="D6" s="2" t="inlineStr">
        <is>
          <t>Implied EPS</t>
        </is>
      </c>
      <c r="E6" s="27" t="n">
        <v>651.623228166438</v>
      </c>
    </row>
    <row r="7">
      <c r="A7" s="2" t="inlineStr">
        <is>
          <t>YoY implied EPS growth</t>
        </is>
      </c>
      <c r="B7" s="26" t="n">
        <v>0.1612697140911294</v>
      </c>
      <c r="D7" s="2" t="inlineStr">
        <is>
          <t>Earnings yield</t>
        </is>
      </c>
      <c r="E7" s="10" t="n">
        <v>0.04572473708276177</v>
      </c>
    </row>
    <row r="8">
      <c r="A8" s="2" t="inlineStr">
        <is>
          <t>Valuation score</t>
        </is>
      </c>
      <c r="B8" s="28" t="n">
        <v>93.07692307692308</v>
      </c>
      <c r="D8" s="2" t="inlineStr">
        <is>
          <t>Growth score</t>
        </is>
      </c>
      <c r="E8" s="28" t="n">
        <v>82.25394281822589</v>
      </c>
    </row>
    <row r="9">
      <c r="A9" s="2" t="inlineStr">
        <is>
          <t>Composite score</t>
        </is>
      </c>
      <c r="B9" s="28" t="n">
        <v>89.83002899931391</v>
      </c>
      <c r="D9" s="2" t="inlineStr">
        <is>
          <t>Signal</t>
        </is>
      </c>
      <c r="E9" s="12" t="inlineStr">
        <is>
          <t>BUY</t>
        </is>
      </c>
    </row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29" t="n">
        <v>46.33315757999517</v>
      </c>
      <c r="C13" s="15" t="n">
        <v>30191.76171342072</v>
      </c>
      <c r="D13" s="30" t="n">
        <v>1.11857144855945</v>
      </c>
    </row>
    <row r="14">
      <c r="A14" t="inlineStr">
        <is>
          <t>HOLD → SELL</t>
        </is>
      </c>
      <c r="B14" s="29" t="n">
        <v>90.3550333858967</v>
      </c>
      <c r="C14" s="15" t="n">
        <v>58877.43853600429</v>
      </c>
      <c r="D14" s="30" t="n">
        <v>3.131460145674289</v>
      </c>
    </row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6</v>
      </c>
      <c r="C18" s="30" t="n">
        <v>0.0790931435489195</v>
      </c>
      <c r="D18" s="30" t="n">
        <v>0.6995397341765872</v>
      </c>
      <c r="E18" s="30" t="n">
        <v>0.6423058604000583</v>
      </c>
      <c r="F18" s="30" t="n"/>
      <c r="G18" s="30" t="n">
        <v>0</v>
      </c>
    </row>
    <row r="19">
      <c r="A19" t="inlineStr">
        <is>
          <t>Q2</t>
        </is>
      </c>
      <c r="B19" t="n">
        <v>7</v>
      </c>
      <c r="C19" s="30" t="n">
        <v>0.1016046898710225</v>
      </c>
      <c r="D19" s="30" t="n">
        <v>0.5703407899802942</v>
      </c>
      <c r="E19" s="30" t="n">
        <v>0.6529708196426627</v>
      </c>
      <c r="F19" s="30" t="n"/>
      <c r="G19" s="30" t="n">
        <v>0</v>
      </c>
    </row>
    <row r="20">
      <c r="A20" t="inlineStr">
        <is>
          <t>Q3</t>
        </is>
      </c>
      <c r="B20" t="n">
        <v>7</v>
      </c>
      <c r="C20" s="30" t="n">
        <v>0.5395879746677013</v>
      </c>
      <c r="D20" s="30" t="n">
        <v>0.3327947040781369</v>
      </c>
      <c r="E20" s="30" t="n">
        <v>0.4582269486734742</v>
      </c>
      <c r="F20" s="30" t="n"/>
      <c r="G20" s="30" t="n">
        <v>0</v>
      </c>
    </row>
    <row r="21">
      <c r="A21" t="inlineStr">
        <is>
          <t>Q4</t>
        </is>
      </c>
      <c r="B21" t="n">
        <v>7</v>
      </c>
      <c r="C21" s="30" t="n">
        <v>0.03411110714727905</v>
      </c>
      <c r="D21" s="30" t="n">
        <v>0.3006230162839707</v>
      </c>
      <c r="E21" s="30" t="n">
        <v>0.3492759927048708</v>
      </c>
      <c r="F21" s="30" t="n"/>
      <c r="G21" s="30" t="n">
        <v>0</v>
      </c>
    </row>
    <row r="22">
      <c r="A22" t="inlineStr">
        <is>
          <t>Q5 Most Expensive</t>
        </is>
      </c>
      <c r="B22" t="n">
        <v>8</v>
      </c>
      <c r="C22" s="30" t="n">
        <v>0.7010586745977565</v>
      </c>
      <c r="D22" s="30" t="n">
        <v>0.7407205559391973</v>
      </c>
      <c r="E22" s="30" t="n">
        <v>0.3990736235708736</v>
      </c>
      <c r="F22" s="30" t="n"/>
      <c r="G22" s="30" t="n">
        <v>0.1666666666666667</v>
      </c>
    </row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64</v>
      </c>
    </row>
    <row r="26">
      <c r="A26" s="2" t="inlineStr">
        <is>
          <t>Quarter-end P/E observations</t>
        </is>
      </c>
      <c r="B26" t="n">
        <v>35</v>
      </c>
    </row>
    <row r="27">
      <c r="A27" s="2" t="inlineStr">
        <is>
          <t>Backtest start</t>
        </is>
      </c>
      <c r="B27" t="inlineStr">
        <is>
          <t>2017-12-31</t>
        </is>
      </c>
    </row>
    <row r="28">
      <c r="A28" s="2" t="inlineStr">
        <is>
          <t>Backtest end</t>
        </is>
      </c>
      <c r="B28" t="inlineStr">
        <is>
          <t>2026-09-30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31" t="n">
        <v>44316</v>
      </c>
      <c r="B2" s="24" t="n">
        <v>2051.06</v>
      </c>
      <c r="C2" s="25" t="n"/>
      <c r="D2" s="32">
        <f>IFERROR(B2/C2,"")</f>
        <v/>
      </c>
      <c r="E2" s="20">
        <f>IFERROR(1/C2,"")</f>
        <v/>
      </c>
    </row>
    <row r="3">
      <c r="A3" s="31" t="n">
        <v>44347</v>
      </c>
      <c r="B3" s="24" t="n">
        <v>2262.35</v>
      </c>
      <c r="C3" s="25" t="n"/>
      <c r="D3" s="32">
        <f>IFERROR(B3/C3,"")</f>
        <v/>
      </c>
      <c r="E3" s="20">
        <f>IFERROR(1/C3,"")</f>
        <v/>
      </c>
    </row>
    <row r="4">
      <c r="A4" s="31" t="n">
        <v>44377</v>
      </c>
      <c r="B4" s="24" t="n">
        <v>2616.17</v>
      </c>
      <c r="C4" s="25" t="n">
        <v>263.45</v>
      </c>
      <c r="D4" s="32">
        <f>IFERROR(B4/C4,"")</f>
        <v/>
      </c>
      <c r="E4" s="20">
        <f>IFERROR(1/C4,"")</f>
        <v/>
      </c>
    </row>
    <row r="5">
      <c r="A5" s="31" t="n">
        <v>44408</v>
      </c>
      <c r="B5" s="24" t="n">
        <v>2767.18</v>
      </c>
      <c r="C5" s="25" t="n">
        <v>60.44</v>
      </c>
      <c r="D5" s="32">
        <f>IFERROR(B5/C5,"")</f>
        <v/>
      </c>
      <c r="E5" s="20">
        <f>IFERROR(1/C5,"")</f>
        <v/>
      </c>
    </row>
    <row r="6">
      <c r="A6" s="31" t="n">
        <v>44439</v>
      </c>
      <c r="B6" s="24" t="n">
        <v>2805.76</v>
      </c>
      <c r="C6" s="25" t="n">
        <v>67.97</v>
      </c>
      <c r="D6" s="32">
        <f>IFERROR(B6/C6,"")</f>
        <v/>
      </c>
      <c r="E6" s="20">
        <f>IFERROR(1/C6,"")</f>
        <v/>
      </c>
    </row>
    <row r="7">
      <c r="A7" s="31" t="n">
        <v>44469</v>
      </c>
      <c r="B7" s="24" t="n">
        <v>3200.47</v>
      </c>
      <c r="C7" s="25" t="n">
        <v>101.49</v>
      </c>
      <c r="D7" s="32">
        <f>IFERROR(B7/C7,"")</f>
        <v/>
      </c>
      <c r="E7" s="20">
        <f>IFERROR(1/C7,"")</f>
        <v/>
      </c>
    </row>
    <row r="8">
      <c r="A8" s="31" t="n">
        <v>44500</v>
      </c>
      <c r="B8" s="24" t="n">
        <v>3243.35</v>
      </c>
      <c r="C8" s="25" t="n">
        <v>116.81</v>
      </c>
      <c r="D8" s="32">
        <f>IFERROR(B8/C8,"")</f>
        <v/>
      </c>
      <c r="E8" s="20">
        <f>IFERROR(1/C8,"")</f>
        <v/>
      </c>
    </row>
    <row r="9">
      <c r="A9" s="31" t="n">
        <v>44530</v>
      </c>
      <c r="B9" s="24" t="n">
        <v>3390.51</v>
      </c>
      <c r="C9" s="25" t="n">
        <v>161.95</v>
      </c>
      <c r="D9" s="32">
        <f>IFERROR(B9/C9,"")</f>
        <v/>
      </c>
      <c r="E9" s="20">
        <f>IFERROR(1/C9,"")</f>
        <v/>
      </c>
    </row>
    <row r="10">
      <c r="A10" s="31" t="n">
        <v>44561</v>
      </c>
      <c r="B10" s="24" t="n">
        <v>3825</v>
      </c>
      <c r="C10" s="25" t="n">
        <v>47.29</v>
      </c>
      <c r="D10" s="32">
        <f>IFERROR(B10/C10,"")</f>
        <v/>
      </c>
      <c r="E10" s="20">
        <f>IFERROR(1/C10,"")</f>
        <v/>
      </c>
    </row>
    <row r="11">
      <c r="A11" s="31" t="n">
        <v>44592</v>
      </c>
      <c r="B11" s="24" t="n">
        <v>4407.87</v>
      </c>
      <c r="C11" s="25" t="n">
        <v>53.24</v>
      </c>
      <c r="D11" s="32">
        <f>IFERROR(B11/C11,"")</f>
        <v/>
      </c>
      <c r="E11" s="20">
        <f>IFERROR(1/C11,"")</f>
        <v/>
      </c>
    </row>
    <row r="12">
      <c r="A12" s="31" t="n">
        <v>44620</v>
      </c>
      <c r="B12" s="24" t="n">
        <v>4259.75</v>
      </c>
      <c r="C12" s="25" t="n">
        <v>53.39</v>
      </c>
      <c r="D12" s="32">
        <f>IFERROR(B12/C12,"")</f>
        <v/>
      </c>
      <c r="E12" s="20">
        <f>IFERROR(1/C12,"")</f>
        <v/>
      </c>
    </row>
    <row r="13">
      <c r="A13" s="31" t="n">
        <v>44651</v>
      </c>
      <c r="B13" s="24" t="n">
        <v>4653.26</v>
      </c>
      <c r="C13" s="25" t="n">
        <v>55.6</v>
      </c>
      <c r="D13" s="32">
        <f>IFERROR(B13/C13,"")</f>
        <v/>
      </c>
      <c r="E13" s="20">
        <f>IFERROR(1/C13,"")</f>
        <v/>
      </c>
    </row>
    <row r="14">
      <c r="A14" s="31" t="n">
        <v>44681</v>
      </c>
      <c r="B14" s="24" t="n">
        <v>4912.49</v>
      </c>
      <c r="C14" s="25" t="n">
        <v>59.37</v>
      </c>
      <c r="D14" s="32">
        <f>IFERROR(B14/C14,"")</f>
        <v/>
      </c>
      <c r="E14" s="20">
        <f>IFERROR(1/C14,"")</f>
        <v/>
      </c>
    </row>
    <row r="15">
      <c r="A15" s="31" t="n">
        <v>44712</v>
      </c>
      <c r="B15" s="24" t="n">
        <v>4727.85</v>
      </c>
      <c r="C15" s="25" t="n">
        <v>57.19</v>
      </c>
      <c r="D15" s="32">
        <f>IFERROR(B15/C15,"")</f>
        <v/>
      </c>
      <c r="E15" s="20">
        <f>IFERROR(1/C15,"")</f>
        <v/>
      </c>
    </row>
    <row r="16">
      <c r="A16" s="31" t="n">
        <v>44742</v>
      </c>
      <c r="B16" s="24" t="n">
        <v>4451.97</v>
      </c>
      <c r="C16" s="25" t="n">
        <v>122.11</v>
      </c>
      <c r="D16" s="32">
        <f>IFERROR(B16/C16,"")</f>
        <v/>
      </c>
      <c r="E16" s="20">
        <f>IFERROR(1/C16,"")</f>
        <v/>
      </c>
    </row>
    <row r="17">
      <c r="A17" s="31" t="n">
        <v>44773</v>
      </c>
      <c r="B17" s="24" t="n">
        <v>4747.12</v>
      </c>
      <c r="C17" s="25" t="n">
        <v>81.12</v>
      </c>
      <c r="D17" s="32">
        <f>IFERROR(B17/C17,"")</f>
        <v/>
      </c>
      <c r="E17" s="20">
        <f>IFERROR(1/C17,"")</f>
        <v/>
      </c>
    </row>
    <row r="18">
      <c r="A18" s="31" t="n">
        <v>44804</v>
      </c>
      <c r="B18" s="24" t="n">
        <v>5401.17</v>
      </c>
      <c r="C18" s="25" t="n">
        <v>89.88</v>
      </c>
      <c r="D18" s="32">
        <f>IFERROR(B18/C18,"")</f>
        <v/>
      </c>
      <c r="E18" s="20">
        <f>IFERROR(1/C18,"")</f>
        <v/>
      </c>
    </row>
    <row r="19">
      <c r="A19" s="31" t="n">
        <v>44834</v>
      </c>
      <c r="B19" s="24" t="n">
        <v>5593.53</v>
      </c>
      <c r="C19" s="25" t="n">
        <v>90.36</v>
      </c>
      <c r="D19" s="32">
        <f>IFERROR(B19/C19,"")</f>
        <v/>
      </c>
      <c r="E19" s="20">
        <f>IFERROR(1/C19,"")</f>
        <v/>
      </c>
    </row>
    <row r="20">
      <c r="A20" s="31" t="n">
        <v>44865</v>
      </c>
      <c r="B20" s="24" t="n">
        <v>5981.93</v>
      </c>
      <c r="C20" s="25" t="n">
        <v>96.89</v>
      </c>
      <c r="D20" s="32">
        <f>IFERROR(B20/C20,"")</f>
        <v/>
      </c>
      <c r="E20" s="20">
        <f>IFERROR(1/C20,"")</f>
        <v/>
      </c>
    </row>
    <row r="21">
      <c r="A21" s="31" t="n">
        <v>44895</v>
      </c>
      <c r="B21" s="24" t="n">
        <v>6542.41</v>
      </c>
      <c r="C21" s="25" t="n">
        <v>113.66</v>
      </c>
      <c r="D21" s="32">
        <f>IFERROR(B21/C21,"")</f>
        <v/>
      </c>
      <c r="E21" s="20">
        <f>IFERROR(1/C21,"")</f>
        <v/>
      </c>
    </row>
    <row r="22">
      <c r="A22" s="31" t="n">
        <v>44926</v>
      </c>
      <c r="B22" s="24" t="n">
        <v>6529.07</v>
      </c>
      <c r="C22" s="25" t="n">
        <v>83.18000000000001</v>
      </c>
      <c r="D22" s="32">
        <f>IFERROR(B22/C22,"")</f>
        <v/>
      </c>
      <c r="E22" s="20">
        <f>IFERROR(1/C22,"")</f>
        <v/>
      </c>
    </row>
    <row r="23">
      <c r="A23" s="31" t="n">
        <v>44957</v>
      </c>
      <c r="B23" s="24" t="n">
        <v>6978.61</v>
      </c>
      <c r="C23" s="25" t="n">
        <v>71.25</v>
      </c>
      <c r="D23" s="32">
        <f>IFERROR(B23/C23,"")</f>
        <v/>
      </c>
      <c r="E23" s="20">
        <f>IFERROR(1/C23,"")</f>
        <v/>
      </c>
    </row>
    <row r="24">
      <c r="A24" s="31" t="n">
        <v>44985</v>
      </c>
      <c r="B24" s="24" t="n">
        <v>6382.34</v>
      </c>
      <c r="C24" s="25" t="n">
        <v>45.11</v>
      </c>
      <c r="D24" s="32">
        <f>IFERROR(B24/C24,"")</f>
        <v/>
      </c>
      <c r="E24" s="20">
        <f>IFERROR(1/C24,"")</f>
        <v/>
      </c>
    </row>
    <row r="25">
      <c r="A25" s="31" t="n">
        <v>45016</v>
      </c>
      <c r="B25" s="24" t="n">
        <v>6164.19</v>
      </c>
      <c r="C25" s="25" t="n">
        <v>43.1</v>
      </c>
      <c r="D25" s="32">
        <f>IFERROR(B25/C25,"")</f>
        <v/>
      </c>
      <c r="E25" s="20">
        <f>IFERROR(1/C25,"")</f>
        <v/>
      </c>
    </row>
    <row r="26">
      <c r="A26" s="31" t="n">
        <v>45046</v>
      </c>
      <c r="B26" s="24" t="n">
        <v>6861.3</v>
      </c>
      <c r="C26" s="25" t="n">
        <v>49.4</v>
      </c>
      <c r="D26" s="32">
        <f>IFERROR(B26/C26,"")</f>
        <v/>
      </c>
      <c r="E26" s="20">
        <f>IFERROR(1/C26,"")</f>
        <v/>
      </c>
    </row>
    <row r="27">
      <c r="A27" s="31" t="n">
        <v>45077</v>
      </c>
      <c r="B27" s="24" t="n">
        <v>7113.19</v>
      </c>
      <c r="C27" s="25" t="n">
        <v>51.6</v>
      </c>
      <c r="D27" s="32">
        <f>IFERROR(B27/C27,"")</f>
        <v/>
      </c>
      <c r="E27" s="20">
        <f>IFERROR(1/C27,"")</f>
        <v/>
      </c>
    </row>
    <row r="28">
      <c r="A28" s="31" t="n">
        <v>45107</v>
      </c>
      <c r="B28" s="24" t="n">
        <v>7570.15</v>
      </c>
      <c r="C28" s="25" t="n">
        <v>60.91</v>
      </c>
      <c r="D28" s="32">
        <f>IFERROR(B28/C28,"")</f>
        <v/>
      </c>
      <c r="E28" s="20">
        <f>IFERROR(1/C28,"")</f>
        <v/>
      </c>
    </row>
    <row r="29">
      <c r="A29" s="31" t="n">
        <v>45138</v>
      </c>
      <c r="B29" s="24" t="n">
        <v>8194.42</v>
      </c>
      <c r="C29" s="25" t="n">
        <v>57.95</v>
      </c>
      <c r="D29" s="32">
        <f>IFERROR(B29/C29,"")</f>
        <v/>
      </c>
      <c r="E29" s="20">
        <f>IFERROR(1/C29,"")</f>
        <v/>
      </c>
    </row>
    <row r="30">
      <c r="A30" s="31" t="n">
        <v>45169</v>
      </c>
      <c r="B30" s="24" t="n">
        <v>9459.08</v>
      </c>
      <c r="C30" s="25" t="n">
        <v>52.85</v>
      </c>
      <c r="D30" s="32">
        <f>IFERROR(B30/C30,"")</f>
        <v/>
      </c>
      <c r="E30" s="20">
        <f>IFERROR(1/C30,"")</f>
        <v/>
      </c>
    </row>
    <row r="31">
      <c r="A31" s="31" t="n">
        <v>45199</v>
      </c>
      <c r="B31" s="24" t="n">
        <v>9251.200000000001</v>
      </c>
      <c r="C31" s="25" t="n">
        <v>51.94</v>
      </c>
      <c r="D31" s="32">
        <f>IFERROR(B31/C31,"")</f>
        <v/>
      </c>
      <c r="E31" s="20">
        <f>IFERROR(1/C31,"")</f>
        <v/>
      </c>
    </row>
    <row r="32">
      <c r="A32" s="31" t="n">
        <v>45230</v>
      </c>
      <c r="B32" s="24" t="n">
        <v>10119.44</v>
      </c>
      <c r="C32" s="25" t="n">
        <v>57.09</v>
      </c>
      <c r="D32" s="32">
        <f>IFERROR(B32/C32,"")</f>
        <v/>
      </c>
      <c r="E32" s="20">
        <f>IFERROR(1/C32,"")</f>
        <v/>
      </c>
    </row>
    <row r="33">
      <c r="A33" s="31" t="n">
        <v>45260</v>
      </c>
      <c r="B33" s="24" t="n">
        <v>10428.49</v>
      </c>
      <c r="C33" s="25" t="n">
        <v>58.65</v>
      </c>
      <c r="D33" s="32">
        <f>IFERROR(B33/C33,"")</f>
        <v/>
      </c>
      <c r="E33" s="20">
        <f>IFERROR(1/C33,"")</f>
        <v/>
      </c>
    </row>
    <row r="34">
      <c r="A34" s="31" t="n">
        <v>45291</v>
      </c>
      <c r="B34" s="24" t="n">
        <v>10786.23</v>
      </c>
      <c r="C34" s="25" t="n">
        <v>55.91</v>
      </c>
      <c r="D34" s="32">
        <f>IFERROR(B34/C34,"")</f>
        <v/>
      </c>
      <c r="E34" s="20">
        <f>IFERROR(1/C34,"")</f>
        <v/>
      </c>
    </row>
    <row r="35">
      <c r="A35" s="31" t="n">
        <v>45322</v>
      </c>
      <c r="B35" s="24" t="n">
        <v>12161.95</v>
      </c>
      <c r="C35" s="25" t="n">
        <v>66.61</v>
      </c>
      <c r="D35" s="32">
        <f>IFERROR(B35/C35,"")</f>
        <v/>
      </c>
      <c r="E35" s="20">
        <f>IFERROR(1/C35,"")</f>
        <v/>
      </c>
    </row>
    <row r="36">
      <c r="A36" s="31" t="n">
        <v>45351</v>
      </c>
      <c r="B36" s="24" t="n">
        <v>12355.49</v>
      </c>
      <c r="C36" s="25" t="n">
        <v>67.7</v>
      </c>
      <c r="D36" s="32">
        <f>IFERROR(B36/C36,"")</f>
        <v/>
      </c>
      <c r="E36" s="20">
        <f>IFERROR(1/C36,"")</f>
        <v/>
      </c>
    </row>
    <row r="37">
      <c r="A37" s="31" t="n">
        <v>45382</v>
      </c>
      <c r="B37" s="24" t="n">
        <v>11041.17</v>
      </c>
      <c r="C37" s="25" t="n">
        <v>70.48999999999999</v>
      </c>
      <c r="D37" s="32">
        <f>IFERROR(B37/C37,"")</f>
        <v/>
      </c>
      <c r="E37" s="20">
        <f>IFERROR(1/C37,"")</f>
        <v/>
      </c>
    </row>
    <row r="38">
      <c r="A38" s="31" t="n">
        <v>45412</v>
      </c>
      <c r="B38" s="24" t="n">
        <v>12818.2</v>
      </c>
      <c r="C38" s="25" t="n">
        <v>81.84</v>
      </c>
      <c r="D38" s="32">
        <f>IFERROR(B38/C38,"")</f>
        <v/>
      </c>
      <c r="E38" s="20">
        <f>IFERROR(1/C38,"")</f>
        <v/>
      </c>
    </row>
    <row r="39">
      <c r="A39" s="31" t="n">
        <v>45443</v>
      </c>
      <c r="B39" s="24" t="n">
        <v>12855.38</v>
      </c>
      <c r="C39" s="25" t="n">
        <v>82.38</v>
      </c>
      <c r="D39" s="32">
        <f>IFERROR(B39/C39,"")</f>
        <v/>
      </c>
      <c r="E39" s="20">
        <f>IFERROR(1/C39,"")</f>
        <v/>
      </c>
    </row>
    <row r="40">
      <c r="A40" s="31" t="n">
        <v>45473</v>
      </c>
      <c r="B40" s="24" t="n">
        <v>14295.93</v>
      </c>
      <c r="C40" s="25" t="n">
        <v>95.38</v>
      </c>
      <c r="D40" s="32">
        <f>IFERROR(B40/C40,"")</f>
        <v/>
      </c>
      <c r="E40" s="20">
        <f>IFERROR(1/C40,"")</f>
        <v/>
      </c>
    </row>
    <row r="41">
      <c r="A41" s="31" t="n">
        <v>45504</v>
      </c>
      <c r="B41" s="24" t="n">
        <v>14986.98</v>
      </c>
      <c r="C41" s="25" t="n">
        <v>100.3</v>
      </c>
      <c r="D41" s="32">
        <f>IFERROR(B41/C41,"")</f>
        <v/>
      </c>
      <c r="E41" s="20">
        <f>IFERROR(1/C41,"")</f>
        <v/>
      </c>
    </row>
    <row r="42">
      <c r="A42" s="31" t="n">
        <v>45535</v>
      </c>
      <c r="B42" s="24" t="n">
        <v>15960.82</v>
      </c>
      <c r="C42" s="25" t="n">
        <v>107.59</v>
      </c>
      <c r="D42" s="32">
        <f>IFERROR(B42/C42,"")</f>
        <v/>
      </c>
      <c r="E42" s="20">
        <f>IFERROR(1/C42,"")</f>
        <v/>
      </c>
    </row>
    <row r="43">
      <c r="A43" s="31" t="n">
        <v>45565</v>
      </c>
      <c r="B43" s="24" t="n">
        <v>16287.65</v>
      </c>
      <c r="C43" s="25" t="n">
        <v>119.52</v>
      </c>
      <c r="D43" s="32">
        <f>IFERROR(B43/C43,"")</f>
        <v/>
      </c>
      <c r="E43" s="20">
        <f>IFERROR(1/C43,"")</f>
        <v/>
      </c>
    </row>
    <row r="44">
      <c r="A44" s="31" t="n">
        <v>45596</v>
      </c>
      <c r="B44" s="24" t="n">
        <v>16291.81</v>
      </c>
      <c r="C44" s="25" t="n">
        <v>119.79</v>
      </c>
      <c r="D44" s="32">
        <f>IFERROR(B44/C44,"")</f>
        <v/>
      </c>
      <c r="E44" s="20">
        <f>IFERROR(1/C44,"")</f>
        <v/>
      </c>
    </row>
    <row r="45">
      <c r="A45" s="31" t="n">
        <v>45626</v>
      </c>
      <c r="B45" s="24" t="n">
        <v>16089.22</v>
      </c>
      <c r="C45" s="25" t="n">
        <v>124.84</v>
      </c>
      <c r="D45" s="32">
        <f>IFERROR(B45/C45,"")</f>
        <v/>
      </c>
      <c r="E45" s="20">
        <f>IFERROR(1/C45,"")</f>
        <v/>
      </c>
    </row>
    <row r="46">
      <c r="A46" s="31" t="n">
        <v>45657</v>
      </c>
      <c r="B46" s="24" t="n">
        <v>16606.35</v>
      </c>
      <c r="C46" s="25" t="n">
        <v>148.76</v>
      </c>
      <c r="D46" s="32">
        <f>IFERROR(B46/C46,"")</f>
        <v/>
      </c>
      <c r="E46" s="20">
        <f>IFERROR(1/C46,"")</f>
        <v/>
      </c>
    </row>
    <row r="47">
      <c r="A47" s="31" t="n">
        <v>45688</v>
      </c>
      <c r="B47" s="24" t="n">
        <v>15031.78</v>
      </c>
      <c r="C47" s="25" t="n">
        <v>77.09</v>
      </c>
      <c r="D47" s="32">
        <f>IFERROR(B47/C47,"")</f>
        <v/>
      </c>
      <c r="E47" s="20">
        <f>IFERROR(1/C47,"")</f>
        <v/>
      </c>
    </row>
    <row r="48">
      <c r="A48" s="31" t="n">
        <v>45716</v>
      </c>
      <c r="B48" s="24" t="n">
        <v>12665.56</v>
      </c>
      <c r="C48" s="25" t="n">
        <v>42.39</v>
      </c>
      <c r="D48" s="32">
        <f>IFERROR(B48/C48,"")</f>
        <v/>
      </c>
      <c r="E48" s="20">
        <f>IFERROR(1/C48,"")</f>
        <v/>
      </c>
    </row>
    <row r="49">
      <c r="A49" s="31" t="n">
        <v>45747</v>
      </c>
      <c r="B49" s="24" t="n">
        <v>12666.01</v>
      </c>
      <c r="C49" s="25" t="n">
        <v>33.41</v>
      </c>
      <c r="D49" s="32">
        <f>IFERROR(B49/C49,"")</f>
        <v/>
      </c>
      <c r="E49" s="20">
        <f>IFERROR(1/C49,"")</f>
        <v/>
      </c>
    </row>
    <row r="50">
      <c r="A50" s="31" t="n">
        <v>45777</v>
      </c>
      <c r="B50" s="24" t="n">
        <v>13591.56</v>
      </c>
      <c r="C50" s="25" t="n">
        <v>31.81</v>
      </c>
      <c r="D50" s="32">
        <f>IFERROR(B50/C50,"")</f>
        <v/>
      </c>
      <c r="E50" s="20">
        <f>IFERROR(1/C50,"")</f>
        <v/>
      </c>
    </row>
    <row r="51">
      <c r="A51" s="31" t="n">
        <v>45808</v>
      </c>
      <c r="B51" s="24" t="n">
        <v>14313.21</v>
      </c>
      <c r="C51" s="25" t="n">
        <v>33.52</v>
      </c>
      <c r="D51" s="32">
        <f>IFERROR(B51/C51,"")</f>
        <v/>
      </c>
      <c r="E51" s="20">
        <f>IFERROR(1/C51,"")</f>
        <v/>
      </c>
    </row>
    <row r="52">
      <c r="A52" s="31" t="n">
        <v>45838</v>
      </c>
      <c r="B52" s="24" t="n">
        <v>14783.58</v>
      </c>
      <c r="C52" s="25" t="n">
        <v>33.22</v>
      </c>
      <c r="D52" s="32">
        <f>IFERROR(B52/C52,"")</f>
        <v/>
      </c>
      <c r="E52" s="20">
        <f>IFERROR(1/C52,"")</f>
        <v/>
      </c>
    </row>
    <row r="53">
      <c r="A53" s="31" t="n">
        <v>45869</v>
      </c>
      <c r="B53" s="24" t="n">
        <v>15168.25</v>
      </c>
      <c r="C53" s="25" t="n">
        <v>27.44</v>
      </c>
      <c r="D53" s="32">
        <f>IFERROR(B53/C53,"")</f>
        <v/>
      </c>
      <c r="E53" s="20">
        <f>IFERROR(1/C53,"")</f>
        <v/>
      </c>
    </row>
    <row r="54">
      <c r="A54" s="31" t="n">
        <v>45900</v>
      </c>
      <c r="B54" s="24" t="n">
        <v>15104.22</v>
      </c>
      <c r="C54" s="25" t="n">
        <v>26.18</v>
      </c>
      <c r="D54" s="32">
        <f>IFERROR(B54/C54,"")</f>
        <v/>
      </c>
      <c r="E54" s="20">
        <f>IFERROR(1/C54,"")</f>
        <v/>
      </c>
    </row>
    <row r="55">
      <c r="A55" s="31" t="n">
        <v>45930</v>
      </c>
      <c r="B55" s="24" t="n">
        <v>15195.22</v>
      </c>
      <c r="C55" s="25" t="n">
        <v>27.24</v>
      </c>
      <c r="D55" s="32">
        <f>IFERROR(B55/C55,"")</f>
        <v/>
      </c>
      <c r="E55" s="20">
        <f>IFERROR(1/C55,"")</f>
        <v/>
      </c>
    </row>
    <row r="56">
      <c r="A56" s="31" t="n">
        <v>45961</v>
      </c>
      <c r="B56" s="24" t="n">
        <v>15491.18</v>
      </c>
      <c r="C56" s="25" t="n">
        <v>27.64</v>
      </c>
      <c r="D56" s="32">
        <f>IFERROR(B56/C56,"")</f>
        <v/>
      </c>
      <c r="E56" s="20">
        <f>IFERROR(1/C56,"")</f>
        <v/>
      </c>
    </row>
    <row r="57">
      <c r="A57" s="31" t="n">
        <v>45991</v>
      </c>
      <c r="B57" s="24" t="n">
        <v>15305.2</v>
      </c>
      <c r="C57" s="25" t="n">
        <v>26.95</v>
      </c>
      <c r="D57" s="32">
        <f>IFERROR(B57/C57,"")</f>
        <v/>
      </c>
      <c r="E57" s="20">
        <f>IFERROR(1/C57,"")</f>
        <v/>
      </c>
    </row>
    <row r="58">
      <c r="A58" s="31" t="n">
        <v>46022</v>
      </c>
      <c r="B58" s="24" t="n">
        <v>14365</v>
      </c>
      <c r="C58" s="25" t="n">
        <v>27.8</v>
      </c>
      <c r="D58" s="32">
        <f>IFERROR(B58/C58,"")</f>
        <v/>
      </c>
      <c r="E58" s="20">
        <f>IFERROR(1/C58,"")</f>
        <v/>
      </c>
    </row>
    <row r="59">
      <c r="A59" s="31" t="n">
        <v>46053</v>
      </c>
      <c r="B59" s="24" t="n">
        <v>12816.9</v>
      </c>
      <c r="C59" s="25" t="n">
        <v>22.47</v>
      </c>
      <c r="D59" s="32">
        <f>IFERROR(B59/C59,"")</f>
        <v/>
      </c>
      <c r="E59" s="20">
        <f>IFERROR(1/C59,"")</f>
        <v/>
      </c>
    </row>
    <row r="60">
      <c r="A60" s="31" t="n">
        <v>46081</v>
      </c>
      <c r="B60" s="24" t="n">
        <v>12701.65</v>
      </c>
      <c r="C60" s="25" t="n">
        <v>21.38</v>
      </c>
      <c r="D60" s="32">
        <f>IFERROR(B60/C60,"")</f>
        <v/>
      </c>
      <c r="E60" s="20">
        <f>IFERROR(1/C60,"")</f>
        <v/>
      </c>
    </row>
    <row r="61">
      <c r="A61" s="31" t="n">
        <v>46112</v>
      </c>
      <c r="B61" s="24" t="n">
        <v>11025.8</v>
      </c>
      <c r="C61" s="25" t="n">
        <v>17.23</v>
      </c>
      <c r="D61" s="32">
        <f>IFERROR(B61/C61,"")</f>
        <v/>
      </c>
      <c r="E61" s="20">
        <f>IFERROR(1/C61,"")</f>
        <v/>
      </c>
    </row>
    <row r="62">
      <c r="A62" s="31" t="n">
        <v>46142</v>
      </c>
      <c r="B62" s="24" t="n">
        <v>13901.85</v>
      </c>
      <c r="C62" s="25" t="n">
        <v>21.81</v>
      </c>
      <c r="D62" s="32">
        <f>IFERROR(B62/C62,"")</f>
        <v/>
      </c>
      <c r="E62" s="20">
        <f>IFERROR(1/C62,"")</f>
        <v/>
      </c>
    </row>
    <row r="63">
      <c r="A63" s="31" t="n">
        <v>46173</v>
      </c>
      <c r="B63" s="24" t="n">
        <v>13722.6</v>
      </c>
      <c r="C63" s="25" t="n">
        <v>21.57</v>
      </c>
      <c r="D63" s="32">
        <f>IFERROR(B63/C63,"")</f>
        <v/>
      </c>
      <c r="E63" s="20">
        <f>IFERROR(1/C63,"")</f>
        <v/>
      </c>
    </row>
    <row r="64">
      <c r="A64" s="31" t="n">
        <v>46203</v>
      </c>
      <c r="B64" s="24" t="n">
        <v>14023.9</v>
      </c>
      <c r="C64" s="25" t="n">
        <v>22.85</v>
      </c>
      <c r="D64" s="32">
        <f>IFERROR(B64/C64,"")</f>
        <v/>
      </c>
      <c r="E64" s="20">
        <f>IFERROR(1/C64,"")</f>
        <v/>
      </c>
    </row>
    <row r="65">
      <c r="A65" s="31" t="n">
        <v>46234</v>
      </c>
      <c r="B65" s="24" t="n">
        <v>13977.3</v>
      </c>
      <c r="C65" s="25" t="n">
        <v>22.84</v>
      </c>
      <c r="D65" s="32">
        <f>IFERROR(B65/C65,"")</f>
        <v/>
      </c>
      <c r="E65" s="20">
        <f>IFERROR(1/C65,"")</f>
        <v/>
      </c>
    </row>
    <row r="66">
      <c r="A66" s="31" t="n">
        <v>46265</v>
      </c>
      <c r="B66" s="24" t="n">
        <v>14652.95</v>
      </c>
      <c r="C66" s="25" t="n">
        <v>22.84</v>
      </c>
      <c r="D66" s="32">
        <f>IFERROR(B66/C66,"")</f>
        <v/>
      </c>
      <c r="E66" s="20">
        <f>IFERROR(1/C66,"")</f>
        <v/>
      </c>
    </row>
    <row r="67">
      <c r="A67" s="31" t="n">
        <v>46295</v>
      </c>
      <c r="B67" s="24" t="n">
        <v>15215.05</v>
      </c>
      <c r="C67" s="25" t="n">
        <v>23.48</v>
      </c>
      <c r="D67" s="32">
        <f>IFERROR(B67/C67,"")</f>
        <v/>
      </c>
      <c r="E67" s="20">
        <f>IFERROR(1/C67,"")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2" customWidth="1" min="10" max="10"/>
    <col width="32" customWidth="1" min="11" max="11"/>
    <col width="14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31" t="n">
        <v>43100</v>
      </c>
      <c r="B2" s="24" t="n">
        <v>1819.47</v>
      </c>
      <c r="C2" s="25" t="n">
        <v>33.59</v>
      </c>
      <c r="D2" s="2" t="inlineStr">
        <is>
          <t>Standalone</t>
        </is>
      </c>
      <c r="E2" s="33">
        <f>IFERROR(B2/C2,"")</f>
        <v/>
      </c>
      <c r="F2" s="30" t="n"/>
      <c r="G2" s="30">
        <f>IF(C2="","",(COUNTIFS($D$2:$D$37,D2,$C$2:$C$37,"&gt;0",$C$2:$C$37,"&lt;"&amp;C2)+(COUNTIFS($D$2:$D$37,D2,$C$2:$C$37,C2)+1)/2)/COUNTIFS($D$2:$D$37,D2,$C$2:$C$37,"&gt;0"))</f>
        <v/>
      </c>
      <c r="H2">
        <f>IF(G2="","",IF(G2&lt;=20%,"Q1 Cheapest",IF(G2&lt;=40%,"Q2",IF(G2&lt;=60%,"Q3",IF(G2&lt;=80%,"Q4","Q5 Most Expensive")))))</f>
        <v/>
      </c>
      <c r="I2" s="30">
        <f>IFERROR(B6/B2-1,"")</f>
        <v/>
      </c>
      <c r="J2" s="30">
        <f>IFERROR((B14/B2)^(1/3)-1,"")</f>
        <v/>
      </c>
      <c r="K2" s="30">
        <f>IFERROR((B22/B2)^(1/5)-1,"")</f>
        <v/>
      </c>
      <c r="L2" s="30" t="n"/>
    </row>
    <row r="3">
      <c r="A3" s="31" t="n">
        <v>43190</v>
      </c>
      <c r="B3" s="24" t="n">
        <v>1640.53</v>
      </c>
      <c r="C3" s="25" t="n">
        <v>29.81</v>
      </c>
      <c r="D3" s="2" t="inlineStr">
        <is>
          <t>Standalone</t>
        </is>
      </c>
      <c r="E3" s="33">
        <f>IFERROR(B3/C3,"")</f>
        <v/>
      </c>
      <c r="F3" s="30" t="n"/>
      <c r="G3" s="30">
        <f>IF(C3="","",(COUNTIFS($D$2:$D$37,D3,$C$2:$C$37,"&gt;0",$C$2:$C$37,"&lt;"&amp;C3)+(COUNTIFS($D$2:$D$37,D3,$C$2:$C$37,C3)+1)/2)/COUNTIFS($D$2:$D$37,D3,$C$2:$C$37,"&gt;0"))</f>
        <v/>
      </c>
      <c r="H3">
        <f>IF(G3="","",IF(G3&lt;=20%,"Q1 Cheapest",IF(G3&lt;=40%,"Q2",IF(G3&lt;=60%,"Q3",IF(G3&lt;=80%,"Q4","Q5 Most Expensive")))))</f>
        <v/>
      </c>
      <c r="I3" s="30">
        <f>IFERROR(B7/B3-1,"")</f>
        <v/>
      </c>
      <c r="J3" s="30">
        <f>IFERROR((B15/B3)^(1/3)-1,"")</f>
        <v/>
      </c>
      <c r="K3" s="30">
        <f>IFERROR((B23/B3)^(1/5)-1,"")</f>
        <v/>
      </c>
      <c r="L3" s="30" t="n"/>
    </row>
    <row r="4">
      <c r="A4" s="31" t="n">
        <v>43281</v>
      </c>
      <c r="B4" s="24" t="n">
        <v>1692.78</v>
      </c>
      <c r="C4" s="25" t="n">
        <v>27.19</v>
      </c>
      <c r="D4" s="2" t="inlineStr">
        <is>
          <t>Standalone</t>
        </is>
      </c>
      <c r="E4" s="33">
        <f>IFERROR(B4/C4,"")</f>
        <v/>
      </c>
      <c r="F4" s="30" t="n"/>
      <c r="G4" s="30">
        <f>IF(C4="","",(COUNTIFS($D$2:$D$37,D4,$C$2:$C$37,"&gt;0",$C$2:$C$37,"&lt;"&amp;C4)+(COUNTIFS($D$2:$D$37,D4,$C$2:$C$37,C4)+1)/2)/COUNTIFS($D$2:$D$37,D4,$C$2:$C$37,"&gt;0"))</f>
        <v/>
      </c>
      <c r="H4">
        <f>IF(G4="","",IF(G4&lt;=20%,"Q1 Cheapest",IF(G4&lt;=40%,"Q2",IF(G4&lt;=60%,"Q3",IF(G4&lt;=80%,"Q4","Q5 Most Expensive")))))</f>
        <v/>
      </c>
      <c r="I4" s="30">
        <f>IFERROR(B8/B4-1,"")</f>
        <v/>
      </c>
      <c r="J4" s="30">
        <f>IFERROR((B16/B4)^(1/3)-1,"")</f>
        <v/>
      </c>
      <c r="K4" s="30">
        <f>IFERROR((B24/B4)^(1/5)-1,"")</f>
        <v/>
      </c>
      <c r="L4" s="30" t="n"/>
    </row>
    <row r="5">
      <c r="A5" s="31" t="n">
        <v>43373</v>
      </c>
      <c r="B5" s="24" t="n">
        <v>1564.85</v>
      </c>
      <c r="C5" s="25" t="n">
        <v>16.24</v>
      </c>
      <c r="D5" s="2" t="inlineStr">
        <is>
          <t>Standalone</t>
        </is>
      </c>
      <c r="E5" s="33">
        <f>IFERROR(B5/C5,"")</f>
        <v/>
      </c>
      <c r="F5" s="30" t="n"/>
      <c r="G5" s="30">
        <f>IF(C5="","",(COUNTIFS($D$2:$D$37,D5,$C$2:$C$37,"&gt;0",$C$2:$C$37,"&lt;"&amp;C5)+(COUNTIFS($D$2:$D$37,D5,$C$2:$C$37,C5)+1)/2)/COUNTIFS($D$2:$D$37,D5,$C$2:$C$37,"&gt;0"))</f>
        <v/>
      </c>
      <c r="H5">
        <f>IF(G5="","",IF(G5&lt;=20%,"Q1 Cheapest",IF(G5&lt;=40%,"Q2",IF(G5&lt;=60%,"Q3",IF(G5&lt;=80%,"Q4","Q5 Most Expensive")))))</f>
        <v/>
      </c>
      <c r="I5" s="30">
        <f>IFERROR(B9/B5-1,"")</f>
        <v/>
      </c>
      <c r="J5" s="30">
        <f>IFERROR((B17/B5)^(1/3)-1,"")</f>
        <v/>
      </c>
      <c r="K5" s="30">
        <f>IFERROR((B25/B5)^(1/5)-1,"")</f>
        <v/>
      </c>
      <c r="L5" s="30" t="n"/>
    </row>
    <row r="6">
      <c r="A6" s="31" t="n">
        <v>43465</v>
      </c>
      <c r="B6" s="24" t="n">
        <v>1542.09</v>
      </c>
      <c r="C6" s="25" t="n">
        <v>17.32</v>
      </c>
      <c r="D6" s="2" t="inlineStr">
        <is>
          <t>Standalone</t>
        </is>
      </c>
      <c r="E6" s="33">
        <f>IFERROR(B6/C6,"")</f>
        <v/>
      </c>
      <c r="F6" s="30">
        <f>IF(AND(D6=D2,E2&lt;&gt;""),E6/E2-1,"")</f>
        <v/>
      </c>
      <c r="G6" s="30">
        <f>IF(C6="","",(COUNTIFS($D$2:$D$37,D6,$C$2:$C$37,"&gt;0",$C$2:$C$37,"&lt;"&amp;C6)+(COUNTIFS($D$2:$D$37,D6,$C$2:$C$37,C6)+1)/2)/COUNTIFS($D$2:$D$37,D6,$C$2:$C$37,"&gt;0"))</f>
        <v/>
      </c>
      <c r="H6">
        <f>IF(G6="","",IF(G6&lt;=20%,"Q1 Cheapest",IF(G6&lt;=40%,"Q2",IF(G6&lt;=60%,"Q3",IF(G6&lt;=80%,"Q4","Q5 Most Expensive")))))</f>
        <v/>
      </c>
      <c r="I6" s="30">
        <f>IFERROR(B10/B6-1,"")</f>
        <v/>
      </c>
      <c r="J6" s="30">
        <f>IFERROR((B18/B6)^(1/3)-1,"")</f>
        <v/>
      </c>
      <c r="K6" s="30">
        <f>IFERROR((B26/B6)^(1/5)-1,"")</f>
        <v/>
      </c>
      <c r="L6" s="30" t="n"/>
    </row>
    <row r="7">
      <c r="A7" s="31" t="n">
        <v>43555</v>
      </c>
      <c r="B7" s="24" t="n">
        <v>1504.88</v>
      </c>
      <c r="C7" s="25" t="n">
        <v>16.48</v>
      </c>
      <c r="D7" s="2" t="inlineStr">
        <is>
          <t>Standalone</t>
        </is>
      </c>
      <c r="E7" s="33">
        <f>IFERROR(B7/C7,"")</f>
        <v/>
      </c>
      <c r="F7" s="30">
        <f>IF(AND(D7=D3,E3&lt;&gt;""),E7/E3-1,"")</f>
        <v/>
      </c>
      <c r="G7" s="30">
        <f>IF(C7="","",(COUNTIFS($D$2:$D$37,D7,$C$2:$C$37,"&gt;0",$C$2:$C$37,"&lt;"&amp;C7)+(COUNTIFS($D$2:$D$37,D7,$C$2:$C$37,C7)+1)/2)/COUNTIFS($D$2:$D$37,D7,$C$2:$C$37,"&gt;0"))</f>
        <v/>
      </c>
      <c r="H7">
        <f>IF(G7="","",IF(G7&lt;=20%,"Q1 Cheapest",IF(G7&lt;=40%,"Q2",IF(G7&lt;=60%,"Q3",IF(G7&lt;=80%,"Q4","Q5 Most Expensive")))))</f>
        <v/>
      </c>
      <c r="I7" s="30">
        <f>IFERROR(B11/B7-1,"")</f>
        <v/>
      </c>
      <c r="J7" s="30">
        <f>IFERROR((B19/B7)^(1/3)-1,"")</f>
        <v/>
      </c>
      <c r="K7" s="30">
        <f>IFERROR((B27/B7)^(1/5)-1,"")</f>
        <v/>
      </c>
      <c r="L7" s="30" t="n"/>
    </row>
    <row r="8">
      <c r="A8" s="31" t="n">
        <v>43646</v>
      </c>
      <c r="B8" s="24" t="n">
        <v>1467.08</v>
      </c>
      <c r="C8" s="25" t="n">
        <v>15.52</v>
      </c>
      <c r="D8" s="2" t="inlineStr">
        <is>
          <t>Standalone</t>
        </is>
      </c>
      <c r="E8" s="33">
        <f>IFERROR(B8/C8,"")</f>
        <v/>
      </c>
      <c r="F8" s="30">
        <f>IF(AND(D8=D4,E4&lt;&gt;""),E8/E4-1,"")</f>
        <v/>
      </c>
      <c r="G8" s="30">
        <f>IF(C8="","",(COUNTIFS($D$2:$D$37,D8,$C$2:$C$37,"&gt;0",$C$2:$C$37,"&lt;"&amp;C8)+(COUNTIFS($D$2:$D$37,D8,$C$2:$C$37,C8)+1)/2)/COUNTIFS($D$2:$D$37,D8,$C$2:$C$37,"&gt;0"))</f>
        <v/>
      </c>
      <c r="H8">
        <f>IF(G8="","",IF(G8&lt;=20%,"Q1 Cheapest",IF(G8&lt;=40%,"Q2",IF(G8&lt;=60%,"Q3",IF(G8&lt;=80%,"Q4","Q5 Most Expensive")))))</f>
        <v/>
      </c>
      <c r="I8" s="30">
        <f>IFERROR(B12/B8-1,"")</f>
        <v/>
      </c>
      <c r="J8" s="30">
        <f>IFERROR((B20/B8)^(1/3)-1,"")</f>
        <v/>
      </c>
      <c r="K8" s="30">
        <f>IFERROR((B28/B8)^(1/5)-1,"")</f>
        <v/>
      </c>
      <c r="L8" s="30" t="n"/>
    </row>
    <row r="9">
      <c r="A9" s="31" t="n">
        <v>43738</v>
      </c>
      <c r="B9" s="24" t="n">
        <v>1362.95</v>
      </c>
      <c r="C9" s="25" t="n">
        <v>13.08</v>
      </c>
      <c r="D9" s="2" t="inlineStr">
        <is>
          <t>Standalone</t>
        </is>
      </c>
      <c r="E9" s="33">
        <f>IFERROR(B9/C9,"")</f>
        <v/>
      </c>
      <c r="F9" s="30">
        <f>IF(AND(D9=D5,E5&lt;&gt;""),E9/E5-1,"")</f>
        <v/>
      </c>
      <c r="G9" s="30">
        <f>IF(C9="","",(COUNTIFS($D$2:$D$37,D9,$C$2:$C$37,"&gt;0",$C$2:$C$37,"&lt;"&amp;C9)+(COUNTIFS($D$2:$D$37,D9,$C$2:$C$37,C9)+1)/2)/COUNTIFS($D$2:$D$37,D9,$C$2:$C$37,"&gt;0"))</f>
        <v/>
      </c>
      <c r="H9">
        <f>IF(G9="","",IF(G9&lt;=20%,"Q1 Cheapest",IF(G9&lt;=40%,"Q2",IF(G9&lt;=60%,"Q3",IF(G9&lt;=80%,"Q4","Q5 Most Expensive")))))</f>
        <v/>
      </c>
      <c r="I9" s="30">
        <f>IFERROR(B13/B9-1,"")</f>
        <v/>
      </c>
      <c r="J9" s="30">
        <f>IFERROR((B21/B9)^(1/3)-1,"")</f>
        <v/>
      </c>
      <c r="K9" s="30">
        <f>IFERROR((B29/B9)^(1/5)-1,"")</f>
        <v/>
      </c>
      <c r="L9" s="30" t="n"/>
    </row>
    <row r="10">
      <c r="A10" s="31" t="n">
        <v>43830</v>
      </c>
      <c r="B10" s="24" t="n">
        <v>1345.7</v>
      </c>
      <c r="C10" s="25" t="n">
        <v>13.56</v>
      </c>
      <c r="D10" s="2" t="inlineStr">
        <is>
          <t>Standalone</t>
        </is>
      </c>
      <c r="E10" s="33">
        <f>IFERROR(B10/C10,"")</f>
        <v/>
      </c>
      <c r="F10" s="30">
        <f>IF(AND(D10=D6,E6&lt;&gt;""),E10/E6-1,"")</f>
        <v/>
      </c>
      <c r="G10" s="30">
        <f>IF(C10="","",(COUNTIFS($D$2:$D$37,D10,$C$2:$C$37,"&gt;0",$C$2:$C$37,"&lt;"&amp;C10)+(COUNTIFS($D$2:$D$37,D10,$C$2:$C$37,C10)+1)/2)/COUNTIFS($D$2:$D$37,D10,$C$2:$C$37,"&gt;0"))</f>
        <v/>
      </c>
      <c r="H10">
        <f>IF(G10="","",IF(G10&lt;=20%,"Q1 Cheapest",IF(G10&lt;=40%,"Q2",IF(G10&lt;=60%,"Q3",IF(G10&lt;=80%,"Q4","Q5 Most Expensive")))))</f>
        <v/>
      </c>
      <c r="I10" s="30">
        <f>IFERROR(B14/B10-1,"")</f>
        <v/>
      </c>
      <c r="J10" s="30">
        <f>IFERROR((B22/B10)^(1/3)-1,"")</f>
        <v/>
      </c>
      <c r="K10" s="30">
        <f>IFERROR((B30/B10)^(1/5)-1,"")</f>
        <v/>
      </c>
      <c r="L10" s="30" t="n"/>
    </row>
    <row r="11">
      <c r="A11" s="31" t="n">
        <v>43921</v>
      </c>
      <c r="B11" s="24" t="n">
        <v>1060.42</v>
      </c>
      <c r="C11" s="25" t="n">
        <v>10.68</v>
      </c>
      <c r="D11" s="2" t="inlineStr">
        <is>
          <t>Standalone</t>
        </is>
      </c>
      <c r="E11" s="33">
        <f>IFERROR(B11/C11,"")</f>
        <v/>
      </c>
      <c r="F11" s="30">
        <f>IF(AND(D11=D7,E7&lt;&gt;""),E11/E7-1,"")</f>
        <v/>
      </c>
      <c r="G11" s="30">
        <f>IF(C11="","",(COUNTIFS($D$2:$D$37,D11,$C$2:$C$37,"&gt;0",$C$2:$C$37,"&lt;"&amp;C11)+(COUNTIFS($D$2:$D$37,D11,$C$2:$C$37,C11)+1)/2)/COUNTIFS($D$2:$D$37,D11,$C$2:$C$37,"&gt;0"))</f>
        <v/>
      </c>
      <c r="H11">
        <f>IF(G11="","",IF(G11&lt;=20%,"Q1 Cheapest",IF(G11&lt;=40%,"Q2",IF(G11&lt;=60%,"Q3",IF(G11&lt;=80%,"Q4","Q5 Most Expensive")))))</f>
        <v/>
      </c>
      <c r="I11" s="30">
        <f>IFERROR(B15/B11-1,"")</f>
        <v/>
      </c>
      <c r="J11" s="30">
        <f>IFERROR((B23/B11)^(1/3)-1,"")</f>
        <v/>
      </c>
      <c r="K11" s="30">
        <f>IFERROR((B31/B11)^(1/5)-1,"")</f>
        <v/>
      </c>
      <c r="L11" s="30" t="n"/>
    </row>
    <row r="12">
      <c r="A12" s="31" t="n">
        <v>44012</v>
      </c>
      <c r="B12" s="24" t="n">
        <v>1187.21</v>
      </c>
      <c r="C12" s="25" t="n">
        <v>15.6</v>
      </c>
      <c r="D12" s="2" t="inlineStr">
        <is>
          <t>Standalone</t>
        </is>
      </c>
      <c r="E12" s="33">
        <f>IFERROR(B12/C12,"")</f>
        <v/>
      </c>
      <c r="F12" s="30">
        <f>IF(AND(D12=D8,E8&lt;&gt;""),E12/E8-1,"")</f>
        <v/>
      </c>
      <c r="G12" s="30">
        <f>IF(C12="","",(COUNTIFS($D$2:$D$37,D12,$C$2:$C$37,"&gt;0",$C$2:$C$37,"&lt;"&amp;C12)+(COUNTIFS($D$2:$D$37,D12,$C$2:$C$37,C12)+1)/2)/COUNTIFS($D$2:$D$37,D12,$C$2:$C$37,"&gt;0"))</f>
        <v/>
      </c>
      <c r="H12">
        <f>IF(G12="","",IF(G12&lt;=20%,"Q1 Cheapest",IF(G12&lt;=40%,"Q2",IF(G12&lt;=60%,"Q3",IF(G12&lt;=80%,"Q4","Q5 Most Expensive")))))</f>
        <v/>
      </c>
      <c r="I12" s="30">
        <f>IFERROR(B16/B12-1,"")</f>
        <v/>
      </c>
      <c r="J12" s="30">
        <f>IFERROR((B24/B12)^(1/3)-1,"")</f>
        <v/>
      </c>
      <c r="K12" s="30">
        <f>IFERROR((B32/B12)^(1/5)-1,"")</f>
        <v/>
      </c>
      <c r="L12" s="30" t="n"/>
    </row>
    <row r="13">
      <c r="A13" s="31" t="n">
        <v>44104</v>
      </c>
      <c r="B13" s="24" t="n">
        <v>1470.75</v>
      </c>
      <c r="C13" s="25" t="n">
        <v>31.22</v>
      </c>
      <c r="D13" s="2" t="inlineStr">
        <is>
          <t>Standalone</t>
        </is>
      </c>
      <c r="E13" s="33">
        <f>IFERROR(B13/C13,"")</f>
        <v/>
      </c>
      <c r="F13" s="30">
        <f>IF(AND(D13=D9,E9&lt;&gt;""),E13/E9-1,"")</f>
        <v/>
      </c>
      <c r="G13" s="30">
        <f>IF(C13="","",(COUNTIFS($D$2:$D$37,D13,$C$2:$C$37,"&gt;0",$C$2:$C$37,"&lt;"&amp;C13)+(COUNTIFS($D$2:$D$37,D13,$C$2:$C$37,C13)+1)/2)/COUNTIFS($D$2:$D$37,D13,$C$2:$C$37,"&gt;0"))</f>
        <v/>
      </c>
      <c r="H13">
        <f>IF(G13="","",IF(G13&lt;=20%,"Q1 Cheapest",IF(G13&lt;=40%,"Q2",IF(G13&lt;=60%,"Q3",IF(G13&lt;=80%,"Q4","Q5 Most Expensive")))))</f>
        <v/>
      </c>
      <c r="I13" s="30">
        <f>IFERROR(B17/B13-1,"")</f>
        <v/>
      </c>
      <c r="J13" s="30">
        <f>IFERROR((B25/B13)^(1/3)-1,"")</f>
        <v/>
      </c>
      <c r="K13" s="30">
        <f>IFERROR((B33/B13)^(1/5)-1,"")</f>
        <v/>
      </c>
      <c r="L13" s="30" t="n"/>
    </row>
    <row r="14">
      <c r="A14" s="31" t="n">
        <v>44196</v>
      </c>
      <c r="B14" s="24" t="n">
        <v>1688.31</v>
      </c>
      <c r="C14" s="25" t="n">
        <v>65.55</v>
      </c>
      <c r="D14" s="2" t="inlineStr">
        <is>
          <t>Standalone</t>
        </is>
      </c>
      <c r="E14" s="33">
        <f>IFERROR(B14/C14,"")</f>
        <v/>
      </c>
      <c r="F14" s="30">
        <f>IF(AND(D14=D10,E10&lt;&gt;""),E14/E10-1,"")</f>
        <v/>
      </c>
      <c r="G14" s="30">
        <f>IF(C14="","",(COUNTIFS($D$2:$D$37,D14,$C$2:$C$37,"&gt;0",$C$2:$C$37,"&lt;"&amp;C14)+(COUNTIFS($D$2:$D$37,D14,$C$2:$C$37,C14)+1)/2)/COUNTIFS($D$2:$D$37,D14,$C$2:$C$37,"&gt;0"))</f>
        <v/>
      </c>
      <c r="H14">
        <f>IF(G14="","",IF(G14&lt;=20%,"Q1 Cheapest",IF(G14&lt;=40%,"Q2",IF(G14&lt;=60%,"Q3",IF(G14&lt;=80%,"Q4","Q5 Most Expensive")))))</f>
        <v/>
      </c>
      <c r="I14" s="30">
        <f>IFERROR(B18/B14-1,"")</f>
        <v/>
      </c>
      <c r="J14" s="30">
        <f>IFERROR((B26/B14)^(1/3)-1,"")</f>
        <v/>
      </c>
      <c r="K14" s="30">
        <f>IFERROR((B34/B14)^(1/5)-1,"")</f>
        <v/>
      </c>
      <c r="L14" s="30" t="n"/>
    </row>
    <row r="15">
      <c r="A15" s="31" t="n">
        <v>44286</v>
      </c>
      <c r="B15" s="24" t="n">
        <v>1794.26</v>
      </c>
      <c r="C15" s="25" t="n"/>
      <c r="D15" s="2" t="inlineStr">
        <is>
          <t>Consolidated</t>
        </is>
      </c>
      <c r="E15" s="33">
        <f>IFERROR(B15/C15,"")</f>
        <v/>
      </c>
      <c r="F15" s="30">
        <f>IF(AND(D15=D11,E11&lt;&gt;""),E15/E11-1,"")</f>
        <v/>
      </c>
      <c r="G15" s="30">
        <f>IF(C15="","",(COUNTIFS($D$2:$D$37,D15,$C$2:$C$37,"&gt;0",$C$2:$C$37,"&lt;"&amp;C15)+(COUNTIFS($D$2:$D$37,D15,$C$2:$C$37,C15)+1)/2)/COUNTIFS($D$2:$D$37,D15,$C$2:$C$37,"&gt;0"))</f>
        <v/>
      </c>
      <c r="H15">
        <f>IF(G15="","",IF(G15&lt;=20%,"Q1 Cheapest",IF(G15&lt;=40%,"Q2",IF(G15&lt;=60%,"Q3",IF(G15&lt;=80%,"Q4","Q5 Most Expensive")))))</f>
        <v/>
      </c>
      <c r="I15" s="30">
        <f>IFERROR(B19/B15-1,"")</f>
        <v/>
      </c>
      <c r="J15" s="30">
        <f>IFERROR((B27/B15)^(1/3)-1,"")</f>
        <v/>
      </c>
      <c r="K15" s="30">
        <f>IFERROR((B35/B15)^(1/5)-1,"")</f>
        <v/>
      </c>
      <c r="L15" s="30" t="n"/>
    </row>
    <row r="16">
      <c r="A16" s="31" t="n">
        <v>44377</v>
      </c>
      <c r="B16" s="24" t="n">
        <v>2616.17</v>
      </c>
      <c r="C16" s="25" t="n">
        <v>263.45</v>
      </c>
      <c r="D16" s="2" t="inlineStr">
        <is>
          <t>Consolidated</t>
        </is>
      </c>
      <c r="E16" s="33">
        <f>IFERROR(B16/C16,"")</f>
        <v/>
      </c>
      <c r="F16" s="30">
        <f>IF(AND(D16=D12,E12&lt;&gt;""),E16/E12-1,"")</f>
        <v/>
      </c>
      <c r="G16" s="30">
        <f>IF(C16="","",(COUNTIFS($D$2:$D$37,D16,$C$2:$C$37,"&gt;0",$C$2:$C$37,"&lt;"&amp;C16)+(COUNTIFS($D$2:$D$37,D16,$C$2:$C$37,C16)+1)/2)/COUNTIFS($D$2:$D$37,D16,$C$2:$C$37,"&gt;0"))</f>
        <v/>
      </c>
      <c r="H16">
        <f>IF(G16="","",IF(G16&lt;=20%,"Q1 Cheapest",IF(G16&lt;=40%,"Q2",IF(G16&lt;=60%,"Q3",IF(G16&lt;=80%,"Q4","Q5 Most Expensive")))))</f>
        <v/>
      </c>
      <c r="I16" s="30">
        <f>IFERROR(B20/B16-1,"")</f>
        <v/>
      </c>
      <c r="J16" s="30">
        <f>IFERROR((B28/B16)^(1/3)-1,"")</f>
        <v/>
      </c>
      <c r="K16" s="30">
        <f>IFERROR((B36/B16)^(1/5)-1,"")</f>
        <v/>
      </c>
      <c r="L16" s="30" t="n"/>
    </row>
    <row r="17">
      <c r="A17" s="31" t="n">
        <v>44469</v>
      </c>
      <c r="B17" s="24" t="n">
        <v>3200.47</v>
      </c>
      <c r="C17" s="25" t="n">
        <v>101.49</v>
      </c>
      <c r="D17" s="2" t="inlineStr">
        <is>
          <t>Consolidated</t>
        </is>
      </c>
      <c r="E17" s="33">
        <f>IFERROR(B17/C17,"")</f>
        <v/>
      </c>
      <c r="F17" s="30">
        <f>IF(AND(D17=D13,E13&lt;&gt;""),E17/E13-1,"")</f>
        <v/>
      </c>
      <c r="G17" s="30">
        <f>IF(C17="","",(COUNTIFS($D$2:$D$37,D17,$C$2:$C$37,"&gt;0",$C$2:$C$37,"&lt;"&amp;C17)+(COUNTIFS($D$2:$D$37,D17,$C$2:$C$37,C17)+1)/2)/COUNTIFS($D$2:$D$37,D17,$C$2:$C$37,"&gt;0"))</f>
        <v/>
      </c>
      <c r="H17">
        <f>IF(G17="","",IF(G17&lt;=20%,"Q1 Cheapest",IF(G17&lt;=40%,"Q2",IF(G17&lt;=60%,"Q3",IF(G17&lt;=80%,"Q4","Q5 Most Expensive")))))</f>
        <v/>
      </c>
      <c r="I17" s="30">
        <f>IFERROR(B21/B17-1,"")</f>
        <v/>
      </c>
      <c r="J17" s="30">
        <f>IFERROR((B29/B17)^(1/3)-1,"")</f>
        <v/>
      </c>
      <c r="K17" s="30">
        <f>IFERROR((B37/B17)^(1/5)-1,"")</f>
        <v/>
      </c>
      <c r="L17" s="30" t="n"/>
    </row>
    <row r="18">
      <c r="A18" s="31" t="n">
        <v>44561</v>
      </c>
      <c r="B18" s="24" t="n">
        <v>3825</v>
      </c>
      <c r="C18" s="25" t="n">
        <v>47.29</v>
      </c>
      <c r="D18" s="2" t="inlineStr">
        <is>
          <t>Consolidated</t>
        </is>
      </c>
      <c r="E18" s="33">
        <f>IFERROR(B18/C18,"")</f>
        <v/>
      </c>
      <c r="F18" s="30">
        <f>IF(AND(D18=D14,E14&lt;&gt;""),E18/E14-1,"")</f>
        <v/>
      </c>
      <c r="G18" s="30">
        <f>IF(C18="","",(COUNTIFS($D$2:$D$37,D18,$C$2:$C$37,"&gt;0",$C$2:$C$37,"&lt;"&amp;C18)+(COUNTIFS($D$2:$D$37,D18,$C$2:$C$37,C18)+1)/2)/COUNTIFS($D$2:$D$37,D18,$C$2:$C$37,"&gt;0"))</f>
        <v/>
      </c>
      <c r="H18">
        <f>IF(G18="","",IF(G18&lt;=20%,"Q1 Cheapest",IF(G18&lt;=40%,"Q2",IF(G18&lt;=60%,"Q3",IF(G18&lt;=80%,"Q4","Q5 Most Expensive")))))</f>
        <v/>
      </c>
      <c r="I18" s="30">
        <f>IFERROR(B22/B18-1,"")</f>
        <v/>
      </c>
      <c r="J18" s="30">
        <f>IFERROR((B30/B18)^(1/3)-1,"")</f>
        <v/>
      </c>
      <c r="K18" s="30" t="n"/>
      <c r="L18" s="30" t="n"/>
    </row>
    <row r="19">
      <c r="A19" s="31" t="n">
        <v>44651</v>
      </c>
      <c r="B19" s="24" t="n">
        <v>4653.26</v>
      </c>
      <c r="C19" s="25" t="n">
        <v>55.6</v>
      </c>
      <c r="D19" s="2" t="inlineStr">
        <is>
          <t>Consolidated</t>
        </is>
      </c>
      <c r="E19" s="33">
        <f>IFERROR(B19/C19,"")</f>
        <v/>
      </c>
      <c r="F19" s="30">
        <f>IF(AND(D19=D15,E15&lt;&gt;""),E19/E15-1,"")</f>
        <v/>
      </c>
      <c r="G19" s="30">
        <f>IF(C19="","",(COUNTIFS($D$2:$D$37,D19,$C$2:$C$37,"&gt;0",$C$2:$C$37,"&lt;"&amp;C19)+(COUNTIFS($D$2:$D$37,D19,$C$2:$C$37,C19)+1)/2)/COUNTIFS($D$2:$D$37,D19,$C$2:$C$37,"&gt;0"))</f>
        <v/>
      </c>
      <c r="H19">
        <f>IF(G19="","",IF(G19&lt;=20%,"Q1 Cheapest",IF(G19&lt;=40%,"Q2",IF(G19&lt;=60%,"Q3",IF(G19&lt;=80%,"Q4","Q5 Most Expensive")))))</f>
        <v/>
      </c>
      <c r="I19" s="30">
        <f>IFERROR(B23/B19-1,"")</f>
        <v/>
      </c>
      <c r="J19" s="30">
        <f>IFERROR((B31/B19)^(1/3)-1,"")</f>
        <v/>
      </c>
      <c r="K19" s="30" t="n"/>
      <c r="L19" s="30" t="n"/>
    </row>
    <row r="20">
      <c r="A20" s="31" t="n">
        <v>44742</v>
      </c>
      <c r="B20" s="24" t="n">
        <v>4451.97</v>
      </c>
      <c r="C20" s="25" t="n">
        <v>122.11</v>
      </c>
      <c r="D20" s="2" t="inlineStr">
        <is>
          <t>Consolidated</t>
        </is>
      </c>
      <c r="E20" s="33">
        <f>IFERROR(B20/C20,"")</f>
        <v/>
      </c>
      <c r="F20" s="30">
        <f>IF(AND(D20=D16,E16&lt;&gt;""),E20/E16-1,"")</f>
        <v/>
      </c>
      <c r="G20" s="30">
        <f>IF(C20="","",(COUNTIFS($D$2:$D$37,D20,$C$2:$C$37,"&gt;0",$C$2:$C$37,"&lt;"&amp;C20)+(COUNTIFS($D$2:$D$37,D20,$C$2:$C$37,C20)+1)/2)/COUNTIFS($D$2:$D$37,D20,$C$2:$C$37,"&gt;0"))</f>
        <v/>
      </c>
      <c r="H20">
        <f>IF(G20="","",IF(G20&lt;=20%,"Q1 Cheapest",IF(G20&lt;=40%,"Q2",IF(G20&lt;=60%,"Q3",IF(G20&lt;=80%,"Q4","Q5 Most Expensive")))))</f>
        <v/>
      </c>
      <c r="I20" s="30">
        <f>IFERROR(B24/B20-1,"")</f>
        <v/>
      </c>
      <c r="J20" s="30">
        <f>IFERROR((B32/B20)^(1/3)-1,"")</f>
        <v/>
      </c>
      <c r="K20" s="30" t="n"/>
      <c r="L20" s="30" t="n"/>
    </row>
    <row r="21">
      <c r="A21" s="31" t="n">
        <v>44834</v>
      </c>
      <c r="B21" s="24" t="n">
        <v>5593.53</v>
      </c>
      <c r="C21" s="25" t="n">
        <v>90.36</v>
      </c>
      <c r="D21" s="2" t="inlineStr">
        <is>
          <t>Consolidated</t>
        </is>
      </c>
      <c r="E21" s="33">
        <f>IFERROR(B21/C21,"")</f>
        <v/>
      </c>
      <c r="F21" s="30">
        <f>IF(AND(D21=D17,E17&lt;&gt;""),E21/E17-1,"")</f>
        <v/>
      </c>
      <c r="G21" s="30">
        <f>IF(C21="","",(COUNTIFS($D$2:$D$37,D21,$C$2:$C$37,"&gt;0",$C$2:$C$37,"&lt;"&amp;C21)+(COUNTIFS($D$2:$D$37,D21,$C$2:$C$37,C21)+1)/2)/COUNTIFS($D$2:$D$37,D21,$C$2:$C$37,"&gt;0"))</f>
        <v/>
      </c>
      <c r="H21">
        <f>IF(G21="","",IF(G21&lt;=20%,"Q1 Cheapest",IF(G21&lt;=40%,"Q2",IF(G21&lt;=60%,"Q3",IF(G21&lt;=80%,"Q4","Q5 Most Expensive")))))</f>
        <v/>
      </c>
      <c r="I21" s="30">
        <f>IFERROR(B25/B21-1,"")</f>
        <v/>
      </c>
      <c r="J21" s="30">
        <f>IFERROR((B33/B21)^(1/3)-1,"")</f>
        <v/>
      </c>
      <c r="K21" s="30" t="n"/>
      <c r="L21" s="30" t="n"/>
    </row>
    <row r="22">
      <c r="A22" s="31" t="n">
        <v>44926</v>
      </c>
      <c r="B22" s="24" t="n">
        <v>6529.07</v>
      </c>
      <c r="C22" s="25" t="n">
        <v>83.18000000000001</v>
      </c>
      <c r="D22" s="2" t="inlineStr">
        <is>
          <t>Consolidated</t>
        </is>
      </c>
      <c r="E22" s="33">
        <f>IFERROR(B22/C22,"")</f>
        <v/>
      </c>
      <c r="F22" s="30">
        <f>IF(AND(D22=D18,E18&lt;&gt;""),E22/E18-1,"")</f>
        <v/>
      </c>
      <c r="G22" s="30">
        <f>IF(C22="","",(COUNTIFS($D$2:$D$37,D22,$C$2:$C$37,"&gt;0",$C$2:$C$37,"&lt;"&amp;C22)+(COUNTIFS($D$2:$D$37,D22,$C$2:$C$37,C22)+1)/2)/COUNTIFS($D$2:$D$37,D22,$C$2:$C$37,"&gt;0"))</f>
        <v/>
      </c>
      <c r="H22">
        <f>IF(G22="","",IF(G22&lt;=20%,"Q1 Cheapest",IF(G22&lt;=40%,"Q2",IF(G22&lt;=60%,"Q3",IF(G22&lt;=80%,"Q4","Q5 Most Expensive")))))</f>
        <v/>
      </c>
      <c r="I22" s="30">
        <f>IFERROR(B26/B22-1,"")</f>
        <v/>
      </c>
      <c r="J22" s="30">
        <f>IFERROR((B34/B22)^(1/3)-1,"")</f>
        <v/>
      </c>
      <c r="K22" s="30" t="n"/>
      <c r="L22" s="30" t="n"/>
    </row>
    <row r="23">
      <c r="A23" s="31" t="n">
        <v>45016</v>
      </c>
      <c r="B23" s="24" t="n">
        <v>6164.19</v>
      </c>
      <c r="C23" s="25" t="n">
        <v>43.1</v>
      </c>
      <c r="D23" s="2" t="inlineStr">
        <is>
          <t>Consolidated</t>
        </is>
      </c>
      <c r="E23" s="33">
        <f>IFERROR(B23/C23,"")</f>
        <v/>
      </c>
      <c r="F23" s="30">
        <f>IF(AND(D23=D19,E19&lt;&gt;""),E23/E19-1,"")</f>
        <v/>
      </c>
      <c r="G23" s="30">
        <f>IF(C23="","",(COUNTIFS($D$2:$D$37,D23,$C$2:$C$37,"&gt;0",$C$2:$C$37,"&lt;"&amp;C23)+(COUNTIFS($D$2:$D$37,D23,$C$2:$C$37,C23)+1)/2)/COUNTIFS($D$2:$D$37,D23,$C$2:$C$37,"&gt;0"))</f>
        <v/>
      </c>
      <c r="H23">
        <f>IF(G23="","",IF(G23&lt;=20%,"Q1 Cheapest",IF(G23&lt;=40%,"Q2",IF(G23&lt;=60%,"Q3",IF(G23&lt;=80%,"Q4","Q5 Most Expensive")))))</f>
        <v/>
      </c>
      <c r="I23" s="30">
        <f>IFERROR(B27/B23-1,"")</f>
        <v/>
      </c>
      <c r="J23" s="30">
        <f>IFERROR((B35/B23)^(1/3)-1,"")</f>
        <v/>
      </c>
      <c r="K23" s="30" t="n"/>
      <c r="L23" s="30" t="n"/>
    </row>
    <row r="24">
      <c r="A24" s="31" t="n">
        <v>45107</v>
      </c>
      <c r="B24" s="24" t="n">
        <v>7570.15</v>
      </c>
      <c r="C24" s="25" t="n">
        <v>60.91</v>
      </c>
      <c r="D24" s="2" t="inlineStr">
        <is>
          <t>Consolidated</t>
        </is>
      </c>
      <c r="E24" s="33">
        <f>IFERROR(B24/C24,"")</f>
        <v/>
      </c>
      <c r="F24" s="30">
        <f>IF(AND(D24=D20,E20&lt;&gt;""),E24/E20-1,"")</f>
        <v/>
      </c>
      <c r="G24" s="30">
        <f>IF(C24="","",(COUNTIFS($D$2:$D$37,D24,$C$2:$C$37,"&gt;0",$C$2:$C$37,"&lt;"&amp;C24)+(COUNTIFS($D$2:$D$37,D24,$C$2:$C$37,C24)+1)/2)/COUNTIFS($D$2:$D$37,D24,$C$2:$C$37,"&gt;0"))</f>
        <v/>
      </c>
      <c r="H24">
        <f>IF(G24="","",IF(G24&lt;=20%,"Q1 Cheapest",IF(G24&lt;=40%,"Q2",IF(G24&lt;=60%,"Q3",IF(G24&lt;=80%,"Q4","Q5 Most Expensive")))))</f>
        <v/>
      </c>
      <c r="I24" s="30">
        <f>IFERROR(B28/B24-1,"")</f>
        <v/>
      </c>
      <c r="J24" s="30">
        <f>IFERROR((B36/B24)^(1/3)-1,"")</f>
        <v/>
      </c>
      <c r="K24" s="30" t="n"/>
      <c r="L24" s="30" t="n"/>
    </row>
    <row r="25">
      <c r="A25" s="31" t="n">
        <v>45199</v>
      </c>
      <c r="B25" s="24" t="n">
        <v>9251.200000000001</v>
      </c>
      <c r="C25" s="25" t="n">
        <v>51.94</v>
      </c>
      <c r="D25" s="2" t="inlineStr">
        <is>
          <t>Consolidated</t>
        </is>
      </c>
      <c r="E25" s="33">
        <f>IFERROR(B25/C25,"")</f>
        <v/>
      </c>
      <c r="F25" s="30">
        <f>IF(AND(D25=D21,E21&lt;&gt;""),E25/E21-1,"")</f>
        <v/>
      </c>
      <c r="G25" s="30">
        <f>IF(C25="","",(COUNTIFS($D$2:$D$37,D25,$C$2:$C$37,"&gt;0",$C$2:$C$37,"&lt;"&amp;C25)+(COUNTIFS($D$2:$D$37,D25,$C$2:$C$37,C25)+1)/2)/COUNTIFS($D$2:$D$37,D25,$C$2:$C$37,"&gt;0"))</f>
        <v/>
      </c>
      <c r="H25">
        <f>IF(G25="","",IF(G25&lt;=20%,"Q1 Cheapest",IF(G25&lt;=40%,"Q2",IF(G25&lt;=60%,"Q3",IF(G25&lt;=80%,"Q4","Q5 Most Expensive")))))</f>
        <v/>
      </c>
      <c r="I25" s="30">
        <f>IFERROR(B29/B25-1,"")</f>
        <v/>
      </c>
      <c r="J25" s="30">
        <f>IFERROR((B37/B25)^(1/3)-1,"")</f>
        <v/>
      </c>
      <c r="K25" s="30" t="n"/>
      <c r="L25" s="30" t="n"/>
    </row>
    <row r="26">
      <c r="A26" s="31" t="n">
        <v>45291</v>
      </c>
      <c r="B26" s="24" t="n">
        <v>10786.23</v>
      </c>
      <c r="C26" s="25" t="n">
        <v>55.91</v>
      </c>
      <c r="D26" s="2" t="inlineStr">
        <is>
          <t>Consolidated</t>
        </is>
      </c>
      <c r="E26" s="33">
        <f>IFERROR(B26/C26,"")</f>
        <v/>
      </c>
      <c r="F26" s="30">
        <f>IF(AND(D26=D22,E22&lt;&gt;""),E26/E22-1,"")</f>
        <v/>
      </c>
      <c r="G26" s="30">
        <f>IF(C26="","",(COUNTIFS($D$2:$D$37,D26,$C$2:$C$37,"&gt;0",$C$2:$C$37,"&lt;"&amp;C26)+(COUNTIFS($D$2:$D$37,D26,$C$2:$C$37,C26)+1)/2)/COUNTIFS($D$2:$D$37,D26,$C$2:$C$37,"&gt;0"))</f>
        <v/>
      </c>
      <c r="H26">
        <f>IF(G26="","",IF(G26&lt;=20%,"Q1 Cheapest",IF(G26&lt;=40%,"Q2",IF(G26&lt;=60%,"Q3",IF(G26&lt;=80%,"Q4","Q5 Most Expensive")))))</f>
        <v/>
      </c>
      <c r="I26" s="30">
        <f>IFERROR(B30/B26-1,"")</f>
        <v/>
      </c>
      <c r="J26" s="30" t="n"/>
      <c r="K26" s="30" t="n"/>
      <c r="L26" s="30" t="n"/>
    </row>
    <row r="27">
      <c r="A27" s="31" t="n">
        <v>45382</v>
      </c>
      <c r="B27" s="24" t="n">
        <v>11041.17</v>
      </c>
      <c r="C27" s="25" t="n">
        <v>70.48999999999999</v>
      </c>
      <c r="D27" s="2" t="inlineStr">
        <is>
          <t>Consolidated</t>
        </is>
      </c>
      <c r="E27" s="33">
        <f>IFERROR(B27/C27,"")</f>
        <v/>
      </c>
      <c r="F27" s="30">
        <f>IF(AND(D27=D23,E23&lt;&gt;""),E27/E23-1,"")</f>
        <v/>
      </c>
      <c r="G27" s="30">
        <f>IF(C27="","",(COUNTIFS($D$2:$D$37,D27,$C$2:$C$37,"&gt;0",$C$2:$C$37,"&lt;"&amp;C27)+(COUNTIFS($D$2:$D$37,D27,$C$2:$C$37,C27)+1)/2)/COUNTIFS($D$2:$D$37,D27,$C$2:$C$37,"&gt;0"))</f>
        <v/>
      </c>
      <c r="H27">
        <f>IF(G27="","",IF(G27&lt;=20%,"Q1 Cheapest",IF(G27&lt;=40%,"Q2",IF(G27&lt;=60%,"Q3",IF(G27&lt;=80%,"Q4","Q5 Most Expensive")))))</f>
        <v/>
      </c>
      <c r="I27" s="30">
        <f>IFERROR(B31/B27-1,"")</f>
        <v/>
      </c>
      <c r="J27" s="30" t="n"/>
      <c r="K27" s="30" t="n"/>
      <c r="L27" s="30" t="n"/>
    </row>
    <row r="28">
      <c r="A28" s="31" t="n">
        <v>45473</v>
      </c>
      <c r="B28" s="24" t="n">
        <v>14295.93</v>
      </c>
      <c r="C28" s="25" t="n">
        <v>95.38</v>
      </c>
      <c r="D28" s="2" t="inlineStr">
        <is>
          <t>Consolidated</t>
        </is>
      </c>
      <c r="E28" s="33">
        <f>IFERROR(B28/C28,"")</f>
        <v/>
      </c>
      <c r="F28" s="30">
        <f>IF(AND(D28=D24,E24&lt;&gt;""),E28/E24-1,"")</f>
        <v/>
      </c>
      <c r="G28" s="30">
        <f>IF(C28="","",(COUNTIFS($D$2:$D$37,D28,$C$2:$C$37,"&gt;0",$C$2:$C$37,"&lt;"&amp;C28)+(COUNTIFS($D$2:$D$37,D28,$C$2:$C$37,C28)+1)/2)/COUNTIFS($D$2:$D$37,D28,$C$2:$C$37,"&gt;0"))</f>
        <v/>
      </c>
      <c r="H28">
        <f>IF(G28="","",IF(G28&lt;=20%,"Q1 Cheapest",IF(G28&lt;=40%,"Q2",IF(G28&lt;=60%,"Q3",IF(G28&lt;=80%,"Q4","Q5 Most Expensive")))))</f>
        <v/>
      </c>
      <c r="I28" s="30">
        <f>IFERROR(B32/B28-1,"")</f>
        <v/>
      </c>
      <c r="J28" s="30" t="n"/>
      <c r="K28" s="30" t="n"/>
      <c r="L28" s="30" t="n"/>
    </row>
    <row r="29">
      <c r="A29" s="31" t="n">
        <v>45565</v>
      </c>
      <c r="B29" s="24" t="n">
        <v>16287.65</v>
      </c>
      <c r="C29" s="25" t="n">
        <v>119.52</v>
      </c>
      <c r="D29" s="2" t="inlineStr">
        <is>
          <t>Consolidated</t>
        </is>
      </c>
      <c r="E29" s="33">
        <f>IFERROR(B29/C29,"")</f>
        <v/>
      </c>
      <c r="F29" s="30">
        <f>IF(AND(D29=D25,E25&lt;&gt;""),E29/E25-1,"")</f>
        <v/>
      </c>
      <c r="G29" s="30">
        <f>IF(C29="","",(COUNTIFS($D$2:$D$37,D29,$C$2:$C$37,"&gt;0",$C$2:$C$37,"&lt;"&amp;C29)+(COUNTIFS($D$2:$D$37,D29,$C$2:$C$37,C29)+1)/2)/COUNTIFS($D$2:$D$37,D29,$C$2:$C$37,"&gt;0"))</f>
        <v/>
      </c>
      <c r="H29">
        <f>IF(G29="","",IF(G29&lt;=20%,"Q1 Cheapest",IF(G29&lt;=40%,"Q2",IF(G29&lt;=60%,"Q3",IF(G29&lt;=80%,"Q4","Q5 Most Expensive")))))</f>
        <v/>
      </c>
      <c r="I29" s="30">
        <f>IFERROR(B33/B29-1,"")</f>
        <v/>
      </c>
      <c r="J29" s="30" t="n"/>
      <c r="K29" s="30" t="n"/>
      <c r="L29" s="30" t="n"/>
    </row>
    <row r="30">
      <c r="A30" s="31" t="n">
        <v>45657</v>
      </c>
      <c r="B30" s="24" t="n">
        <v>16606.35</v>
      </c>
      <c r="C30" s="25" t="n">
        <v>148.76</v>
      </c>
      <c r="D30" s="2" t="inlineStr">
        <is>
          <t>Consolidated</t>
        </is>
      </c>
      <c r="E30" s="33">
        <f>IFERROR(B30/C30,"")</f>
        <v/>
      </c>
      <c r="F30" s="30">
        <f>IF(AND(D30=D26,E26&lt;&gt;""),E30/E26-1,"")</f>
        <v/>
      </c>
      <c r="G30" s="30">
        <f>IF(C30="","",(COUNTIFS($D$2:$D$37,D30,$C$2:$C$37,"&gt;0",$C$2:$C$37,"&lt;"&amp;C30)+(COUNTIFS($D$2:$D$37,D30,$C$2:$C$37,C30)+1)/2)/COUNTIFS($D$2:$D$37,D30,$C$2:$C$37,"&gt;0"))</f>
        <v/>
      </c>
      <c r="H30">
        <f>IF(G30="","",IF(G30&lt;=20%,"Q1 Cheapest",IF(G30&lt;=40%,"Q2",IF(G30&lt;=60%,"Q3",IF(G30&lt;=80%,"Q4","Q5 Most Expensive")))))</f>
        <v/>
      </c>
      <c r="I30" s="30">
        <f>IFERROR(B34/B30-1,"")</f>
        <v/>
      </c>
      <c r="J30" s="30" t="n"/>
      <c r="K30" s="30" t="n"/>
      <c r="L30" s="30" t="n"/>
    </row>
    <row r="31">
      <c r="A31" s="31" t="n">
        <v>45747</v>
      </c>
      <c r="B31" s="24" t="n">
        <v>12666.01</v>
      </c>
      <c r="C31" s="25" t="n">
        <v>33.41</v>
      </c>
      <c r="D31" s="2" t="inlineStr">
        <is>
          <t>Consolidated</t>
        </is>
      </c>
      <c r="E31" s="33">
        <f>IFERROR(B31/C31,"")</f>
        <v/>
      </c>
      <c r="F31" s="30">
        <f>IF(AND(D31=D27,E27&lt;&gt;""),E31/E27-1,"")</f>
        <v/>
      </c>
      <c r="G31" s="30">
        <f>IF(C31="","",(COUNTIFS($D$2:$D$37,D31,$C$2:$C$37,"&gt;0",$C$2:$C$37,"&lt;"&amp;C31)+(COUNTIFS($D$2:$D$37,D31,$C$2:$C$37,C31)+1)/2)/COUNTIFS($D$2:$D$37,D31,$C$2:$C$37,"&gt;0"))</f>
        <v/>
      </c>
      <c r="H31">
        <f>IF(G31="","",IF(G31&lt;=20%,"Q1 Cheapest",IF(G31&lt;=40%,"Q2",IF(G31&lt;=60%,"Q3",IF(G31&lt;=80%,"Q4","Q5 Most Expensive")))))</f>
        <v/>
      </c>
      <c r="I31" s="30">
        <f>IFERROR(B35/B31-1,"")</f>
        <v/>
      </c>
      <c r="J31" s="30" t="n"/>
      <c r="K31" s="30" t="n"/>
      <c r="L31" s="30" t="n"/>
    </row>
    <row r="32">
      <c r="A32" s="31" t="n">
        <v>45838</v>
      </c>
      <c r="B32" s="24" t="n">
        <v>14783.58</v>
      </c>
      <c r="C32" s="25" t="n">
        <v>33.22</v>
      </c>
      <c r="D32" s="2" t="inlineStr">
        <is>
          <t>Consolidated</t>
        </is>
      </c>
      <c r="E32" s="33">
        <f>IFERROR(B32/C32,"")</f>
        <v/>
      </c>
      <c r="F32" s="30">
        <f>IF(AND(D32=D28,E28&lt;&gt;""),E32/E28-1,"")</f>
        <v/>
      </c>
      <c r="G32" s="30">
        <f>IF(C32="","",(COUNTIFS($D$2:$D$37,D32,$C$2:$C$37,"&gt;0",$C$2:$C$37,"&lt;"&amp;C32)+(COUNTIFS($D$2:$D$37,D32,$C$2:$C$37,C32)+1)/2)/COUNTIFS($D$2:$D$37,D32,$C$2:$C$37,"&gt;0"))</f>
        <v/>
      </c>
      <c r="H32">
        <f>IF(G32="","",IF(G32&lt;=20%,"Q1 Cheapest",IF(G32&lt;=40%,"Q2",IF(G32&lt;=60%,"Q3",IF(G32&lt;=80%,"Q4","Q5 Most Expensive")))))</f>
        <v/>
      </c>
      <c r="I32" s="30">
        <f>IFERROR(B36/B32-1,"")</f>
        <v/>
      </c>
      <c r="J32" s="30" t="n"/>
      <c r="K32" s="30" t="n"/>
      <c r="L32" s="30" t="n"/>
    </row>
    <row r="33">
      <c r="A33" s="31" t="n">
        <v>45930</v>
      </c>
      <c r="B33" s="24" t="n">
        <v>15195.22</v>
      </c>
      <c r="C33" s="25" t="n">
        <v>27.24</v>
      </c>
      <c r="D33" s="2" t="inlineStr">
        <is>
          <t>Consolidated</t>
        </is>
      </c>
      <c r="E33" s="33">
        <f>IFERROR(B33/C33,"")</f>
        <v/>
      </c>
      <c r="F33" s="30">
        <f>IF(AND(D33=D29,E29&lt;&gt;""),E33/E29-1,"")</f>
        <v/>
      </c>
      <c r="G33" s="30">
        <f>IF(C33="","",(COUNTIFS($D$2:$D$37,D33,$C$2:$C$37,"&gt;0",$C$2:$C$37,"&lt;"&amp;C33)+(COUNTIFS($D$2:$D$37,D33,$C$2:$C$37,C33)+1)/2)/COUNTIFS($D$2:$D$37,D33,$C$2:$C$37,"&gt;0"))</f>
        <v/>
      </c>
      <c r="H33">
        <f>IF(G33="","",IF(G33&lt;=20%,"Q1 Cheapest",IF(G33&lt;=40%,"Q2",IF(G33&lt;=60%,"Q3",IF(G33&lt;=80%,"Q4","Q5 Most Expensive")))))</f>
        <v/>
      </c>
      <c r="I33" s="30">
        <f>IFERROR(B37/B33-1,"")</f>
        <v/>
      </c>
      <c r="J33" s="30" t="n"/>
      <c r="K33" s="30" t="n"/>
      <c r="L33" s="30" t="n"/>
    </row>
    <row r="34">
      <c r="A34" s="31" t="n">
        <v>46022</v>
      </c>
      <c r="B34" s="24" t="n">
        <v>14365</v>
      </c>
      <c r="C34" s="25" t="n">
        <v>27.8</v>
      </c>
      <c r="D34" s="2" t="inlineStr">
        <is>
          <t>Consolidated</t>
        </is>
      </c>
      <c r="E34" s="33">
        <f>IFERROR(B34/C34,"")</f>
        <v/>
      </c>
      <c r="F34" s="30">
        <f>IF(AND(D34=D30,E30&lt;&gt;""),E34/E30-1,"")</f>
        <v/>
      </c>
      <c r="G34" s="30">
        <f>IF(C34="","",(COUNTIFS($D$2:$D$37,D34,$C$2:$C$37,"&gt;0",$C$2:$C$37,"&lt;"&amp;C34)+(COUNTIFS($D$2:$D$37,D34,$C$2:$C$37,C34)+1)/2)/COUNTIFS($D$2:$D$37,D34,$C$2:$C$37,"&gt;0"))</f>
        <v/>
      </c>
      <c r="H34">
        <f>IF(G34="","",IF(G34&lt;=20%,"Q1 Cheapest",IF(G34&lt;=40%,"Q2",IF(G34&lt;=60%,"Q3",IF(G34&lt;=80%,"Q4","Q5 Most Expensive")))))</f>
        <v/>
      </c>
      <c r="I34" s="30" t="n"/>
      <c r="J34" s="30" t="n"/>
      <c r="K34" s="30" t="n"/>
      <c r="L34" s="30" t="n"/>
    </row>
    <row r="35">
      <c r="A35" s="31" t="n">
        <v>46112</v>
      </c>
      <c r="B35" s="24" t="n">
        <v>11025.8</v>
      </c>
      <c r="C35" s="25" t="n">
        <v>17.23</v>
      </c>
      <c r="D35" s="2" t="inlineStr">
        <is>
          <t>Consolidated</t>
        </is>
      </c>
      <c r="E35" s="33">
        <f>IFERROR(B35/C35,"")</f>
        <v/>
      </c>
      <c r="F35" s="30">
        <f>IF(AND(D35=D31,E31&lt;&gt;""),E35/E31-1,"")</f>
        <v/>
      </c>
      <c r="G35" s="30">
        <f>IF(C35="","",(COUNTIFS($D$2:$D$37,D35,$C$2:$C$37,"&gt;0",$C$2:$C$37,"&lt;"&amp;C35)+(COUNTIFS($D$2:$D$37,D35,$C$2:$C$37,C35)+1)/2)/COUNTIFS($D$2:$D$37,D35,$C$2:$C$37,"&gt;0"))</f>
        <v/>
      </c>
      <c r="H35">
        <f>IF(G35="","",IF(G35&lt;=20%,"Q1 Cheapest",IF(G35&lt;=40%,"Q2",IF(G35&lt;=60%,"Q3",IF(G35&lt;=80%,"Q4","Q5 Most Expensive")))))</f>
        <v/>
      </c>
      <c r="I35" s="30" t="n"/>
      <c r="J35" s="30" t="n"/>
      <c r="K35" s="30" t="n"/>
      <c r="L35" s="30" t="n"/>
    </row>
    <row r="36">
      <c r="A36" s="31" t="n">
        <v>46203</v>
      </c>
      <c r="B36" s="24" t="n">
        <v>14023.9</v>
      </c>
      <c r="C36" s="25" t="n">
        <v>22.85</v>
      </c>
      <c r="D36" s="2" t="inlineStr">
        <is>
          <t>Consolidated</t>
        </is>
      </c>
      <c r="E36" s="33">
        <f>IFERROR(B36/C36,"")</f>
        <v/>
      </c>
      <c r="F36" s="30">
        <f>IF(AND(D36=D32,E32&lt;&gt;""),E36/E32-1,"")</f>
        <v/>
      </c>
      <c r="G36" s="30">
        <f>IF(C36="","",(COUNTIFS($D$2:$D$37,D36,$C$2:$C$37,"&gt;0",$C$2:$C$37,"&lt;"&amp;C36)+(COUNTIFS($D$2:$D$37,D36,$C$2:$C$37,C36)+1)/2)/COUNTIFS($D$2:$D$37,D36,$C$2:$C$37,"&gt;0"))</f>
        <v/>
      </c>
      <c r="H36">
        <f>IF(G36="","",IF(G36&lt;=20%,"Q1 Cheapest",IF(G36&lt;=40%,"Q2",IF(G36&lt;=60%,"Q3",IF(G36&lt;=80%,"Q4","Q5 Most Expensive")))))</f>
        <v/>
      </c>
      <c r="I36" s="30" t="n"/>
      <c r="J36" s="30" t="n"/>
      <c r="K36" s="30" t="n"/>
      <c r="L36" s="30" t="n"/>
    </row>
    <row r="37">
      <c r="A37" s="31" t="n">
        <v>46295</v>
      </c>
      <c r="B37" s="24" t="n">
        <v>15215.05</v>
      </c>
      <c r="C37" s="25" t="n">
        <v>23.48</v>
      </c>
      <c r="D37" s="2" t="inlineStr">
        <is>
          <t>Consolidated</t>
        </is>
      </c>
      <c r="E37" s="33">
        <f>IFERROR(B37/C37,"")</f>
        <v/>
      </c>
      <c r="F37" s="30">
        <f>IF(AND(D37=D33,E33&lt;&gt;""),E37/E33-1,"")</f>
        <v/>
      </c>
      <c r="G37" s="30">
        <f>IF(C37="","",(COUNTIFS($D$2:$D$37,D37,$C$2:$C$37,"&gt;0",$C$2:$C$37,"&lt;"&amp;C37)+(COUNTIFS($D$2:$D$37,D37,$C$2:$C$37,C37)+1)/2)/COUNTIFS($D$2:$D$37,D37,$C$2:$C$37,"&gt;0"))</f>
        <v/>
      </c>
      <c r="H37">
        <f>IF(G37="","",IF(G37&lt;=20%,"Q1 Cheapest",IF(G37&lt;=40%,"Q2",IF(G37&lt;=60%,"Q3",IF(G37&lt;=80%,"Q4","Q5 Most Expensive")))))</f>
        <v/>
      </c>
      <c r="I37" s="30" t="n"/>
      <c r="J37" s="30" t="n"/>
      <c r="K37" s="30" t="n"/>
      <c r="L37" s="30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7" customWidth="1" min="4" max="4"/>
    <col width="16" customWidth="1" min="5" max="5"/>
    <col width="28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31" t="n">
        <v>46283</v>
      </c>
      <c r="B2" s="24" t="n">
        <v>14965.15</v>
      </c>
      <c r="C2" s="25" t="n">
        <v>22.82</v>
      </c>
      <c r="D2" s="26" t="n">
        <v>0.0859375</v>
      </c>
      <c r="E2" s="26" t="n">
        <v>0.134601009538</v>
      </c>
      <c r="F2" s="34">
        <f>IF(D2="","",100*(1-D2))</f>
        <v/>
      </c>
      <c r="G2" s="34">
        <f>IF(E2="","",IF(E2&lt;=0,20,IF(E2&lt;5%,20+400*E2,IF(E2&lt;10%,40+400*(E2-5%),IF(E2&lt;15%,60+400*(E2-10%),IF(E2&lt;25%,80+200*(E2-15%),100))))))</f>
        <v/>
      </c>
      <c r="H2" s="34">
        <f>IF(OR(F2="",G2=""),"",70%*F2+30%*G2)</f>
        <v/>
      </c>
      <c r="I2">
        <f>IF(H2="","",IF(H2&gt;=70,"BUY",IF(H2&gt;=40,"HOLD","SELL")))</f>
        <v/>
      </c>
    </row>
    <row r="3">
      <c r="A3" s="31" t="n">
        <v>46286</v>
      </c>
      <c r="B3" s="24" t="n">
        <v>14910.1</v>
      </c>
      <c r="C3" s="25" t="n">
        <v>22.73</v>
      </c>
      <c r="D3" s="26" t="n">
        <v>0.0859375</v>
      </c>
      <c r="E3" s="26" t="n">
        <v>0.134835015093</v>
      </c>
      <c r="F3" s="34">
        <f>IF(D3="","",100*(1-D3))</f>
        <v/>
      </c>
      <c r="G3" s="34">
        <f>IF(E3="","",IF(E3&lt;=0,20,IF(E3&lt;5%,20+400*E3,IF(E3&lt;10%,40+400*(E3-5%),IF(E3&lt;15%,60+400*(E3-10%),IF(E3&lt;25%,80+200*(E3-15%),100))))))</f>
        <v/>
      </c>
      <c r="H3" s="34">
        <f>IF(OR(F3="",G3=""),"",70%*F3+30%*G3)</f>
        <v/>
      </c>
      <c r="I3">
        <f>IF(H3="","",IF(H3&gt;=70,"BUY",IF(H3&gt;=40,"HOLD","SELL")))</f>
        <v/>
      </c>
    </row>
    <row r="4">
      <c r="A4" s="31" t="n">
        <v>46287</v>
      </c>
      <c r="B4" s="24" t="n">
        <v>15045.45</v>
      </c>
      <c r="C4" s="25" t="n">
        <v>22.94</v>
      </c>
      <c r="D4" s="26" t="n">
        <v>0.1328125</v>
      </c>
      <c r="E4" s="26" t="n">
        <v>0.134645527876</v>
      </c>
      <c r="F4" s="34">
        <f>IF(D4="","",100*(1-D4))</f>
        <v/>
      </c>
      <c r="G4" s="34">
        <f>IF(E4="","",IF(E4&lt;=0,20,IF(E4&lt;5%,20+400*E4,IF(E4&lt;10%,40+400*(E4-5%),IF(E4&lt;15%,60+400*(E4-10%),IF(E4&lt;25%,80+200*(E4-15%),100))))))</f>
        <v/>
      </c>
      <c r="H4" s="34">
        <f>IF(OR(F4="",G4=""),"",70%*F4+30%*G4)</f>
        <v/>
      </c>
      <c r="I4">
        <f>IF(H4="","",IF(H4&gt;=70,"BUY",IF(H4&gt;=40,"HOLD","SELL")))</f>
        <v/>
      </c>
    </row>
    <row r="5">
      <c r="A5" s="31" t="n">
        <v>46288</v>
      </c>
      <c r="B5" s="24" t="n">
        <v>15168.05</v>
      </c>
      <c r="C5" s="25" t="n">
        <v>23.12</v>
      </c>
      <c r="D5" s="26" t="n">
        <v>0.1328125</v>
      </c>
      <c r="E5" s="26" t="n">
        <v>0.133132404473</v>
      </c>
      <c r="F5" s="34">
        <f>IF(D5="","",100*(1-D5))</f>
        <v/>
      </c>
      <c r="G5" s="34">
        <f>IF(E5="","",IF(E5&lt;=0,20,IF(E5&lt;5%,20+400*E5,IF(E5&lt;10%,40+400*(E5-5%),IF(E5&lt;15%,60+400*(E5-10%),IF(E5&lt;25%,80+200*(E5-15%),100))))))</f>
        <v/>
      </c>
      <c r="H5" s="34">
        <f>IF(OR(F5="",G5=""),"",70%*F5+30%*G5)</f>
        <v/>
      </c>
      <c r="I5">
        <f>IF(H5="","",IF(H5&gt;=70,"BUY",IF(H5&gt;=40,"HOLD","SELL")))</f>
        <v/>
      </c>
    </row>
    <row r="6">
      <c r="A6" s="31" t="n">
        <v>46289</v>
      </c>
      <c r="B6" s="24" t="n">
        <v>15088.5</v>
      </c>
      <c r="C6" s="25" t="n">
        <v>23</v>
      </c>
      <c r="D6" s="26" t="n">
        <v>0.1328125</v>
      </c>
      <c r="E6" s="26" t="n">
        <v>0.133078662117</v>
      </c>
      <c r="F6" s="34">
        <f>IF(D6="","",100*(1-D6))</f>
        <v/>
      </c>
      <c r="G6" s="34">
        <f>IF(E6="","",IF(E6&lt;=0,20,IF(E6&lt;5%,20+400*E6,IF(E6&lt;10%,40+400*(E6-5%),IF(E6&lt;15%,60+400*(E6-10%),IF(E6&lt;25%,80+200*(E6-15%),100))))))</f>
        <v/>
      </c>
      <c r="H6" s="34">
        <f>IF(OR(F6="",G6=""),"",70%*F6+30%*G6)</f>
        <v/>
      </c>
      <c r="I6">
        <f>IF(H6="","",IF(H6&gt;=70,"BUY",IF(H6&gt;=40,"HOLD","SELL")))</f>
        <v/>
      </c>
    </row>
    <row r="7">
      <c r="A7" s="31" t="n">
        <v>46290</v>
      </c>
      <c r="B7" s="24" t="n">
        <v>15203.55</v>
      </c>
      <c r="C7" s="25" t="n">
        <v>23.1</v>
      </c>
      <c r="D7" s="26" t="n">
        <v>0.1328125</v>
      </c>
      <c r="E7" s="26" t="n">
        <v>0.136715156327</v>
      </c>
      <c r="F7" s="34">
        <f>IF(D7="","",100*(1-D7))</f>
        <v/>
      </c>
      <c r="G7" s="34">
        <f>IF(E7="","",IF(E7&lt;=0,20,IF(E7&lt;5%,20+400*E7,IF(E7&lt;10%,40+400*(E7-5%),IF(E7&lt;15%,60+400*(E7-10%),IF(E7&lt;25%,80+200*(E7-15%),100))))))</f>
        <v/>
      </c>
      <c r="H7" s="34">
        <f>IF(OR(F7="",G7=""),"",70%*F7+30%*G7)</f>
        <v/>
      </c>
      <c r="I7">
        <f>IF(H7="","",IF(H7&gt;=70,"BUY",IF(H7&gt;=40,"HOLD","SELL")))</f>
        <v/>
      </c>
    </row>
    <row r="8">
      <c r="A8" s="31" t="n">
        <v>46293</v>
      </c>
      <c r="B8" s="24" t="n">
        <v>15024.95</v>
      </c>
      <c r="C8" s="25" t="n">
        <v>22.83</v>
      </c>
      <c r="D8" s="26" t="n">
        <v>0.0859375</v>
      </c>
      <c r="E8" s="26" t="n">
        <v>0.136863603797</v>
      </c>
      <c r="F8" s="34">
        <f>IF(D8="","",100*(1-D8))</f>
        <v/>
      </c>
      <c r="G8" s="34">
        <f>IF(E8="","",IF(E8&lt;=0,20,IF(E8&lt;5%,20+400*E8,IF(E8&lt;10%,40+400*(E8-5%),IF(E8&lt;15%,60+400*(E8-10%),IF(E8&lt;25%,80+200*(E8-15%),100))))))</f>
        <v/>
      </c>
      <c r="H8" s="34">
        <f>IF(OR(F8="",G8=""),"",70%*F8+30%*G8)</f>
        <v/>
      </c>
      <c r="I8">
        <f>IF(H8="","",IF(H8&gt;=70,"BUY",IF(H8&gt;=40,"HOLD","SELL")))</f>
        <v/>
      </c>
    </row>
    <row r="9">
      <c r="A9" s="31" t="n">
        <v>46294</v>
      </c>
      <c r="B9" s="24" t="n">
        <v>15119.05</v>
      </c>
      <c r="C9" s="25" t="n">
        <v>22.97</v>
      </c>
      <c r="D9" s="26" t="n">
        <v>0.1328125</v>
      </c>
      <c r="E9" s="26" t="n">
        <v>0.136893007277</v>
      </c>
      <c r="F9" s="34">
        <f>IF(D9="","",100*(1-D9))</f>
        <v/>
      </c>
      <c r="G9" s="34">
        <f>IF(E9="","",IF(E9&lt;=0,20,IF(E9&lt;5%,20+400*E9,IF(E9&lt;10%,40+400*(E9-5%),IF(E9&lt;15%,60+400*(E9-10%),IF(E9&lt;25%,80+200*(E9-15%),100))))))</f>
        <v/>
      </c>
      <c r="H9" s="34">
        <f>IF(OR(F9="",G9=""),"",70%*F9+30%*G9)</f>
        <v/>
      </c>
      <c r="I9">
        <f>IF(H9="","",IF(H9&gt;=70,"BUY",IF(H9&gt;=40,"HOLD","SELL")))</f>
        <v/>
      </c>
    </row>
    <row r="10">
      <c r="A10" s="31" t="n">
        <v>46295</v>
      </c>
      <c r="B10" s="24" t="n">
        <v>15215.05</v>
      </c>
      <c r="C10" s="25" t="n">
        <v>23.48</v>
      </c>
      <c r="D10" s="26" t="n">
        <v>0.138461538462</v>
      </c>
      <c r="E10" s="26" t="n">
        <v>0.161650282218</v>
      </c>
      <c r="F10" s="34">
        <f>IF(D10="","",100*(1-D10))</f>
        <v/>
      </c>
      <c r="G10" s="34">
        <f>IF(E10="","",IF(E10&lt;=0,20,IF(E10&lt;5%,20+400*E10,IF(E10&lt;10%,40+400*(E10-5%),IF(E10&lt;15%,60+400*(E10-10%),IF(E10&lt;25%,80+200*(E10-15%),100))))))</f>
        <v/>
      </c>
      <c r="H10" s="34">
        <f>IF(OR(F10="",G10=""),"",70%*F10+30%*G10)</f>
        <v/>
      </c>
      <c r="I10">
        <f>IF(H10="","",IF(H10&gt;=70,"BUY",IF(H10&gt;=40,"HOLD","SELL")))</f>
        <v/>
      </c>
    </row>
    <row r="11">
      <c r="A11" s="31" t="n">
        <v>46296</v>
      </c>
      <c r="B11" s="24" t="n">
        <v>14993.35</v>
      </c>
      <c r="C11" s="25" t="n">
        <v>23.14</v>
      </c>
      <c r="D11" s="26" t="n">
        <v>0.130769230769</v>
      </c>
      <c r="E11" s="26" t="n">
        <v>0.16133190696</v>
      </c>
      <c r="F11" s="34">
        <f>IF(D11="","",100*(1-D11))</f>
        <v/>
      </c>
      <c r="G11" s="34">
        <f>IF(E11="","",IF(E11&lt;=0,20,IF(E11&lt;5%,20+400*E11,IF(E11&lt;10%,40+400*(E11-5%),IF(E11&lt;15%,60+400*(E11-10%),IF(E11&lt;25%,80+200*(E11-15%),100))))))</f>
        <v/>
      </c>
      <c r="H11" s="34">
        <f>IF(OR(F11="",G11=""),"",70%*F11+30%*G11)</f>
        <v/>
      </c>
      <c r="I11">
        <f>IF(H11="","",IF(H11&gt;=70,"BUY",IF(H11&gt;=40,"HOLD","SELL")))</f>
        <v/>
      </c>
    </row>
    <row r="12">
      <c r="A12" s="31" t="n">
        <v>46300</v>
      </c>
      <c r="B12" s="24" t="n">
        <v>15041.6</v>
      </c>
      <c r="C12" s="25" t="n">
        <v>23.21</v>
      </c>
      <c r="D12" s="26" t="n">
        <v>0.130769230769</v>
      </c>
      <c r="E12" s="26" t="n">
        <v>0.161566827877</v>
      </c>
      <c r="F12" s="34">
        <f>IF(D12="","",100*(1-D12))</f>
        <v/>
      </c>
      <c r="G12" s="34">
        <f>IF(E12="","",IF(E12&lt;=0,20,IF(E12&lt;5%,20+400*E12,IF(E12&lt;10%,40+400*(E12-5%),IF(E12&lt;15%,60+400*(E12-10%),IF(E12&lt;25%,80+200*(E12-15%),100))))))</f>
        <v/>
      </c>
      <c r="H12" s="34">
        <f>IF(OR(F12="",G12=""),"",70%*F12+30%*G12)</f>
        <v/>
      </c>
      <c r="I12">
        <f>IF(H12="","",IF(H12&gt;=70,"BUY",IF(H12&gt;=40,"HOLD","SELL")))</f>
        <v/>
      </c>
    </row>
    <row r="13">
      <c r="A13" s="31" t="n">
        <v>46301</v>
      </c>
      <c r="B13" s="24" t="n">
        <v>15196.75</v>
      </c>
      <c r="C13" s="25" t="n">
        <v>23.33</v>
      </c>
      <c r="D13" s="26" t="n">
        <v>0.130769230769</v>
      </c>
      <c r="E13" s="26" t="n">
        <v>0.167638837336</v>
      </c>
      <c r="F13" s="34">
        <f>IF(D13="","",100*(1-D13))</f>
        <v/>
      </c>
      <c r="G13" s="34">
        <f>IF(E13="","",IF(E13&lt;=0,20,IF(E13&lt;5%,20+400*E13,IF(E13&lt;10%,40+400*(E13-5%),IF(E13&lt;15%,60+400*(E13-10%),IF(E13&lt;25%,80+200*(E13-15%),100))))))</f>
        <v/>
      </c>
      <c r="H13" s="34">
        <f>IF(OR(F13="",G13=""),"",70%*F13+30%*G13)</f>
        <v/>
      </c>
      <c r="I13">
        <f>IF(H13="","",IF(H13&gt;=70,"BUY",IF(H13&gt;=40,"HOLD","SELL")))</f>
        <v/>
      </c>
    </row>
    <row r="14">
      <c r="A14" s="31" t="n">
        <v>46302</v>
      </c>
      <c r="B14" s="24" t="n">
        <v>15240.55</v>
      </c>
      <c r="C14" s="25" t="n">
        <v>23.38</v>
      </c>
      <c r="D14" s="26" t="n">
        <v>0.130769230769</v>
      </c>
      <c r="E14" s="26" t="n">
        <v>0.168376086189</v>
      </c>
      <c r="F14" s="34">
        <f>IF(D14="","",100*(1-D14))</f>
        <v/>
      </c>
      <c r="G14" s="34">
        <f>IF(E14="","",IF(E14&lt;=0,20,IF(E14&lt;5%,20+400*E14,IF(E14&lt;10%,40+400*(E14-5%),IF(E14&lt;15%,60+400*(E14-10%),IF(E14&lt;25%,80+200*(E14-15%),100))))))</f>
        <v/>
      </c>
      <c r="H14" s="34">
        <f>IF(OR(F14="",G14=""),"",70%*F14+30%*G14)</f>
        <v/>
      </c>
      <c r="I14">
        <f>IF(H14="","",IF(H14&gt;=70,"BUY",IF(H14&gt;=40,"HOLD","SELL")))</f>
        <v/>
      </c>
    </row>
    <row r="15">
      <c r="A15" s="31" t="n">
        <v>46303</v>
      </c>
      <c r="B15" s="24" t="n">
        <v>15016.6</v>
      </c>
      <c r="C15" s="25" t="n">
        <v>23.01</v>
      </c>
      <c r="D15" s="26" t="n">
        <v>0.130769230769</v>
      </c>
      <c r="E15" s="26" t="n">
        <v>0.162730377725</v>
      </c>
      <c r="F15" s="34">
        <f>IF(D15="","",100*(1-D15))</f>
        <v/>
      </c>
      <c r="G15" s="34">
        <f>IF(E15="","",IF(E15&lt;=0,20,IF(E15&lt;5%,20+400*E15,IF(E15&lt;10%,40+400*(E15-5%),IF(E15&lt;15%,60+400*(E15-10%),IF(E15&lt;25%,80+200*(E15-15%),100))))))</f>
        <v/>
      </c>
      <c r="H15" s="34">
        <f>IF(OR(F15="",G15=""),"",70%*F15+30%*G15)</f>
        <v/>
      </c>
      <c r="I15">
        <f>IF(H15="","",IF(H15&gt;=70,"BUY",IF(H15&gt;=40,"HOLD","SELL")))</f>
        <v/>
      </c>
    </row>
    <row r="16">
      <c r="A16" s="31" t="n">
        <v>46304</v>
      </c>
      <c r="B16" s="24" t="n">
        <v>15027.45</v>
      </c>
      <c r="C16" s="25" t="n">
        <v>23.02</v>
      </c>
      <c r="D16" s="26" t="n">
        <v>0.130769230769</v>
      </c>
      <c r="E16" s="26" t="n">
        <v>0.162817304257</v>
      </c>
      <c r="F16" s="34">
        <f>IF(D16="","",100*(1-D16))</f>
        <v/>
      </c>
      <c r="G16" s="34">
        <f>IF(E16="","",IF(E16&lt;=0,20,IF(E16&lt;5%,20+400*E16,IF(E16&lt;10%,40+400*(E16-5%),IF(E16&lt;15%,60+400*(E16-10%),IF(E16&lt;25%,80+200*(E16-15%),100))))))</f>
        <v/>
      </c>
      <c r="H16" s="34">
        <f>IF(OR(F16="",G16=""),"",70%*F16+30%*G16)</f>
        <v/>
      </c>
      <c r="I16">
        <f>IF(H16="","",IF(H16&gt;=70,"BUY",IF(H16&gt;=40,"HOLD","SELL")))</f>
        <v/>
      </c>
    </row>
    <row r="17">
      <c r="A17" s="31" t="n">
        <v>46307</v>
      </c>
      <c r="B17" s="24" t="n">
        <v>15027</v>
      </c>
      <c r="C17" s="25" t="n">
        <v>23.02</v>
      </c>
      <c r="D17" s="26" t="n">
        <v>0.130769230769</v>
      </c>
      <c r="E17" s="26" t="n">
        <v>0.163363839896</v>
      </c>
      <c r="F17" s="34">
        <f>IF(D17="","",100*(1-D17))</f>
        <v/>
      </c>
      <c r="G17" s="34">
        <f>IF(E17="","",IF(E17&lt;=0,20,IF(E17&lt;5%,20+400*E17,IF(E17&lt;10%,40+400*(E17-5%),IF(E17&lt;15%,60+400*(E17-10%),IF(E17&lt;25%,80+200*(E17-15%),100))))))</f>
        <v/>
      </c>
      <c r="H17" s="34">
        <f>IF(OR(F17="",G17=""),"",70%*F17+30%*G17)</f>
        <v/>
      </c>
      <c r="I17">
        <f>IF(H17="","",IF(H17&gt;=70,"BUY",IF(H17&gt;=40,"HOLD","SELL")))</f>
        <v/>
      </c>
    </row>
    <row r="18">
      <c r="A18" s="31" t="n">
        <v>46308</v>
      </c>
      <c r="B18" s="24" t="n">
        <v>15048.2</v>
      </c>
      <c r="C18" s="25" t="n">
        <v>23.06</v>
      </c>
      <c r="D18" s="26" t="n">
        <v>0.130769230769</v>
      </c>
      <c r="E18" s="26" t="n">
        <v>0.163194246094</v>
      </c>
      <c r="F18" s="34">
        <f>IF(D18="","",100*(1-D18))</f>
        <v/>
      </c>
      <c r="G18" s="34">
        <f>IF(E18="","",IF(E18&lt;=0,20,IF(E18&lt;5%,20+400*E18,IF(E18&lt;10%,40+400*(E18-5%),IF(E18&lt;15%,60+400*(E18-10%),IF(E18&lt;25%,80+200*(E18-15%),100))))))</f>
        <v/>
      </c>
      <c r="H18" s="34">
        <f>IF(OR(F18="",G18=""),"",70%*F18+30%*G18)</f>
        <v/>
      </c>
      <c r="I18">
        <f>IF(H18="","",IF(H18&gt;=70,"BUY",IF(H18&gt;=40,"HOLD","SELL")))</f>
        <v/>
      </c>
    </row>
    <row r="19">
      <c r="A19" s="31" t="n">
        <v>46309</v>
      </c>
      <c r="B19" s="24" t="n">
        <v>15172.25</v>
      </c>
      <c r="C19" s="25" t="n">
        <v>23.25</v>
      </c>
      <c r="D19" s="26" t="n">
        <v>0.130769230769</v>
      </c>
      <c r="E19" s="26" t="n">
        <v>0.162832719618</v>
      </c>
      <c r="F19" s="34">
        <f>IF(D19="","",100*(1-D19))</f>
        <v/>
      </c>
      <c r="G19" s="34">
        <f>IF(E19="","",IF(E19&lt;=0,20,IF(E19&lt;5%,20+400*E19,IF(E19&lt;10%,40+400*(E19-5%),IF(E19&lt;15%,60+400*(E19-10%),IF(E19&lt;25%,80+200*(E19-15%),100))))))</f>
        <v/>
      </c>
      <c r="H19" s="34">
        <f>IF(OR(F19="",G19=""),"",70%*F19+30%*G19)</f>
        <v/>
      </c>
      <c r="I19">
        <f>IF(H19="","",IF(H19&gt;=70,"BUY",IF(H19&gt;=40,"HOLD","SELL")))</f>
        <v/>
      </c>
    </row>
    <row r="20">
      <c r="A20" s="31" t="n">
        <v>46310</v>
      </c>
      <c r="B20" s="24" t="n">
        <v>15145.1</v>
      </c>
      <c r="C20" s="25" t="n">
        <v>23.2</v>
      </c>
      <c r="D20" s="26" t="n">
        <v>0.130769230769</v>
      </c>
      <c r="E20" s="26" t="n">
        <v>0.163515970068</v>
      </c>
      <c r="F20" s="34">
        <f>IF(D20="","",100*(1-D20))</f>
        <v/>
      </c>
      <c r="G20" s="34">
        <f>IF(E20="","",IF(E20&lt;=0,20,IF(E20&lt;5%,20+400*E20,IF(E20&lt;10%,40+400*(E20-5%),IF(E20&lt;15%,60+400*(E20-10%),IF(E20&lt;25%,80+200*(E20-15%),100))))))</f>
        <v/>
      </c>
      <c r="H20" s="34">
        <f>IF(OR(F20="",G20=""),"",70%*F20+30%*G20)</f>
        <v/>
      </c>
      <c r="I20">
        <f>IF(H20="","",IF(H20&gt;=70,"BUY",IF(H20&gt;=40,"HOLD","SELL")))</f>
        <v/>
      </c>
    </row>
    <row r="21">
      <c r="A21" s="31" t="n">
        <v>46311</v>
      </c>
      <c r="B21" s="24" t="n">
        <v>15130</v>
      </c>
      <c r="C21" s="25" t="n">
        <v>23.18</v>
      </c>
      <c r="D21" s="26" t="n">
        <v>0.130769230769</v>
      </c>
      <c r="E21" s="26" t="n">
        <v>0.163479287917</v>
      </c>
      <c r="F21" s="34">
        <f>IF(D21="","",100*(1-D21))</f>
        <v/>
      </c>
      <c r="G21" s="34">
        <f>IF(E21="","",IF(E21&lt;=0,20,IF(E21&lt;5%,20+400*E21,IF(E21&lt;10%,40+400*(E21-5%),IF(E21&lt;15%,60+400*(E21-10%),IF(E21&lt;25%,80+200*(E21-15%),100))))))</f>
        <v/>
      </c>
      <c r="H21" s="34">
        <f>IF(OR(F21="",G21=""),"",70%*F21+30%*G21)</f>
        <v/>
      </c>
      <c r="I21">
        <f>IF(H21="","",IF(H21&gt;=70,"BUY",IF(H21&gt;=40,"HOLD","SELL")))</f>
        <v/>
      </c>
    </row>
    <row r="22">
      <c r="A22" s="31" t="n">
        <v>46314</v>
      </c>
      <c r="B22" s="24" t="n">
        <v>14870.8</v>
      </c>
      <c r="C22" s="25" t="n">
        <v>22.78</v>
      </c>
      <c r="D22" s="26" t="n">
        <v>0.0846153846154</v>
      </c>
      <c r="E22" s="26" t="n">
        <v>0.163317419741</v>
      </c>
      <c r="F22" s="34">
        <f>IF(D22="","",100*(1-D22))</f>
        <v/>
      </c>
      <c r="G22" s="34">
        <f>IF(E22="","",IF(E22&lt;=0,20,IF(E22&lt;5%,20+400*E22,IF(E22&lt;10%,40+400*(E22-5%),IF(E22&lt;15%,60+400*(E22-10%),IF(E22&lt;25%,80+200*(E22-15%),100))))))</f>
        <v/>
      </c>
      <c r="H22" s="34">
        <f>IF(OR(F22="",G22=""),"",70%*F22+30%*G22)</f>
        <v/>
      </c>
      <c r="I22">
        <f>IF(H22="","",IF(H22&gt;=70,"BUY",IF(H22&gt;=40,"HOLD","SELL")))</f>
        <v/>
      </c>
    </row>
    <row r="23">
      <c r="A23" s="31" t="n">
        <v>46316</v>
      </c>
      <c r="B23" s="24" t="n">
        <v>14448</v>
      </c>
      <c r="C23" s="25" t="n">
        <v>22.14</v>
      </c>
      <c r="D23" s="26" t="n">
        <v>0.0692307692308</v>
      </c>
      <c r="E23" s="26" t="n">
        <v>0.16299547748</v>
      </c>
      <c r="F23" s="34">
        <f>IF(D23="","",100*(1-D23))</f>
        <v/>
      </c>
      <c r="G23" s="34">
        <f>IF(E23="","",IF(E23&lt;=0,20,IF(E23&lt;5%,20+400*E23,IF(E23&lt;10%,40+400*(E23-5%),IF(E23&lt;15%,60+400*(E23-10%),IF(E23&lt;25%,80+200*(E23-15%),100))))))</f>
        <v/>
      </c>
      <c r="H23" s="34">
        <f>IF(OR(F23="",G23=""),"",70%*F23+30%*G23)</f>
        <v/>
      </c>
      <c r="I23">
        <f>IF(H23="","",IF(H23&gt;=70,"BUY",IF(H23&gt;=40,"HOLD","SELL")))</f>
        <v/>
      </c>
    </row>
    <row r="24">
      <c r="A24" s="31" t="n">
        <v>46317</v>
      </c>
      <c r="B24" s="24" t="n">
        <v>14329.5</v>
      </c>
      <c r="C24" s="25" t="n">
        <v>21.95</v>
      </c>
      <c r="D24" s="26" t="n">
        <v>0.0692307692308</v>
      </c>
      <c r="E24" s="26" t="n">
        <v>0.163441153499</v>
      </c>
      <c r="F24" s="34">
        <f>IF(D24="","",100*(1-D24))</f>
        <v/>
      </c>
      <c r="G24" s="34">
        <f>IF(E24="","",IF(E24&lt;=0,20,IF(E24&lt;5%,20+400*E24,IF(E24&lt;10%,40+400*(E24-5%),IF(E24&lt;15%,60+400*(E24-10%),IF(E24&lt;25%,80+200*(E24-15%),100))))))</f>
        <v/>
      </c>
      <c r="H24" s="34">
        <f>IF(OR(F24="",G24=""),"",70%*F24+30%*G24)</f>
        <v/>
      </c>
      <c r="I24">
        <f>IF(H24="","",IF(H24&gt;=70,"BUY",IF(H24&gt;=40,"HOLD","SELL")))</f>
        <v/>
      </c>
    </row>
    <row r="25">
      <c r="A25" s="31" t="n">
        <v>46318</v>
      </c>
      <c r="B25" s="24" t="n">
        <v>13972.8</v>
      </c>
      <c r="C25" s="25" t="n">
        <v>21.41</v>
      </c>
      <c r="D25" s="26" t="n">
        <v>0.0384615384615</v>
      </c>
      <c r="E25" s="26" t="n">
        <v>0.162972474137</v>
      </c>
      <c r="F25" s="34">
        <f>IF(D25="","",100*(1-D25))</f>
        <v/>
      </c>
      <c r="G25" s="34">
        <f>IF(E25="","",IF(E25&lt;=0,20,IF(E25&lt;5%,20+400*E25,IF(E25&lt;10%,40+400*(E25-5%),IF(E25&lt;15%,60+400*(E25-10%),IF(E25&lt;25%,80+200*(E25-15%),100))))))</f>
        <v/>
      </c>
      <c r="H25" s="34">
        <f>IF(OR(F25="",G25=""),"",70%*F25+30%*G25)</f>
        <v/>
      </c>
      <c r="I25">
        <f>IF(H25="","",IF(H25&gt;=70,"BUY",IF(H25&gt;=40,"HOLD","SELL")))</f>
        <v/>
      </c>
    </row>
    <row r="26">
      <c r="A26" s="31" t="n">
        <v>46321</v>
      </c>
      <c r="B26" s="24" t="n">
        <v>14089.55</v>
      </c>
      <c r="C26" s="25" t="n">
        <v>21.59</v>
      </c>
      <c r="D26" s="26" t="n">
        <v>0.0538461538462</v>
      </c>
      <c r="E26" s="26" t="n">
        <v>0.163206740111</v>
      </c>
      <c r="F26" s="34">
        <f>IF(D26="","",100*(1-D26))</f>
        <v/>
      </c>
      <c r="G26" s="34">
        <f>IF(E26="","",IF(E26&lt;=0,20,IF(E26&lt;5%,20+400*E26,IF(E26&lt;10%,40+400*(E26-5%),IF(E26&lt;15%,60+400*(E26-10%),IF(E26&lt;25%,80+200*(E26-15%),100))))))</f>
        <v/>
      </c>
      <c r="H26" s="34">
        <f>IF(OR(F26="",G26=""),"",70%*F26+30%*G26)</f>
        <v/>
      </c>
      <c r="I26">
        <f>IF(H26="","",IF(H26&gt;=70,"BUY",IF(H26&gt;=40,"HOLD","SELL")))</f>
        <v/>
      </c>
    </row>
    <row r="27">
      <c r="A27" s="31" t="n">
        <v>46322</v>
      </c>
      <c r="B27" s="24" t="n">
        <v>14293.5</v>
      </c>
      <c r="C27" s="25" t="n">
        <v>21.92</v>
      </c>
      <c r="D27" s="26" t="n">
        <v>0.0692307692308</v>
      </c>
      <c r="E27" s="26" t="n">
        <v>0.162002368384</v>
      </c>
      <c r="F27" s="34">
        <f>IF(D27="","",100*(1-D27))</f>
        <v/>
      </c>
      <c r="G27" s="34">
        <f>IF(E27="","",IF(E27&lt;=0,20,IF(E27&lt;5%,20+400*E27,IF(E27&lt;10%,40+400*(E27-5%),IF(E27&lt;15%,60+400*(E27-10%),IF(E27&lt;25%,80+200*(E27-15%),100))))))</f>
        <v/>
      </c>
      <c r="H27" s="34">
        <f>IF(OR(F27="",G27=""),"",70%*F27+30%*G27)</f>
        <v/>
      </c>
      <c r="I27">
        <f>IF(H27="","",IF(H27&gt;=70,"BUY",IF(H27&gt;=40,"HOLD","SELL")))</f>
        <v/>
      </c>
    </row>
    <row r="28">
      <c r="A28" s="31" t="n">
        <v>46323</v>
      </c>
      <c r="B28" s="24" t="n">
        <v>14251</v>
      </c>
      <c r="C28" s="25" t="n">
        <v>21.87</v>
      </c>
      <c r="D28" s="26" t="n">
        <v>0.0692307692308</v>
      </c>
      <c r="E28" s="26" t="n">
        <v>0.161269714091</v>
      </c>
      <c r="F28" s="34">
        <f>IF(D28="","",100*(1-D28))</f>
        <v/>
      </c>
      <c r="G28" s="34">
        <f>IF(E28="","",IF(E28&lt;=0,20,IF(E28&lt;5%,20+400*E28,IF(E28&lt;10%,40+400*(E28-5%),IF(E28&lt;15%,60+400*(E28-10%),IF(E28&lt;25%,80+200*(E28-15%),100))))))</f>
        <v/>
      </c>
      <c r="H28" s="34">
        <f>IF(OR(F28="",G28=""),"",70%*F28+30%*G28)</f>
        <v/>
      </c>
      <c r="I28">
        <f>IF(H28="","",IF(H28&gt;=70,"BUY",IF(H28&gt;=40,"HOLD","SELL")))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4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12" customWidth="1" min="3" max="3"/>
    <col width="35" customWidth="1" min="4" max="4"/>
    <col width="15" customWidth="1" min="5" max="5"/>
  </cols>
  <sheetData>
    <row r="1">
      <c r="A1" s="35" t="inlineStr">
        <is>
          <t>NIFTY Sme Emerge Composition</t>
        </is>
      </c>
    </row>
    <row r="2">
      <c r="A2" s="2" t="inlineStr">
        <is>
          <t>As of</t>
        </is>
      </c>
      <c r="B2" s="4" t="inlineStr">
        <is>
          <t>Retrieved 2026-10-28</t>
        </is>
      </c>
      <c r="D2" s="2" t="inlineStr">
        <is>
          <t>Weight coverage</t>
        </is>
      </c>
      <c r="E2" s="4" t="inlineStr">
        <is>
          <t>Not published</t>
        </is>
      </c>
    </row>
    <row r="3">
      <c r="A3" s="2" t="inlineStr">
        <is>
          <t>Source</t>
        </is>
      </c>
      <c r="B3" s="17" t="inlineStr">
        <is>
          <t>NSE Indices — Index Constituent CSV</t>
        </is>
      </c>
      <c r="D3" s="2" t="inlineStr">
        <is>
          <t>Top 10 weight</t>
        </is>
      </c>
      <c r="E3" s="4" t="inlineStr">
        <is>
          <t>Not published</t>
        </is>
      </c>
    </row>
    <row r="4"/>
    <row r="5">
      <c r="A5" s="36" t="inlineStr">
        <is>
          <t>Rank</t>
        </is>
      </c>
      <c r="B5" s="36" t="inlineStr">
        <is>
          <t>Company</t>
        </is>
      </c>
      <c r="C5" s="36" t="inlineStr">
        <is>
          <t>Symbol</t>
        </is>
      </c>
      <c r="D5" s="36" t="inlineStr">
        <is>
          <t>Sector / Industry</t>
        </is>
      </c>
      <c r="E5" s="36" t="inlineStr">
        <is>
          <t>Weight</t>
        </is>
      </c>
    </row>
    <row r="6">
      <c r="A6" t="n">
        <v>1</v>
      </c>
      <c r="B6" t="inlineStr">
        <is>
          <t>A G Universal Ltd.</t>
        </is>
      </c>
      <c r="C6" t="inlineStr">
        <is>
          <t>AGUL</t>
        </is>
      </c>
      <c r="D6" t="inlineStr">
        <is>
          <t>Capital Goods</t>
        </is>
      </c>
    </row>
    <row r="7">
      <c r="A7" t="n">
        <v>2</v>
      </c>
      <c r="B7" t="inlineStr">
        <is>
          <t>Aakaar Medical Technologies Ltd.</t>
        </is>
      </c>
      <c r="C7" t="inlineStr">
        <is>
          <t>AAKAAR</t>
        </is>
      </c>
      <c r="D7" t="inlineStr">
        <is>
          <t>Fast Moving Consumer Goods</t>
        </is>
      </c>
    </row>
    <row r="8">
      <c r="A8" t="n">
        <v>3</v>
      </c>
      <c r="B8" t="inlineStr">
        <is>
          <t>Aaradhya Disposal Industries Ltd.</t>
        </is>
      </c>
      <c r="C8" t="inlineStr">
        <is>
          <t>AARADHYA</t>
        </is>
      </c>
      <c r="D8" t="inlineStr">
        <is>
          <t>Forest Materials</t>
        </is>
      </c>
    </row>
    <row r="9">
      <c r="A9" t="n">
        <v>4</v>
      </c>
      <c r="B9" t="inlineStr">
        <is>
          <t>Aatmaj Healthcare Ltd.</t>
        </is>
      </c>
      <c r="C9" t="inlineStr">
        <is>
          <t>AATMAJ</t>
        </is>
      </c>
      <c r="D9" t="inlineStr">
        <is>
          <t>Healthcare</t>
        </is>
      </c>
    </row>
    <row r="10">
      <c r="A10" t="n">
        <v>5</v>
      </c>
      <c r="B10" t="inlineStr">
        <is>
          <t>Abha Power and Steel Ltd.</t>
        </is>
      </c>
      <c r="C10" t="inlineStr">
        <is>
          <t>ABHAPOWER</t>
        </is>
      </c>
      <c r="D10" t="inlineStr">
        <is>
          <t>Capital Goods</t>
        </is>
      </c>
    </row>
    <row r="11">
      <c r="A11" t="n">
        <v>6</v>
      </c>
      <c r="B11" t="inlineStr">
        <is>
          <t>Abhishek Integrations Ltd.</t>
        </is>
      </c>
      <c r="C11" t="inlineStr">
        <is>
          <t>AILIMITED</t>
        </is>
      </c>
      <c r="D11" t="inlineStr">
        <is>
          <t>Construction</t>
        </is>
      </c>
    </row>
    <row r="12">
      <c r="A12" t="n">
        <v>7</v>
      </c>
      <c r="B12" t="inlineStr">
        <is>
          <t>ABS Marine Services Ltd.</t>
        </is>
      </c>
      <c r="C12" t="inlineStr">
        <is>
          <t>ABSMARINE</t>
        </is>
      </c>
      <c r="D12" t="inlineStr">
        <is>
          <t>Services</t>
        </is>
      </c>
    </row>
    <row r="13">
      <c r="A13" t="n">
        <v>8</v>
      </c>
      <c r="B13" t="inlineStr">
        <is>
          <t>Accent Microcell Ltd.</t>
        </is>
      </c>
      <c r="C13" t="inlineStr">
        <is>
          <t>ACCENTMIC</t>
        </is>
      </c>
      <c r="D13" t="inlineStr">
        <is>
          <t>Chemicals</t>
        </is>
      </c>
    </row>
    <row r="14">
      <c r="A14" t="n">
        <v>9</v>
      </c>
      <c r="B14" t="inlineStr">
        <is>
          <t>Accord Synergy Ltd.</t>
        </is>
      </c>
      <c r="C14" t="inlineStr">
        <is>
          <t>ACCORD</t>
        </is>
      </c>
      <c r="D14" t="inlineStr">
        <is>
          <t>Telecommunication</t>
        </is>
      </c>
    </row>
    <row r="15">
      <c r="A15" t="n">
        <v>10</v>
      </c>
      <c r="B15" t="inlineStr">
        <is>
          <t>Accretion Pharmaceuticals Ltd.</t>
        </is>
      </c>
      <c r="C15" t="inlineStr">
        <is>
          <t>ACCPL</t>
        </is>
      </c>
      <c r="D15" t="inlineStr">
        <is>
          <t>Healthcare</t>
        </is>
      </c>
    </row>
    <row r="16">
      <c r="A16" t="n">
        <v>11</v>
      </c>
      <c r="B16" t="inlineStr">
        <is>
          <t>Acetech E-Commerce Ltd.</t>
        </is>
      </c>
      <c r="C16" t="inlineStr">
        <is>
          <t>ACETEC</t>
        </is>
      </c>
      <c r="D16" t="inlineStr">
        <is>
          <t>Consumer Services</t>
        </is>
      </c>
    </row>
    <row r="17">
      <c r="A17" t="n">
        <v>12</v>
      </c>
      <c r="B17" t="inlineStr">
        <is>
          <t>Active Infrastructures Ltd.</t>
        </is>
      </c>
      <c r="C17" t="inlineStr">
        <is>
          <t>ACTIVEINFR</t>
        </is>
      </c>
      <c r="D17" t="inlineStr">
        <is>
          <t>Realty</t>
        </is>
      </c>
    </row>
    <row r="18">
      <c r="A18" t="n">
        <v>13</v>
      </c>
      <c r="B18" t="inlineStr">
        <is>
          <t>Addictive Learning Technology Ltd.</t>
        </is>
      </c>
      <c r="C18" t="inlineStr">
        <is>
          <t>ADDICTIVE</t>
        </is>
      </c>
      <c r="D18" t="inlineStr">
        <is>
          <t>Consumer Services</t>
        </is>
      </c>
    </row>
    <row r="19">
      <c r="A19" t="n">
        <v>14</v>
      </c>
      <c r="B19" t="inlineStr">
        <is>
          <t>Adisoft Technologies Ltd.</t>
        </is>
      </c>
      <c r="C19" t="inlineStr">
        <is>
          <t>ADISOFT</t>
        </is>
      </c>
      <c r="D19" t="inlineStr">
        <is>
          <t>Capital Goods</t>
        </is>
      </c>
    </row>
    <row r="20">
      <c r="A20" t="n">
        <v>15</v>
      </c>
      <c r="B20" t="inlineStr">
        <is>
          <t>Aditya Ultra Steel Ltd.</t>
        </is>
      </c>
      <c r="C20" t="inlineStr">
        <is>
          <t>AUSL</t>
        </is>
      </c>
      <c r="D20" t="inlineStr">
        <is>
          <t>Capital Goods</t>
        </is>
      </c>
    </row>
    <row r="21">
      <c r="A21" t="n">
        <v>16</v>
      </c>
      <c r="B21" t="inlineStr">
        <is>
          <t>Aeron Composite Ltd.</t>
        </is>
      </c>
      <c r="C21" t="inlineStr">
        <is>
          <t>AERON</t>
        </is>
      </c>
      <c r="D21" t="inlineStr">
        <is>
          <t>Capital Goods</t>
        </is>
      </c>
    </row>
    <row r="22">
      <c r="A22" t="n">
        <v>17</v>
      </c>
      <c r="B22" t="inlineStr">
        <is>
          <t>Aesthetik Engineers Ltd.</t>
        </is>
      </c>
      <c r="C22" t="inlineStr">
        <is>
          <t>AESTHETIK</t>
        </is>
      </c>
      <c r="D22" t="inlineStr">
        <is>
          <t>Construction</t>
        </is>
      </c>
    </row>
    <row r="23">
      <c r="A23" t="n">
        <v>18</v>
      </c>
      <c r="B23" t="inlineStr">
        <is>
          <t>Agarwal Float Glass India Ltd.</t>
        </is>
      </c>
      <c r="C23" t="inlineStr">
        <is>
          <t>AGARWALFT</t>
        </is>
      </c>
      <c r="D23" t="inlineStr">
        <is>
          <t>Capital Goods</t>
        </is>
      </c>
    </row>
    <row r="24">
      <c r="A24" t="n">
        <v>19</v>
      </c>
      <c r="B24" t="inlineStr">
        <is>
          <t>Agarwal Toughened Glass India Ltd.</t>
        </is>
      </c>
      <c r="C24" t="inlineStr">
        <is>
          <t>AGARWALTUF</t>
        </is>
      </c>
      <c r="D24" t="inlineStr">
        <is>
          <t>Capital Goods</t>
        </is>
      </c>
    </row>
    <row r="25">
      <c r="A25" t="n">
        <v>20</v>
      </c>
      <c r="B25" t="inlineStr">
        <is>
          <t>Agni Green Power Ltd.</t>
        </is>
      </c>
      <c r="C25" t="inlineStr">
        <is>
          <t>AGNI</t>
        </is>
      </c>
      <c r="D25" t="inlineStr">
        <is>
          <t>Construction</t>
        </is>
      </c>
    </row>
    <row r="26">
      <c r="A26" t="n">
        <v>21</v>
      </c>
      <c r="B26" t="inlineStr">
        <is>
          <t>Aimtron Electronics Ltd.</t>
        </is>
      </c>
      <c r="C26" t="inlineStr">
        <is>
          <t>AIMTRON</t>
        </is>
      </c>
      <c r="D26" t="inlineStr">
        <is>
          <t>Capital Goods</t>
        </is>
      </c>
    </row>
    <row r="27">
      <c r="A27" t="n">
        <v>22</v>
      </c>
      <c r="B27" t="inlineStr">
        <is>
          <t>Akanksha Power and Infrastructure Ltd.</t>
        </is>
      </c>
      <c r="C27" t="inlineStr">
        <is>
          <t>AKANKSHA</t>
        </is>
      </c>
      <c r="D27" t="inlineStr">
        <is>
          <t>Capital Goods</t>
        </is>
      </c>
    </row>
    <row r="28">
      <c r="A28" t="n">
        <v>23</v>
      </c>
      <c r="B28" t="inlineStr">
        <is>
          <t>Akiko Global Services Ltd.</t>
        </is>
      </c>
      <c r="C28" t="inlineStr">
        <is>
          <t>AKIKO</t>
        </is>
      </c>
      <c r="D28" t="inlineStr">
        <is>
          <t>Financial Services</t>
        </is>
      </c>
    </row>
    <row r="29">
      <c r="A29" t="n">
        <v>24</v>
      </c>
      <c r="B29" t="inlineStr">
        <is>
          <t>Alcokraft Distilleries Ltd.</t>
        </is>
      </c>
      <c r="C29" t="inlineStr">
        <is>
          <t>ALCODIS</t>
        </is>
      </c>
      <c r="D29" t="inlineStr">
        <is>
          <t>Fast Moving Consumer Goods</t>
        </is>
      </c>
    </row>
    <row r="30">
      <c r="A30" t="n">
        <v>25</v>
      </c>
      <c r="B30" t="inlineStr">
        <is>
          <t>All E Technologies Ltd.</t>
        </is>
      </c>
      <c r="C30" t="inlineStr">
        <is>
          <t>ALLETEC</t>
        </is>
      </c>
      <c r="D30" t="inlineStr">
        <is>
          <t>Information Technology</t>
        </is>
      </c>
    </row>
    <row r="31">
      <c r="A31" t="n">
        <v>26</v>
      </c>
      <c r="B31" t="inlineStr">
        <is>
          <t>Alpex Solar Ltd.</t>
        </is>
      </c>
      <c r="C31" t="inlineStr">
        <is>
          <t>ALPEXSOLAR</t>
        </is>
      </c>
      <c r="D31" t="inlineStr">
        <is>
          <t>Capital Goods</t>
        </is>
      </c>
    </row>
    <row r="32">
      <c r="A32" t="n">
        <v>27</v>
      </c>
      <c r="B32" t="inlineStr">
        <is>
          <t>Aluwind Infra-Tech Ltd.</t>
        </is>
      </c>
      <c r="C32" t="inlineStr">
        <is>
          <t>ALUWIND</t>
        </is>
      </c>
      <c r="D32" t="inlineStr">
        <is>
          <t>Capital Goods</t>
        </is>
      </c>
    </row>
    <row r="33">
      <c r="A33" t="n">
        <v>28</v>
      </c>
      <c r="B33" t="inlineStr">
        <is>
          <t>Amba Auto Sales and Services Ltd.</t>
        </is>
      </c>
      <c r="C33" t="inlineStr">
        <is>
          <t>AMBAAUTO</t>
        </is>
      </c>
      <c r="D33" t="inlineStr">
        <is>
          <t>Automobile and Auto Components</t>
        </is>
      </c>
    </row>
    <row r="34">
      <c r="A34" t="n">
        <v>29</v>
      </c>
      <c r="B34" t="inlineStr">
        <is>
          <t>Ambani Orgochem Ltd.</t>
        </is>
      </c>
      <c r="C34" t="inlineStr">
        <is>
          <t>AMBANIORGO</t>
        </is>
      </c>
      <c r="D34" t="inlineStr">
        <is>
          <t>Chemicals</t>
        </is>
      </c>
    </row>
    <row r="35">
      <c r="A35" t="n">
        <v>30</v>
      </c>
      <c r="B35" t="inlineStr">
        <is>
          <t>Ameya Precision Engineers Ltd.</t>
        </is>
      </c>
      <c r="C35" t="inlineStr">
        <is>
          <t>AMEYA</t>
        </is>
      </c>
      <c r="D35" t="inlineStr">
        <is>
          <t>Capital Goods</t>
        </is>
      </c>
    </row>
    <row r="36">
      <c r="A36" t="n">
        <v>31</v>
      </c>
      <c r="B36" t="inlineStr">
        <is>
          <t>Amiable Logistics (India) Ltd.</t>
        </is>
      </c>
      <c r="C36" t="inlineStr">
        <is>
          <t>AMIABLE</t>
        </is>
      </c>
      <c r="D36" t="inlineStr">
        <is>
          <t>Services</t>
        </is>
      </c>
    </row>
    <row r="37">
      <c r="A37" t="n">
        <v>32</v>
      </c>
      <c r="B37" t="inlineStr">
        <is>
          <t>ANB Metal Cast Ltd.</t>
        </is>
      </c>
      <c r="C37" t="inlineStr">
        <is>
          <t>AMCL</t>
        </is>
      </c>
      <c r="D37" t="inlineStr">
        <is>
          <t>Capital Goods</t>
        </is>
      </c>
    </row>
    <row r="38">
      <c r="A38" t="n">
        <v>33</v>
      </c>
      <c r="B38" t="inlineStr">
        <is>
          <t>ANI Integrated Services Ltd.</t>
        </is>
      </c>
      <c r="C38" t="inlineStr">
        <is>
          <t>AISL</t>
        </is>
      </c>
      <c r="D38" t="inlineStr">
        <is>
          <t>Services</t>
        </is>
      </c>
    </row>
    <row r="39">
      <c r="A39" t="n">
        <v>34</v>
      </c>
      <c r="B39" t="inlineStr">
        <is>
          <t>Anlon Technology Solutions Ltd.</t>
        </is>
      </c>
      <c r="C39" t="inlineStr">
        <is>
          <t>ANLON</t>
        </is>
      </c>
      <c r="D39" t="inlineStr">
        <is>
          <t>Services</t>
        </is>
      </c>
    </row>
    <row r="40">
      <c r="A40" t="n">
        <v>35</v>
      </c>
      <c r="B40" t="inlineStr">
        <is>
          <t>Anondita Medicare Ltd.</t>
        </is>
      </c>
      <c r="C40" t="inlineStr">
        <is>
          <t>ANONDITA</t>
        </is>
      </c>
      <c r="D40" t="inlineStr">
        <is>
          <t>Fast Moving Consumer Goods</t>
        </is>
      </c>
    </row>
    <row r="41">
      <c r="A41" t="n">
        <v>36</v>
      </c>
      <c r="B41" t="inlineStr">
        <is>
          <t>Anya Polytech &amp; Fertilizers Ltd.</t>
        </is>
      </c>
      <c r="C41" t="inlineStr">
        <is>
          <t>ANYA</t>
        </is>
      </c>
      <c r="D41" t="inlineStr">
        <is>
          <t>Chemicals</t>
        </is>
      </c>
    </row>
    <row r="42">
      <c r="A42" t="n">
        <v>37</v>
      </c>
      <c r="B42" t="inlineStr">
        <is>
          <t>Apex Ecotech Ltd.</t>
        </is>
      </c>
      <c r="C42" t="inlineStr">
        <is>
          <t>APEXECO</t>
        </is>
      </c>
      <c r="D42" t="inlineStr">
        <is>
          <t>Utilities</t>
        </is>
      </c>
    </row>
    <row r="43">
      <c r="A43" t="n">
        <v>38</v>
      </c>
      <c r="B43" t="inlineStr">
        <is>
          <t>Aprameya Engineering Ltd.</t>
        </is>
      </c>
      <c r="C43" t="inlineStr">
        <is>
          <t>APRAMEYA</t>
        </is>
      </c>
      <c r="D43" t="inlineStr">
        <is>
          <t>Healthcare</t>
        </is>
      </c>
    </row>
    <row r="44">
      <c r="A44" t="n">
        <v>39</v>
      </c>
      <c r="B44" t="inlineStr">
        <is>
          <t>Apsis Aerocom Ltd.</t>
        </is>
      </c>
      <c r="C44" t="inlineStr">
        <is>
          <t>APSISAERO</t>
        </is>
      </c>
      <c r="D44" t="inlineStr">
        <is>
          <t>Capital Goods</t>
        </is>
      </c>
    </row>
    <row r="45">
      <c r="A45" t="n">
        <v>40</v>
      </c>
      <c r="B45" t="inlineStr">
        <is>
          <t>Arabian Petroleum Ltd.</t>
        </is>
      </c>
      <c r="C45" t="inlineStr">
        <is>
          <t>ARABIAN</t>
        </is>
      </c>
      <c r="D45" t="inlineStr">
        <is>
          <t>Oil Gas &amp; Consumable Fuels</t>
        </is>
      </c>
    </row>
    <row r="46">
      <c r="A46" t="n">
        <v>41</v>
      </c>
      <c r="B46" t="inlineStr">
        <is>
          <t>ARC Insulation &amp; Insulators Ltd.</t>
        </is>
      </c>
      <c r="C46" t="inlineStr">
        <is>
          <t>ARCIIL</t>
        </is>
      </c>
      <c r="D46" t="inlineStr">
        <is>
          <t>Capital Goods</t>
        </is>
      </c>
    </row>
    <row r="47">
      <c r="A47" t="n">
        <v>42</v>
      </c>
      <c r="B47" t="inlineStr">
        <is>
          <t>Arham Technologies Ltd.</t>
        </is>
      </c>
      <c r="C47" t="inlineStr">
        <is>
          <t>ARHAM</t>
        </is>
      </c>
      <c r="D47" t="inlineStr">
        <is>
          <t>Consumer Durables</t>
        </is>
      </c>
    </row>
    <row r="48">
      <c r="A48" t="n">
        <v>43</v>
      </c>
      <c r="B48" t="inlineStr">
        <is>
          <t>Arihant Academy Ltd.</t>
        </is>
      </c>
      <c r="C48" t="inlineStr">
        <is>
          <t>ARIHANTACA</t>
        </is>
      </c>
      <c r="D48" t="inlineStr">
        <is>
          <t>Consumer Services</t>
        </is>
      </c>
    </row>
    <row r="49">
      <c r="A49" t="n">
        <v>44</v>
      </c>
      <c r="B49" t="inlineStr">
        <is>
          <t>ARISTO BIO-TECH AND LIFESCIENCE Ltd.</t>
        </is>
      </c>
      <c r="C49" t="inlineStr">
        <is>
          <t>ARISTO</t>
        </is>
      </c>
      <c r="D49" t="inlineStr">
        <is>
          <t>Chemicals</t>
        </is>
      </c>
    </row>
    <row r="50">
      <c r="A50" t="n">
        <v>45</v>
      </c>
      <c r="B50" t="inlineStr">
        <is>
          <t>Armour Security (India) Ltd.</t>
        </is>
      </c>
      <c r="C50" t="inlineStr">
        <is>
          <t>ARMOUR</t>
        </is>
      </c>
      <c r="D50" t="inlineStr">
        <is>
          <t>Services</t>
        </is>
      </c>
    </row>
    <row r="51">
      <c r="A51" t="n">
        <v>46</v>
      </c>
      <c r="B51" t="inlineStr">
        <is>
          <t>Arunaya Organics Ltd.</t>
        </is>
      </c>
      <c r="C51" t="inlineStr">
        <is>
          <t>ARUNAYA</t>
        </is>
      </c>
      <c r="D51" t="inlineStr">
        <is>
          <t>Chemicals</t>
        </is>
      </c>
    </row>
    <row r="52">
      <c r="A52" t="n">
        <v>47</v>
      </c>
      <c r="B52" t="inlineStr">
        <is>
          <t>Arvind Port and Infra Ltd.</t>
        </is>
      </c>
      <c r="C52" t="inlineStr">
        <is>
          <t>ARVINDPORT</t>
        </is>
      </c>
      <c r="D52" t="inlineStr">
        <is>
          <t>Services</t>
        </is>
      </c>
    </row>
    <row r="53">
      <c r="A53" t="n">
        <v>48</v>
      </c>
      <c r="B53" t="inlineStr">
        <is>
          <t>Ascom Leasing &amp; Investments Ltd.</t>
        </is>
      </c>
      <c r="C53" t="inlineStr">
        <is>
          <t>ASCOM</t>
        </is>
      </c>
      <c r="D53" t="inlineStr">
        <is>
          <t>Financial Services</t>
        </is>
      </c>
    </row>
    <row r="54">
      <c r="A54" t="n">
        <v>49</v>
      </c>
      <c r="B54" t="inlineStr">
        <is>
          <t>Ashapura Logistics Ltd.</t>
        </is>
      </c>
      <c r="C54" t="inlineStr">
        <is>
          <t>ASHALOG</t>
        </is>
      </c>
      <c r="D54" t="inlineStr">
        <is>
          <t>Services</t>
        </is>
      </c>
    </row>
    <row r="55">
      <c r="A55" t="n">
        <v>50</v>
      </c>
      <c r="B55" t="inlineStr">
        <is>
          <t>Ashwini Container Movers Ltd.</t>
        </is>
      </c>
      <c r="C55" t="inlineStr">
        <is>
          <t>ASHWINI</t>
        </is>
      </c>
      <c r="D55" t="inlineStr">
        <is>
          <t>Services</t>
        </is>
      </c>
    </row>
    <row r="56">
      <c r="A56" t="n">
        <v>51</v>
      </c>
      <c r="B56" t="inlineStr">
        <is>
          <t>Aspire &amp; Innovative Advertising Ltd.</t>
        </is>
      </c>
      <c r="C56" t="inlineStr">
        <is>
          <t>ASPIRE</t>
        </is>
      </c>
      <c r="D56" t="inlineStr">
        <is>
          <t>Consumer Durables</t>
        </is>
      </c>
    </row>
    <row r="57">
      <c r="A57" t="n">
        <v>52</v>
      </c>
      <c r="B57" t="inlineStr">
        <is>
          <t>ATC Energies System Ltd.</t>
        </is>
      </c>
      <c r="C57" t="inlineStr">
        <is>
          <t>ATCENERGY</t>
        </is>
      </c>
      <c r="D57" t="inlineStr">
        <is>
          <t>Capital Goods</t>
        </is>
      </c>
    </row>
    <row r="58">
      <c r="A58" t="n">
        <v>53</v>
      </c>
      <c r="B58" t="inlineStr">
        <is>
          <t>Atmastco Ltd.</t>
        </is>
      </c>
      <c r="C58" t="inlineStr">
        <is>
          <t>ATMASTCO</t>
        </is>
      </c>
      <c r="D58" t="inlineStr">
        <is>
          <t>Construction</t>
        </is>
      </c>
    </row>
    <row r="59">
      <c r="A59" t="n">
        <v>54</v>
      </c>
      <c r="B59" t="inlineStr">
        <is>
          <t>Auro Impex &amp; Chemicals Ltd.</t>
        </is>
      </c>
      <c r="C59" t="inlineStr">
        <is>
          <t>AUROIMPEX</t>
        </is>
      </c>
      <c r="D59" t="inlineStr">
        <is>
          <t>Capital Goods</t>
        </is>
      </c>
    </row>
    <row r="60">
      <c r="A60" t="n">
        <v>55</v>
      </c>
      <c r="B60" t="inlineStr">
        <is>
          <t>Australian Premium Solar (India) Limited</t>
        </is>
      </c>
      <c r="C60" t="inlineStr">
        <is>
          <t>APS</t>
        </is>
      </c>
      <c r="D60" t="inlineStr">
        <is>
          <t>Capital Goods</t>
        </is>
      </c>
    </row>
    <row r="61">
      <c r="A61" t="n">
        <v>56</v>
      </c>
      <c r="B61" t="inlineStr">
        <is>
          <t>Avana Electrosystems Ltd.</t>
        </is>
      </c>
      <c r="C61" t="inlineStr">
        <is>
          <t>AVANA</t>
        </is>
      </c>
      <c r="D61" t="inlineStr">
        <is>
          <t>Capital Goods</t>
        </is>
      </c>
    </row>
    <row r="62">
      <c r="A62" t="n">
        <v>57</v>
      </c>
      <c r="B62" t="inlineStr">
        <is>
          <t>AVATAR Industries Ltd.</t>
        </is>
      </c>
      <c r="C62" t="inlineStr">
        <is>
          <t>AVATAR</t>
        </is>
      </c>
      <c r="D62" t="inlineStr">
        <is>
          <t>Automobile and Auto Components</t>
        </is>
      </c>
    </row>
    <row r="63">
      <c r="A63" t="n">
        <v>58</v>
      </c>
      <c r="B63" t="inlineStr">
        <is>
          <t>Avi Ansh Textile Ltd.</t>
        </is>
      </c>
      <c r="C63" t="inlineStr">
        <is>
          <t>AVIANSH</t>
        </is>
      </c>
      <c r="D63" t="inlineStr">
        <is>
          <t>Textiles</t>
        </is>
      </c>
    </row>
    <row r="64">
      <c r="A64" t="n">
        <v>59</v>
      </c>
      <c r="B64" t="inlineStr">
        <is>
          <t>Avience Biomedicals Ltd.</t>
        </is>
      </c>
      <c r="C64" t="inlineStr">
        <is>
          <t>AVIENCE</t>
        </is>
      </c>
      <c r="D64" t="inlineStr">
        <is>
          <t>Healthcare</t>
        </is>
      </c>
    </row>
    <row r="65">
      <c r="A65" t="n">
        <v>60</v>
      </c>
      <c r="B65" t="inlineStr">
        <is>
          <t>AVP Infracon Ltd.</t>
        </is>
      </c>
      <c r="C65" t="inlineStr">
        <is>
          <t>AVPINFRA</t>
        </is>
      </c>
      <c r="D65" t="inlineStr">
        <is>
          <t>Construction</t>
        </is>
      </c>
    </row>
    <row r="66">
      <c r="A66" t="n">
        <v>61</v>
      </c>
      <c r="B66" t="inlineStr">
        <is>
          <t>B.A.G. Convergence Ltd.</t>
        </is>
      </c>
      <c r="C66" t="inlineStr">
        <is>
          <t>BAGDIGITAL</t>
        </is>
      </c>
      <c r="D66" t="inlineStr">
        <is>
          <t>Media Entertainment &amp; Publication</t>
        </is>
      </c>
    </row>
    <row r="67">
      <c r="A67" t="n">
        <v>62</v>
      </c>
      <c r="B67" t="inlineStr">
        <is>
          <t>Baba Food Processing (India) Ltd.</t>
        </is>
      </c>
      <c r="C67" t="inlineStr">
        <is>
          <t>BABAFP</t>
        </is>
      </c>
      <c r="D67" t="inlineStr">
        <is>
          <t>Fast Moving Consumer Goods</t>
        </is>
      </c>
    </row>
    <row r="68">
      <c r="A68" t="n">
        <v>63</v>
      </c>
      <c r="B68" t="inlineStr">
        <is>
          <t>Baheti Recycling Industries Ltd.</t>
        </is>
      </c>
      <c r="C68" t="inlineStr">
        <is>
          <t>BAHETI</t>
        </is>
      </c>
      <c r="D68" t="inlineStr">
        <is>
          <t>Capital Goods</t>
        </is>
      </c>
    </row>
    <row r="69">
      <c r="A69" t="n">
        <v>64</v>
      </c>
      <c r="B69" t="inlineStr">
        <is>
          <t>Balaji Phosphates Ltd.</t>
        </is>
      </c>
      <c r="C69" t="inlineStr">
        <is>
          <t>BALAJIPHOS</t>
        </is>
      </c>
      <c r="D69" t="inlineStr">
        <is>
          <t>Chemicals</t>
        </is>
      </c>
    </row>
    <row r="70">
      <c r="A70" t="n">
        <v>65</v>
      </c>
      <c r="B70" t="inlineStr">
        <is>
          <t>Barflex Polyfilms Ltd.</t>
        </is>
      </c>
      <c r="C70" t="inlineStr">
        <is>
          <t>BARFLEX</t>
        </is>
      </c>
      <c r="D70" t="inlineStr">
        <is>
          <t>Capital Goods</t>
        </is>
      </c>
    </row>
    <row r="71">
      <c r="A71" t="n">
        <v>66</v>
      </c>
      <c r="B71" t="inlineStr">
        <is>
          <t>Basilic Fly Studio Ltd.</t>
        </is>
      </c>
      <c r="C71" t="inlineStr">
        <is>
          <t>BASILIC</t>
        </is>
      </c>
      <c r="D71" t="inlineStr">
        <is>
          <t>Media Entertainment &amp; Publication</t>
        </is>
      </c>
    </row>
    <row r="72">
      <c r="A72" t="n">
        <v>67</v>
      </c>
      <c r="B72" t="inlineStr">
        <is>
          <t>Baweja Studios Ltd.</t>
        </is>
      </c>
      <c r="C72" t="inlineStr">
        <is>
          <t>BAWEJA</t>
        </is>
      </c>
      <c r="D72" t="inlineStr">
        <is>
          <t>Media Entertainment &amp; Publication</t>
        </is>
      </c>
    </row>
    <row r="73">
      <c r="A73" t="n">
        <v>68</v>
      </c>
      <c r="B73" t="inlineStr">
        <is>
          <t>BEACON TRUSTEESHIP Ltd.</t>
        </is>
      </c>
      <c r="C73" t="inlineStr">
        <is>
          <t>BEACON</t>
        </is>
      </c>
      <c r="D73" t="inlineStr">
        <is>
          <t>Financial Services</t>
        </is>
      </c>
    </row>
    <row r="74">
      <c r="A74" t="n">
        <v>69</v>
      </c>
      <c r="B74" t="inlineStr">
        <is>
          <t>BEW Engineering Ltd.</t>
        </is>
      </c>
      <c r="C74" t="inlineStr">
        <is>
          <t>BEWLTD</t>
        </is>
      </c>
      <c r="D74" t="inlineStr">
        <is>
          <t>Capital Goods</t>
        </is>
      </c>
    </row>
    <row r="75">
      <c r="A75" t="n">
        <v>70</v>
      </c>
      <c r="B75" t="inlineStr">
        <is>
          <t>Bhadora Industries Ltd.</t>
        </is>
      </c>
      <c r="C75" t="inlineStr">
        <is>
          <t>BHADORA</t>
        </is>
      </c>
      <c r="D75" t="inlineStr">
        <is>
          <t>Capital Goods</t>
        </is>
      </c>
    </row>
    <row r="76">
      <c r="A76" t="n">
        <v>71</v>
      </c>
      <c r="B76" t="inlineStr">
        <is>
          <t>Bikewo Green Tech Ltd.</t>
        </is>
      </c>
      <c r="C76" t="inlineStr">
        <is>
          <t>BIKEWO</t>
        </is>
      </c>
      <c r="D76" t="inlineStr">
        <is>
          <t>Automobile and Auto Components</t>
        </is>
      </c>
    </row>
    <row r="77">
      <c r="A77" t="n">
        <v>72</v>
      </c>
      <c r="B77" t="inlineStr">
        <is>
          <t>Bio Medica Laboratories Ltd.</t>
        </is>
      </c>
      <c r="C77" t="inlineStr">
        <is>
          <t>BMLL</t>
        </is>
      </c>
      <c r="D77" t="inlineStr">
        <is>
          <t>Healthcare</t>
        </is>
      </c>
    </row>
    <row r="78">
      <c r="A78" t="n">
        <v>73</v>
      </c>
      <c r="B78" t="inlineStr">
        <is>
          <t>Biopol Chemicals Ltd.</t>
        </is>
      </c>
      <c r="C78" t="inlineStr">
        <is>
          <t>BIOPOL</t>
        </is>
      </c>
      <c r="D78" t="inlineStr">
        <is>
          <t>Chemicals</t>
        </is>
      </c>
    </row>
    <row r="79">
      <c r="A79" t="n">
        <v>74</v>
      </c>
      <c r="B79" t="inlineStr">
        <is>
          <t>BLUE PEBBLE Ltd.</t>
        </is>
      </c>
      <c r="C79" t="inlineStr">
        <is>
          <t>BLUEPEBBLE</t>
        </is>
      </c>
      <c r="D79" t="inlineStr">
        <is>
          <t>Services</t>
        </is>
      </c>
    </row>
    <row r="80">
      <c r="A80" t="n">
        <v>75</v>
      </c>
      <c r="B80" t="inlineStr">
        <is>
          <t>Blue Water Logistics Ltd.</t>
        </is>
      </c>
      <c r="C80" t="inlineStr">
        <is>
          <t>BLUEWATER</t>
        </is>
      </c>
      <c r="D80" t="inlineStr">
        <is>
          <t>Services</t>
        </is>
      </c>
    </row>
    <row r="81">
      <c r="A81" t="n">
        <v>76</v>
      </c>
      <c r="B81" t="inlineStr">
        <is>
          <t>Bombay Metrics Supply Chain Ltd.</t>
        </is>
      </c>
      <c r="C81" t="inlineStr">
        <is>
          <t>BMETRICS</t>
        </is>
      </c>
      <c r="D81" t="inlineStr">
        <is>
          <t>Services</t>
        </is>
      </c>
    </row>
    <row r="82">
      <c r="A82" t="n">
        <v>77</v>
      </c>
      <c r="B82" t="inlineStr">
        <is>
          <t>Boss Packaging Solutions Ltd.</t>
        </is>
      </c>
      <c r="C82" t="inlineStr">
        <is>
          <t>BOSS</t>
        </is>
      </c>
      <c r="D82" t="inlineStr">
        <is>
          <t>Capital Goods</t>
        </is>
      </c>
    </row>
    <row r="83">
      <c r="A83" t="n">
        <v>78</v>
      </c>
      <c r="B83" t="inlineStr">
        <is>
          <t>Brace Port Logistics Ltd.</t>
        </is>
      </c>
      <c r="C83" t="inlineStr">
        <is>
          <t>BRACEPORT</t>
        </is>
      </c>
      <c r="D83" t="inlineStr">
        <is>
          <t>Services</t>
        </is>
      </c>
    </row>
    <row r="84">
      <c r="A84" t="n">
        <v>79</v>
      </c>
      <c r="B84" t="inlineStr">
        <is>
          <t>Brandman Retail Ltd.</t>
        </is>
      </c>
      <c r="C84" t="inlineStr">
        <is>
          <t>BRANDMAN</t>
        </is>
      </c>
      <c r="D84" t="inlineStr">
        <is>
          <t>Consumer Durables</t>
        </is>
      </c>
    </row>
    <row r="85">
      <c r="A85" t="n">
        <v>80</v>
      </c>
      <c r="B85" t="inlineStr">
        <is>
          <t>Bulkcorp International Ltd.</t>
        </is>
      </c>
      <c r="C85" t="inlineStr">
        <is>
          <t>BULKCORP</t>
        </is>
      </c>
      <c r="D85" t="inlineStr">
        <is>
          <t>Capital Goods</t>
        </is>
      </c>
    </row>
    <row r="86">
      <c r="A86" t="n">
        <v>81</v>
      </c>
      <c r="B86" t="inlineStr">
        <is>
          <t>C K K Retail Mart Ltd.</t>
        </is>
      </c>
      <c r="C86" t="inlineStr">
        <is>
          <t>CKKRETAIL</t>
        </is>
      </c>
      <c r="D86" t="inlineStr">
        <is>
          <t>Fast Moving Consumer Goods</t>
        </is>
      </c>
    </row>
    <row r="87">
      <c r="A87" t="n">
        <v>82</v>
      </c>
      <c r="B87" t="inlineStr">
        <is>
          <t>C P S Shapers Ltd.</t>
        </is>
      </c>
      <c r="C87" t="inlineStr">
        <is>
          <t>CPS</t>
        </is>
      </c>
      <c r="D87" t="inlineStr">
        <is>
          <t>Textiles</t>
        </is>
      </c>
    </row>
    <row r="88">
      <c r="A88" t="n">
        <v>83</v>
      </c>
      <c r="B88" t="inlineStr">
        <is>
          <t>C2C Advanced Systems Ltd.</t>
        </is>
      </c>
      <c r="C88" t="inlineStr">
        <is>
          <t>C2C</t>
        </is>
      </c>
      <c r="D88" t="inlineStr">
        <is>
          <t>Capital Goods</t>
        </is>
      </c>
    </row>
    <row r="89">
      <c r="A89" t="n">
        <v>84</v>
      </c>
      <c r="B89" t="inlineStr">
        <is>
          <t>Cadsys (India) Ltd.</t>
        </is>
      </c>
      <c r="C89" t="inlineStr">
        <is>
          <t>CADSYS</t>
        </is>
      </c>
      <c r="D89" t="inlineStr">
        <is>
          <t>Services</t>
        </is>
      </c>
    </row>
    <row r="90">
      <c r="A90" t="n">
        <v>85</v>
      </c>
      <c r="B90" t="inlineStr">
        <is>
          <t>Canarys Automations Ltd.</t>
        </is>
      </c>
      <c r="C90" t="inlineStr">
        <is>
          <t>CANARYS</t>
        </is>
      </c>
      <c r="D90" t="inlineStr">
        <is>
          <t>Information Technology</t>
        </is>
      </c>
    </row>
    <row r="91">
      <c r="A91" t="n">
        <v>86</v>
      </c>
      <c r="B91" t="inlineStr">
        <is>
          <t>Cash Ur Drive Marketing Ltd.</t>
        </is>
      </c>
      <c r="C91" t="inlineStr">
        <is>
          <t>CUDML</t>
        </is>
      </c>
      <c r="D91" t="inlineStr">
        <is>
          <t>Media Entertainment &amp; Publication</t>
        </is>
      </c>
    </row>
    <row r="92">
      <c r="A92" t="n">
        <v>87</v>
      </c>
      <c r="B92" t="inlineStr">
        <is>
          <t>Cedaar Textile Ltd.</t>
        </is>
      </c>
      <c r="C92" t="inlineStr">
        <is>
          <t>CEDAAR</t>
        </is>
      </c>
      <c r="D92" t="inlineStr">
        <is>
          <t>Textiles</t>
        </is>
      </c>
    </row>
    <row r="93">
      <c r="A93" t="n">
        <v>88</v>
      </c>
      <c r="B93" t="inlineStr">
        <is>
          <t>Cell Point (India) Ltd.</t>
        </is>
      </c>
      <c r="C93" t="inlineStr">
        <is>
          <t>CELLPOINT</t>
        </is>
      </c>
      <c r="D93" t="inlineStr">
        <is>
          <t>Consumer Services</t>
        </is>
      </c>
    </row>
    <row r="94">
      <c r="A94" t="n">
        <v>89</v>
      </c>
      <c r="B94" t="inlineStr">
        <is>
          <t>Cellecor Gadgets Ltd.</t>
        </is>
      </c>
      <c r="C94" t="inlineStr">
        <is>
          <t>CELLECOR</t>
        </is>
      </c>
      <c r="D94" t="inlineStr">
        <is>
          <t>Consumer Durables</t>
        </is>
      </c>
    </row>
    <row r="95">
      <c r="A95" t="n">
        <v>90</v>
      </c>
      <c r="B95" t="inlineStr">
        <is>
          <t>Chaman Metallics Ltd.</t>
        </is>
      </c>
      <c r="C95" t="inlineStr">
        <is>
          <t>CMNL</t>
        </is>
      </c>
      <c r="D95" t="inlineStr">
        <is>
          <t>Metals &amp; Mining</t>
        </is>
      </c>
    </row>
    <row r="96">
      <c r="A96" t="n">
        <v>91</v>
      </c>
      <c r="B96" t="inlineStr">
        <is>
          <t>Chamunda Electrical Ltd.</t>
        </is>
      </c>
      <c r="C96" t="inlineStr">
        <is>
          <t>CHAMUNDA</t>
        </is>
      </c>
      <c r="D96" t="inlineStr">
        <is>
          <t>Services</t>
        </is>
      </c>
    </row>
    <row r="97">
      <c r="A97" t="n">
        <v>92</v>
      </c>
      <c r="B97" t="inlineStr">
        <is>
          <t>Chandan Healthcare Ltd.</t>
        </is>
      </c>
      <c r="C97" t="inlineStr">
        <is>
          <t>CHANDAN</t>
        </is>
      </c>
      <c r="D97" t="inlineStr">
        <is>
          <t>Healthcare</t>
        </is>
      </c>
    </row>
    <row r="98">
      <c r="A98" t="n">
        <v>93</v>
      </c>
      <c r="B98" t="inlineStr">
        <is>
          <t>Chavda Infra Ltd.</t>
        </is>
      </c>
      <c r="C98" t="inlineStr">
        <is>
          <t>CHAVDA</t>
        </is>
      </c>
      <c r="D98" t="inlineStr">
        <is>
          <t>Construction</t>
        </is>
      </c>
    </row>
    <row r="99">
      <c r="A99" t="n">
        <v>94</v>
      </c>
      <c r="B99" t="inlineStr">
        <is>
          <t>Chetana Education Ltd.</t>
        </is>
      </c>
      <c r="C99" t="inlineStr">
        <is>
          <t>CHETANA</t>
        </is>
      </c>
      <c r="D99" t="inlineStr">
        <is>
          <t>Media Entertainment &amp; Publication</t>
        </is>
      </c>
    </row>
    <row r="100">
      <c r="A100" t="n">
        <v>95</v>
      </c>
      <c r="B100" t="inlineStr">
        <is>
          <t>Classic Electrodes (India) Ltd.</t>
        </is>
      </c>
      <c r="C100" t="inlineStr">
        <is>
          <t>CLASSICEIL</t>
        </is>
      </c>
      <c r="D100" t="inlineStr">
        <is>
          <t>Capital Goods</t>
        </is>
      </c>
    </row>
    <row r="101">
      <c r="A101" t="n">
        <v>96</v>
      </c>
      <c r="B101" t="inlineStr">
        <is>
          <t>Clay Craft India Ltd.</t>
        </is>
      </c>
      <c r="C101" t="inlineStr">
        <is>
          <t>CLAYCRAFT</t>
        </is>
      </c>
      <c r="D101" t="inlineStr">
        <is>
          <t>Consumer Durables</t>
        </is>
      </c>
    </row>
    <row r="102">
      <c r="A102" t="n">
        <v>97</v>
      </c>
      <c r="B102" t="inlineStr">
        <is>
          <t>Clear Secured Services Ltd.</t>
        </is>
      </c>
      <c r="C102" t="inlineStr">
        <is>
          <t>CSSL</t>
        </is>
      </c>
      <c r="D102" t="inlineStr">
        <is>
          <t>Services</t>
        </is>
      </c>
    </row>
    <row r="103">
      <c r="A103" t="n">
        <v>98</v>
      </c>
      <c r="B103" t="inlineStr">
        <is>
          <t>Committed Cargo Care Ltd.</t>
        </is>
      </c>
      <c r="C103" t="inlineStr">
        <is>
          <t>COMMITTED</t>
        </is>
      </c>
      <c r="D103" t="inlineStr">
        <is>
          <t>Services</t>
        </is>
      </c>
    </row>
    <row r="104">
      <c r="A104" t="n">
        <v>99</v>
      </c>
      <c r="B104" t="inlineStr">
        <is>
          <t>Connplex Cinemas Ltd.</t>
        </is>
      </c>
      <c r="C104" t="inlineStr">
        <is>
          <t>CONNPLEX</t>
        </is>
      </c>
      <c r="D104" t="inlineStr">
        <is>
          <t>Media Entertainment &amp; Publication</t>
        </is>
      </c>
    </row>
    <row r="105">
      <c r="A105" t="n">
        <v>100</v>
      </c>
      <c r="B105" t="inlineStr">
        <is>
          <t>Continental Seeds and Chemicals Ltd.</t>
        </is>
      </c>
      <c r="C105" t="inlineStr">
        <is>
          <t>CONTI</t>
        </is>
      </c>
      <c r="D105" t="inlineStr">
        <is>
          <t>Fast Moving Consumer Goods</t>
        </is>
      </c>
    </row>
    <row r="106">
      <c r="A106" t="n">
        <v>101</v>
      </c>
      <c r="B106" t="inlineStr">
        <is>
          <t>Cool Caps Industries Ltd.</t>
        </is>
      </c>
      <c r="C106" t="inlineStr">
        <is>
          <t>COOLCAPS</t>
        </is>
      </c>
      <c r="D106" t="inlineStr">
        <is>
          <t>Capital Goods</t>
        </is>
      </c>
    </row>
    <row r="107">
      <c r="A107" t="n">
        <v>102</v>
      </c>
      <c r="B107" t="inlineStr">
        <is>
          <t>Crayons Advertising Ltd.</t>
        </is>
      </c>
      <c r="C107" t="inlineStr">
        <is>
          <t>CRAYONS</t>
        </is>
      </c>
      <c r="D107" t="inlineStr">
        <is>
          <t>Media Entertainment &amp; Publication</t>
        </is>
      </c>
    </row>
    <row r="108">
      <c r="A108" t="n">
        <v>103</v>
      </c>
      <c r="B108" t="inlineStr">
        <is>
          <t>Creative Graphics Solutions India Ltd.</t>
        </is>
      </c>
      <c r="C108" t="inlineStr">
        <is>
          <t>CGRAPHICS</t>
        </is>
      </c>
      <c r="D108" t="inlineStr">
        <is>
          <t>Capital Goods</t>
        </is>
      </c>
    </row>
    <row r="109">
      <c r="A109" t="n">
        <v>104</v>
      </c>
      <c r="B109" t="inlineStr">
        <is>
          <t>Crop Life Science Ltd.</t>
        </is>
      </c>
      <c r="C109" t="inlineStr">
        <is>
          <t>CLSL</t>
        </is>
      </c>
      <c r="D109" t="inlineStr">
        <is>
          <t>Chemicals</t>
        </is>
      </c>
    </row>
    <row r="110">
      <c r="A110" t="n">
        <v>105</v>
      </c>
      <c r="B110" t="inlineStr">
        <is>
          <t>Curis Lifesciences Ltd.</t>
        </is>
      </c>
      <c r="C110" t="inlineStr">
        <is>
          <t>CURIS</t>
        </is>
      </c>
      <c r="D110" t="inlineStr">
        <is>
          <t>Healthcare</t>
        </is>
      </c>
    </row>
    <row r="111">
      <c r="A111" t="n">
        <v>106</v>
      </c>
      <c r="B111" t="inlineStr">
        <is>
          <t>Current Infraprojects Ltd.</t>
        </is>
      </c>
      <c r="C111" t="inlineStr">
        <is>
          <t>CURRENT</t>
        </is>
      </c>
      <c r="D111" t="inlineStr">
        <is>
          <t>Construction</t>
        </is>
      </c>
    </row>
    <row r="112">
      <c r="A112" t="n">
        <v>107</v>
      </c>
      <c r="B112" t="inlineStr">
        <is>
          <t>Cyber Media Research &amp; Services Ltd.</t>
        </is>
      </c>
      <c r="C112" t="inlineStr">
        <is>
          <t>CMRSL</t>
        </is>
      </c>
      <c r="D112" t="inlineStr">
        <is>
          <t>Media Entertainment &amp; Publication</t>
        </is>
      </c>
    </row>
    <row r="113">
      <c r="A113" t="n">
        <v>108</v>
      </c>
      <c r="B113" t="inlineStr">
        <is>
          <t>D.K. Enterprises Global Ltd.</t>
        </is>
      </c>
      <c r="C113" t="inlineStr">
        <is>
          <t>DKEGL</t>
        </is>
      </c>
      <c r="D113" t="inlineStr">
        <is>
          <t>Capital Goods</t>
        </is>
      </c>
    </row>
    <row r="114">
      <c r="A114" t="n">
        <v>109</v>
      </c>
      <c r="B114" t="inlineStr">
        <is>
          <t>Danish Power Ltd.</t>
        </is>
      </c>
      <c r="C114" t="inlineStr">
        <is>
          <t>DANISH</t>
        </is>
      </c>
      <c r="D114" t="inlineStr">
        <is>
          <t>Capital Goods</t>
        </is>
      </c>
    </row>
    <row r="115">
      <c r="A115" t="n">
        <v>110</v>
      </c>
      <c r="B115" t="inlineStr">
        <is>
          <t>Dar Credit &amp; Capital Ltd.</t>
        </is>
      </c>
      <c r="C115" t="inlineStr">
        <is>
          <t>DCCL</t>
        </is>
      </c>
      <c r="D115" t="inlineStr">
        <is>
          <t>Financial Services</t>
        </is>
      </c>
    </row>
    <row r="116">
      <c r="A116" t="n">
        <v>111</v>
      </c>
      <c r="B116" t="inlineStr">
        <is>
          <t>DCG Cables &amp; Wires Ltd.</t>
        </is>
      </c>
      <c r="C116" t="inlineStr">
        <is>
          <t>DCG</t>
        </is>
      </c>
      <c r="D116" t="inlineStr">
        <is>
          <t>Capital Goods</t>
        </is>
      </c>
    </row>
    <row r="117">
      <c r="A117" t="n">
        <v>112</v>
      </c>
      <c r="B117" t="inlineStr">
        <is>
          <t>De Neers Tools Ltd.</t>
        </is>
      </c>
      <c r="C117" t="inlineStr">
        <is>
          <t>DENEERS</t>
        </is>
      </c>
      <c r="D117" t="inlineStr">
        <is>
          <t>Capital Goods</t>
        </is>
      </c>
    </row>
    <row r="118">
      <c r="A118" t="n">
        <v>113</v>
      </c>
      <c r="B118" t="inlineStr">
        <is>
          <t>Deccan Transcon Leasing Ltd.</t>
        </is>
      </c>
      <c r="C118" t="inlineStr">
        <is>
          <t>DECCANTRAN</t>
        </is>
      </c>
      <c r="D118" t="inlineStr">
        <is>
          <t>Services</t>
        </is>
      </c>
    </row>
    <row r="119">
      <c r="A119" t="n">
        <v>114</v>
      </c>
      <c r="B119" t="inlineStr">
        <is>
          <t>Deem Roll Tech Ltd.</t>
        </is>
      </c>
      <c r="C119" t="inlineStr">
        <is>
          <t>DEEM</t>
        </is>
      </c>
      <c r="D119" t="inlineStr">
        <is>
          <t>Capital Goods</t>
        </is>
      </c>
    </row>
    <row r="120">
      <c r="A120" t="n">
        <v>115</v>
      </c>
      <c r="B120" t="inlineStr">
        <is>
          <t>Delaplex Ltd.</t>
        </is>
      </c>
      <c r="C120" t="inlineStr">
        <is>
          <t>DELAPLEX</t>
        </is>
      </c>
      <c r="D120" t="inlineStr">
        <is>
          <t>Information Technology</t>
        </is>
      </c>
    </row>
    <row r="121">
      <c r="A121" t="n">
        <v>116</v>
      </c>
      <c r="B121" t="inlineStr">
        <is>
          <t>Delta Autocorp Ltd.</t>
        </is>
      </c>
      <c r="C121" t="inlineStr">
        <is>
          <t>DELTIC</t>
        </is>
      </c>
      <c r="D121" t="inlineStr">
        <is>
          <t>Automobile and Auto Components</t>
        </is>
      </c>
    </row>
    <row r="122">
      <c r="A122" t="n">
        <v>117</v>
      </c>
      <c r="B122" t="inlineStr">
        <is>
          <t>Dhanlaxmi Crop Science Ltd.</t>
        </is>
      </c>
      <c r="C122" t="inlineStr">
        <is>
          <t>DHANLAXMI</t>
        </is>
      </c>
      <c r="D122" t="inlineStr">
        <is>
          <t>Fast Moving Consumer Goods</t>
        </is>
      </c>
    </row>
    <row r="123">
      <c r="A123" t="n">
        <v>118</v>
      </c>
      <c r="B123" t="inlineStr">
        <is>
          <t>Dhansa Labs Ltd.</t>
        </is>
      </c>
      <c r="C123" t="inlineStr">
        <is>
          <t>DHANSA</t>
        </is>
      </c>
      <c r="D123" t="inlineStr">
        <is>
          <t>Chemicals</t>
        </is>
      </c>
    </row>
    <row r="124">
      <c r="A124" t="n">
        <v>119</v>
      </c>
      <c r="B124" t="inlineStr">
        <is>
          <t>Dhanuka Infra Realty Ltd.</t>
        </is>
      </c>
      <c r="C124" t="inlineStr">
        <is>
          <t>DIRL</t>
        </is>
      </c>
      <c r="D124" t="inlineStr">
        <is>
          <t>Realty</t>
        </is>
      </c>
    </row>
    <row r="125">
      <c r="A125" t="n">
        <v>120</v>
      </c>
      <c r="B125" t="inlineStr">
        <is>
          <t>Dhara Rail Projects Ltd.</t>
        </is>
      </c>
      <c r="C125" t="inlineStr">
        <is>
          <t>DHARARAIL</t>
        </is>
      </c>
      <c r="D125" t="inlineStr">
        <is>
          <t>Services</t>
        </is>
      </c>
    </row>
    <row r="126">
      <c r="A126" t="n">
        <v>121</v>
      </c>
      <c r="B126" t="inlineStr">
        <is>
          <t>Dhariwalcorp Ltd.</t>
        </is>
      </c>
      <c r="C126" t="inlineStr">
        <is>
          <t>DHARIWAL</t>
        </is>
      </c>
      <c r="D126" t="inlineStr">
        <is>
          <t>Chemicals</t>
        </is>
      </c>
    </row>
    <row r="127">
      <c r="A127" t="n">
        <v>122</v>
      </c>
      <c r="B127" t="inlineStr">
        <is>
          <t>Diensten Tech Ltd.</t>
        </is>
      </c>
      <c r="C127" t="inlineStr">
        <is>
          <t>DTL</t>
        </is>
      </c>
      <c r="D127" t="inlineStr">
        <is>
          <t>Services</t>
        </is>
      </c>
    </row>
    <row r="128">
      <c r="A128" t="n">
        <v>123</v>
      </c>
      <c r="B128" t="inlineStr">
        <is>
          <t>Digikore Studios Ltd.</t>
        </is>
      </c>
      <c r="C128" t="inlineStr">
        <is>
          <t>DIGIKORE</t>
        </is>
      </c>
      <c r="D128" t="inlineStr">
        <is>
          <t>Media Entertainment &amp; Publication</t>
        </is>
      </c>
    </row>
    <row r="129">
      <c r="A129" t="n">
        <v>124</v>
      </c>
      <c r="B129" t="inlineStr">
        <is>
          <t>Divine Hira Jewellers Ltd.</t>
        </is>
      </c>
      <c r="C129" t="inlineStr">
        <is>
          <t>DIVINEHIRA</t>
        </is>
      </c>
      <c r="D129" t="inlineStr">
        <is>
          <t>Consumer Durables</t>
        </is>
      </c>
    </row>
    <row r="130">
      <c r="A130" t="n">
        <v>125</v>
      </c>
      <c r="B130" t="inlineStr">
        <is>
          <t>Divine Power Energy Ltd.</t>
        </is>
      </c>
      <c r="C130" t="inlineStr">
        <is>
          <t>DPEL</t>
        </is>
      </c>
      <c r="D130" t="inlineStr">
        <is>
          <t>Capital Goods</t>
        </is>
      </c>
    </row>
    <row r="131">
      <c r="A131" t="n">
        <v>126</v>
      </c>
      <c r="B131" t="inlineStr">
        <is>
          <t>Divyadhan Recycling Industries Ltd.</t>
        </is>
      </c>
      <c r="C131" t="inlineStr">
        <is>
          <t>DIVYADHAN</t>
        </is>
      </c>
      <c r="D131" t="inlineStr">
        <is>
          <t>Textiles</t>
        </is>
      </c>
    </row>
    <row r="132">
      <c r="A132" t="n">
        <v>127</v>
      </c>
      <c r="B132" t="inlineStr">
        <is>
          <t>Docmode Health Technologies Ltd.</t>
        </is>
      </c>
      <c r="C132" t="inlineStr">
        <is>
          <t>DHTL</t>
        </is>
      </c>
      <c r="D132" t="inlineStr">
        <is>
          <t>Consumer Services</t>
        </is>
      </c>
    </row>
    <row r="133">
      <c r="A133" t="n">
        <v>128</v>
      </c>
      <c r="B133" t="inlineStr">
        <is>
          <t>Drone Destination Ltd.</t>
        </is>
      </c>
      <c r="C133" t="inlineStr">
        <is>
          <t>DRONE</t>
        </is>
      </c>
      <c r="D133" t="inlineStr">
        <is>
          <t>Consumer Services</t>
        </is>
      </c>
    </row>
    <row r="134">
      <c r="A134" t="n">
        <v>129</v>
      </c>
      <c r="B134" t="inlineStr">
        <is>
          <t>Ducol Organics And Colours Ltd.</t>
        </is>
      </c>
      <c r="C134" t="inlineStr">
        <is>
          <t>DUCOL</t>
        </is>
      </c>
      <c r="D134" t="inlineStr">
        <is>
          <t>Chemicals</t>
        </is>
      </c>
    </row>
    <row r="135">
      <c r="A135" t="n">
        <v>130</v>
      </c>
      <c r="B135" t="inlineStr">
        <is>
          <t>DUDIGITAL GLOBAL LTD.</t>
        </is>
      </c>
      <c r="C135" t="inlineStr">
        <is>
          <t>DUGLOBAL</t>
        </is>
      </c>
      <c r="D135" t="inlineStr">
        <is>
          <t>Consumer Services</t>
        </is>
      </c>
    </row>
    <row r="136">
      <c r="A136" t="n">
        <v>131</v>
      </c>
      <c r="B136" t="inlineStr">
        <is>
          <t>Durlax Top Surface Ltd.</t>
        </is>
      </c>
      <c r="C136" t="inlineStr">
        <is>
          <t>DURLAX</t>
        </is>
      </c>
      <c r="D136" t="inlineStr">
        <is>
          <t>Consumer Durables</t>
        </is>
      </c>
    </row>
    <row r="137">
      <c r="A137" t="n">
        <v>132</v>
      </c>
      <c r="B137" t="inlineStr">
        <is>
          <t>Dynamic Services &amp; Security Ltd.</t>
        </is>
      </c>
      <c r="C137" t="inlineStr">
        <is>
          <t>DYNAMIC</t>
        </is>
      </c>
      <c r="D137" t="inlineStr">
        <is>
          <t>Services</t>
        </is>
      </c>
    </row>
    <row r="138">
      <c r="A138" t="n">
        <v>133</v>
      </c>
      <c r="B138" t="inlineStr">
        <is>
          <t>E Factor Experiences Ltd.</t>
        </is>
      </c>
      <c r="C138" t="inlineStr">
        <is>
          <t>EFACTOR</t>
        </is>
      </c>
      <c r="D138" t="inlineStr">
        <is>
          <t>Consumer Services</t>
        </is>
      </c>
    </row>
    <row r="139">
      <c r="A139" t="n">
        <v>134</v>
      </c>
      <c r="B139" t="inlineStr">
        <is>
          <t>E To E Transportation Infrastructure Ltd.</t>
        </is>
      </c>
      <c r="C139" t="inlineStr">
        <is>
          <t>E2ERAIL</t>
        </is>
      </c>
      <c r="D139" t="inlineStr">
        <is>
          <t>Construction</t>
        </is>
      </c>
    </row>
    <row r="140">
      <c r="A140" t="n">
        <v>135</v>
      </c>
      <c r="B140" t="inlineStr">
        <is>
          <t>Ecoline Exim Ltd.</t>
        </is>
      </c>
      <c r="C140" t="inlineStr">
        <is>
          <t>ECOLINE</t>
        </is>
      </c>
      <c r="D140" t="inlineStr">
        <is>
          <t>Capital Goods</t>
        </is>
      </c>
    </row>
    <row r="141">
      <c r="A141" t="n">
        <v>136</v>
      </c>
      <c r="B141" t="inlineStr">
        <is>
          <t>Effwa Infra &amp; Research Ltd.</t>
        </is>
      </c>
      <c r="C141" t="inlineStr">
        <is>
          <t>EFFWA</t>
        </is>
      </c>
      <c r="D141" t="inlineStr">
        <is>
          <t>Utilities</t>
        </is>
      </c>
    </row>
    <row r="142">
      <c r="A142" t="n">
        <v>137</v>
      </c>
      <c r="B142" t="inlineStr">
        <is>
          <t>Electro Force (India) Ltd.</t>
        </is>
      </c>
      <c r="C142" t="inlineStr">
        <is>
          <t>EFORCE</t>
        </is>
      </c>
      <c r="D142" t="inlineStr">
        <is>
          <t>Capital Goods</t>
        </is>
      </c>
    </row>
    <row r="143">
      <c r="A143" t="n">
        <v>138</v>
      </c>
      <c r="B143" t="inlineStr">
        <is>
          <t>Eleganz Interiors Ltd.</t>
        </is>
      </c>
      <c r="C143" t="inlineStr">
        <is>
          <t>ELGNZ</t>
        </is>
      </c>
      <c r="D143" t="inlineStr">
        <is>
          <t>Services</t>
        </is>
      </c>
    </row>
    <row r="144">
      <c r="A144" t="n">
        <v>139</v>
      </c>
      <c r="B144" t="inlineStr">
        <is>
          <t>EMA Partners India Ltd.</t>
        </is>
      </c>
      <c r="C144" t="inlineStr">
        <is>
          <t>EMAPARTNER</t>
        </is>
      </c>
      <c r="D144" t="inlineStr">
        <is>
          <t>Services</t>
        </is>
      </c>
    </row>
    <row r="145">
      <c r="A145" t="n">
        <v>140</v>
      </c>
      <c r="B145" t="inlineStr">
        <is>
          <t>Emerald Tyre Manufacturers Ltd.</t>
        </is>
      </c>
      <c r="C145" t="inlineStr">
        <is>
          <t>ETML</t>
        </is>
      </c>
      <c r="D145" t="inlineStr">
        <is>
          <t>Automobile and Auto Components</t>
        </is>
      </c>
    </row>
    <row r="146">
      <c r="A146" t="n">
        <v>141</v>
      </c>
      <c r="B146" t="inlineStr">
        <is>
          <t>Emkay Taps and Cutting Tools Ltd.</t>
        </is>
      </c>
      <c r="C146" t="inlineStr">
        <is>
          <t>EMKAYTOOLS</t>
        </is>
      </c>
      <c r="D146" t="inlineStr">
        <is>
          <t>Power</t>
        </is>
      </c>
    </row>
    <row r="147">
      <c r="A147" t="n">
        <v>142</v>
      </c>
      <c r="B147" t="inlineStr">
        <is>
          <t>Emkay Tools Ltd.</t>
        </is>
      </c>
      <c r="C147" t="inlineStr">
        <is>
          <t>ETL</t>
        </is>
      </c>
      <c r="D147" t="inlineStr">
        <is>
          <t>Capital Goods</t>
        </is>
      </c>
    </row>
    <row r="148">
      <c r="A148" t="n">
        <v>143</v>
      </c>
      <c r="B148" t="inlineStr">
        <is>
          <t>Encompass Design India Ltd.</t>
        </is>
      </c>
      <c r="C148" t="inlineStr">
        <is>
          <t>ENCOMPAS</t>
        </is>
      </c>
      <c r="D148" t="inlineStr">
        <is>
          <t>Services</t>
        </is>
      </c>
    </row>
    <row r="149">
      <c r="A149" t="n">
        <v>144</v>
      </c>
      <c r="B149" t="inlineStr">
        <is>
          <t>Energy Mission Machineries (India) Ltd.</t>
        </is>
      </c>
      <c r="C149" t="inlineStr">
        <is>
          <t>EMMIL</t>
        </is>
      </c>
      <c r="D149" t="inlineStr">
        <is>
          <t>Capital Goods</t>
        </is>
      </c>
    </row>
    <row r="150">
      <c r="A150" t="n">
        <v>145</v>
      </c>
      <c r="B150" t="inlineStr">
        <is>
          <t>Enfuse Solutions Ltd.</t>
        </is>
      </c>
      <c r="C150" t="inlineStr">
        <is>
          <t>ENFUSE</t>
        </is>
      </c>
      <c r="D150" t="inlineStr">
        <is>
          <t>Information Technology</t>
        </is>
      </c>
    </row>
    <row r="151">
      <c r="A151" t="n">
        <v>146</v>
      </c>
      <c r="B151" t="inlineStr">
        <is>
          <t>Enser Communications Ltd.</t>
        </is>
      </c>
      <c r="C151" t="inlineStr">
        <is>
          <t>ENSER</t>
        </is>
      </c>
      <c r="D151" t="inlineStr">
        <is>
          <t>Information Technology</t>
        </is>
      </c>
    </row>
    <row r="152">
      <c r="A152" t="n">
        <v>147</v>
      </c>
      <c r="B152" t="inlineStr">
        <is>
          <t>Envirotech Systems Ltd.</t>
        </is>
      </c>
      <c r="C152" t="inlineStr">
        <is>
          <t>ENVIRO</t>
        </is>
      </c>
      <c r="D152" t="inlineStr">
        <is>
          <t>Capital Goods</t>
        </is>
      </c>
    </row>
    <row r="153">
      <c r="A153" t="n">
        <v>148</v>
      </c>
      <c r="B153" t="inlineStr">
        <is>
          <t>Eppeltone Engineers Ltd.</t>
        </is>
      </c>
      <c r="C153" t="inlineStr">
        <is>
          <t>EEPL</t>
        </is>
      </c>
      <c r="D153" t="inlineStr">
        <is>
          <t>Capital Goods</t>
        </is>
      </c>
    </row>
    <row r="154">
      <c r="A154" t="n">
        <v>149</v>
      </c>
      <c r="B154" t="inlineStr">
        <is>
          <t>EPW India Ltd.</t>
        </is>
      </c>
      <c r="C154" t="inlineStr">
        <is>
          <t>EPWINDIA</t>
        </is>
      </c>
      <c r="D154" t="inlineStr">
        <is>
          <t>Information Technology</t>
        </is>
      </c>
    </row>
    <row r="155">
      <c r="A155" t="n">
        <v>150</v>
      </c>
      <c r="B155" t="inlineStr">
        <is>
          <t>Esconet Technologies Ltd.</t>
        </is>
      </c>
      <c r="C155" t="inlineStr">
        <is>
          <t>ESCONET</t>
        </is>
      </c>
      <c r="D155" t="inlineStr">
        <is>
          <t>Information Technology</t>
        </is>
      </c>
    </row>
    <row r="156">
      <c r="A156" t="n">
        <v>151</v>
      </c>
      <c r="B156" t="inlineStr">
        <is>
          <t>Esprit Stones Ltd.</t>
        </is>
      </c>
      <c r="C156" t="inlineStr">
        <is>
          <t>ESPRIT</t>
        </is>
      </c>
      <c r="D156" t="inlineStr">
        <is>
          <t>Consumer Durables</t>
        </is>
      </c>
    </row>
    <row r="157">
      <c r="A157" t="n">
        <v>152</v>
      </c>
      <c r="B157" t="inlineStr">
        <is>
          <t>Essen Speciality Films Ltd.</t>
        </is>
      </c>
      <c r="C157" t="inlineStr">
        <is>
          <t>ESFL</t>
        </is>
      </c>
      <c r="D157" t="inlineStr">
        <is>
          <t>Consumer Durables</t>
        </is>
      </c>
    </row>
    <row r="158">
      <c r="A158" t="n">
        <v>153</v>
      </c>
      <c r="B158" t="inlineStr">
        <is>
          <t>Excellent Wires and Packaging Ltd.</t>
        </is>
      </c>
      <c r="C158" t="inlineStr">
        <is>
          <t>EXCELLENT</t>
        </is>
      </c>
      <c r="D158" t="inlineStr">
        <is>
          <t>Capital Goods</t>
        </is>
      </c>
    </row>
    <row r="159">
      <c r="A159" t="n">
        <v>154</v>
      </c>
      <c r="B159" t="inlineStr">
        <is>
          <t>Exim Routes Ltd.</t>
        </is>
      </c>
      <c r="C159" t="inlineStr">
        <is>
          <t>EXIMROUTES</t>
        </is>
      </c>
      <c r="D159" t="inlineStr">
        <is>
          <t>Forest Materials</t>
        </is>
      </c>
    </row>
    <row r="160">
      <c r="A160" t="n">
        <v>155</v>
      </c>
      <c r="B160" t="inlineStr">
        <is>
          <t>Falcon Technoprojects India Ltd.</t>
        </is>
      </c>
      <c r="C160" t="inlineStr">
        <is>
          <t>FALCONTECH</t>
        </is>
      </c>
      <c r="D160" t="inlineStr">
        <is>
          <t>Services</t>
        </is>
      </c>
    </row>
    <row r="161">
      <c r="A161" t="n">
        <v>156</v>
      </c>
      <c r="B161" t="inlineStr">
        <is>
          <t>Felix Industries Ltd.</t>
        </is>
      </c>
      <c r="C161" t="inlineStr">
        <is>
          <t>FELIX</t>
        </is>
      </c>
      <c r="D161" t="inlineStr">
        <is>
          <t>Utilities</t>
        </is>
      </c>
    </row>
    <row r="162">
      <c r="A162" t="n">
        <v>157</v>
      </c>
      <c r="B162" t="inlineStr">
        <is>
          <t>Fidel Softech Ltd.</t>
        </is>
      </c>
      <c r="C162" t="inlineStr">
        <is>
          <t>FIDEL</t>
        </is>
      </c>
      <c r="D162" t="inlineStr">
        <is>
          <t>Information Technology</t>
        </is>
      </c>
    </row>
    <row r="163">
      <c r="A163" t="n">
        <v>158</v>
      </c>
      <c r="B163" t="inlineStr">
        <is>
          <t>Finbud Financial Services Ltd.</t>
        </is>
      </c>
      <c r="C163" t="inlineStr">
        <is>
          <t>FINBUD</t>
        </is>
      </c>
      <c r="D163" t="inlineStr">
        <is>
          <t>Financial Services</t>
        </is>
      </c>
    </row>
    <row r="164">
      <c r="A164" t="n">
        <v>159</v>
      </c>
      <c r="B164" t="inlineStr">
        <is>
          <t>FlySBS Aviation Ltd.</t>
        </is>
      </c>
      <c r="C164" t="inlineStr">
        <is>
          <t>FLYSBS</t>
        </is>
      </c>
      <c r="D164" t="inlineStr">
        <is>
          <t>Services</t>
        </is>
      </c>
    </row>
    <row r="165">
      <c r="A165" t="n">
        <v>160</v>
      </c>
      <c r="B165" t="inlineStr">
        <is>
          <t>Flywings Simulator Training Centre Ltd.</t>
        </is>
      </c>
      <c r="C165" t="inlineStr">
        <is>
          <t>FWSTC</t>
        </is>
      </c>
      <c r="D165" t="inlineStr">
        <is>
          <t>Consumer Services</t>
        </is>
      </c>
    </row>
    <row r="166">
      <c r="A166" t="n">
        <v>161</v>
      </c>
      <c r="B166" t="inlineStr">
        <is>
          <t>Foce India Ltd.</t>
        </is>
      </c>
      <c r="C166" t="inlineStr">
        <is>
          <t>FOCE</t>
        </is>
      </c>
      <c r="D166" t="inlineStr">
        <is>
          <t>Consumer Durables</t>
        </is>
      </c>
    </row>
    <row r="167">
      <c r="A167" t="n">
        <v>162</v>
      </c>
      <c r="B167" t="inlineStr">
        <is>
          <t>Fonebox Retail Ltd.</t>
        </is>
      </c>
      <c r="C167" t="inlineStr">
        <is>
          <t>FONEBOX</t>
        </is>
      </c>
      <c r="D167" t="inlineStr">
        <is>
          <t>Consumer Services</t>
        </is>
      </c>
    </row>
    <row r="168">
      <c r="A168" t="n">
        <v>163</v>
      </c>
      <c r="B168" t="inlineStr">
        <is>
          <t>Forcas Studio Ltd.</t>
        </is>
      </c>
      <c r="C168" t="inlineStr">
        <is>
          <t>FORCAS</t>
        </is>
      </c>
      <c r="D168" t="inlineStr">
        <is>
          <t>Textiles</t>
        </is>
      </c>
    </row>
    <row r="169">
      <c r="A169" t="n">
        <v>164</v>
      </c>
      <c r="B169" t="inlineStr">
        <is>
          <t>Forge Auto International Ltd.</t>
        </is>
      </c>
      <c r="C169" t="inlineStr">
        <is>
          <t>FORGEAUTO</t>
        </is>
      </c>
      <c r="D169" t="inlineStr">
        <is>
          <t>Automobile and Auto Components</t>
        </is>
      </c>
    </row>
    <row r="170">
      <c r="A170" t="n">
        <v>165</v>
      </c>
      <c r="B170" t="inlineStr">
        <is>
          <t>Freshara Agro Exports Ltd.</t>
        </is>
      </c>
      <c r="C170" t="inlineStr">
        <is>
          <t>FRESHARA</t>
        </is>
      </c>
      <c r="D170" t="inlineStr">
        <is>
          <t>Fast Moving Consumer Goods</t>
        </is>
      </c>
    </row>
    <row r="171">
      <c r="A171" t="n">
        <v>166</v>
      </c>
      <c r="B171" t="inlineStr">
        <is>
          <t>Frog Innovations Ltd.</t>
        </is>
      </c>
      <c r="C171" t="inlineStr">
        <is>
          <t>FROG</t>
        </is>
      </c>
      <c r="D171" t="inlineStr">
        <is>
          <t>Telecommunication</t>
        </is>
      </c>
    </row>
    <row r="172">
      <c r="A172" t="n">
        <v>167</v>
      </c>
      <c r="B172" t="inlineStr">
        <is>
          <t>Gajanand International Ltd.</t>
        </is>
      </c>
      <c r="C172" t="inlineStr">
        <is>
          <t>GAJANAND</t>
        </is>
      </c>
      <c r="D172" t="inlineStr">
        <is>
          <t>Textiles</t>
        </is>
      </c>
    </row>
    <row r="173">
      <c r="A173" t="n">
        <v>168</v>
      </c>
      <c r="B173" t="inlineStr">
        <is>
          <t>Galaxy Medicare Ltd.</t>
        </is>
      </c>
      <c r="C173" t="inlineStr">
        <is>
          <t>GML</t>
        </is>
      </c>
      <c r="D173" t="inlineStr">
        <is>
          <t>Healthcare</t>
        </is>
      </c>
    </row>
    <row r="174">
      <c r="A174" t="n">
        <v>169</v>
      </c>
      <c r="B174" t="inlineStr">
        <is>
          <t>Ganesh Green Bharat Ltd.</t>
        </is>
      </c>
      <c r="C174" t="inlineStr">
        <is>
          <t>GGBL</t>
        </is>
      </c>
      <c r="D174" t="inlineStr">
        <is>
          <t>Capital Goods</t>
        </is>
      </c>
    </row>
    <row r="175">
      <c r="A175" t="n">
        <v>170</v>
      </c>
      <c r="B175" t="inlineStr">
        <is>
          <t>Ganesh Infraworld Ltd.</t>
        </is>
      </c>
      <c r="C175" t="inlineStr">
        <is>
          <t>GANESHIN</t>
        </is>
      </c>
      <c r="D175" t="inlineStr">
        <is>
          <t>Construction</t>
        </is>
      </c>
    </row>
    <row r="176">
      <c r="A176" t="n">
        <v>171</v>
      </c>
      <c r="B176" t="inlineStr">
        <is>
          <t>Ganga Bath Fittings Ltd.</t>
        </is>
      </c>
      <c r="C176" t="inlineStr">
        <is>
          <t>GANGABATH</t>
        </is>
      </c>
      <c r="D176" t="inlineStr">
        <is>
          <t>Consumer Durables</t>
        </is>
      </c>
    </row>
    <row r="177">
      <c r="A177" t="n">
        <v>172</v>
      </c>
      <c r="B177" t="inlineStr">
        <is>
          <t>Gayatri Rubbers And Chemicals Ltd.</t>
        </is>
      </c>
      <c r="C177" t="inlineStr">
        <is>
          <t>GRCL</t>
        </is>
      </c>
      <c r="D177" t="inlineStr">
        <is>
          <t>Capital Goods</t>
        </is>
      </c>
    </row>
    <row r="178">
      <c r="A178" t="n">
        <v>173</v>
      </c>
      <c r="B178" t="inlineStr">
        <is>
          <t>GenXAI Analytics Ltd.</t>
        </is>
      </c>
      <c r="C178" t="inlineStr">
        <is>
          <t>GENXAI</t>
        </is>
      </c>
      <c r="D178" t="inlineStr">
        <is>
          <t>Information Technology</t>
        </is>
      </c>
    </row>
    <row r="179">
      <c r="A179" t="n">
        <v>174</v>
      </c>
      <c r="B179" t="inlineStr">
        <is>
          <t>Giriraj Civil Developers Ltd.</t>
        </is>
      </c>
      <c r="C179" t="inlineStr">
        <is>
          <t>GIRIRAJ</t>
        </is>
      </c>
      <c r="D179" t="inlineStr">
        <is>
          <t>Construction</t>
        </is>
      </c>
    </row>
    <row r="180">
      <c r="A180" t="n">
        <v>175</v>
      </c>
      <c r="B180" t="inlineStr">
        <is>
          <t>Global Pet Industries Ltd.</t>
        </is>
      </c>
      <c r="C180" t="inlineStr">
        <is>
          <t>GLOBALPET</t>
        </is>
      </c>
      <c r="D180" t="inlineStr">
        <is>
          <t>Capital Goods</t>
        </is>
      </c>
    </row>
    <row r="181">
      <c r="A181" t="n">
        <v>176</v>
      </c>
      <c r="B181" t="inlineStr">
        <is>
          <t>Globesecure Technologies Ltd.</t>
        </is>
      </c>
      <c r="C181" t="inlineStr">
        <is>
          <t>GSTL</t>
        </is>
      </c>
      <c r="D181" t="inlineStr">
        <is>
          <t>Information Technology</t>
        </is>
      </c>
    </row>
    <row r="182">
      <c r="A182" t="n">
        <v>177</v>
      </c>
      <c r="B182" t="inlineStr">
        <is>
          <t>Goldkart Jewels Ltd.</t>
        </is>
      </c>
      <c r="C182" t="inlineStr">
        <is>
          <t>GOLDKART</t>
        </is>
      </c>
      <c r="D182" t="inlineStr">
        <is>
          <t>Consumer Durables</t>
        </is>
      </c>
    </row>
    <row r="183">
      <c r="A183" t="n">
        <v>178</v>
      </c>
      <c r="B183" t="inlineStr">
        <is>
          <t>Goldstar Power Ltd.</t>
        </is>
      </c>
      <c r="C183" t="inlineStr">
        <is>
          <t>GOLDSTAR</t>
        </is>
      </c>
      <c r="D183" t="inlineStr">
        <is>
          <t>Automobile and Auto Components</t>
        </is>
      </c>
    </row>
    <row r="184">
      <c r="A184" t="n">
        <v>179</v>
      </c>
      <c r="B184" t="inlineStr">
        <is>
          <t>Goyal Salt Ltd.</t>
        </is>
      </c>
      <c r="C184" t="inlineStr">
        <is>
          <t>GOYALSALT</t>
        </is>
      </c>
      <c r="D184" t="inlineStr">
        <is>
          <t>Fast Moving Consumer Goods</t>
        </is>
      </c>
    </row>
    <row r="185">
      <c r="A185" t="n">
        <v>180</v>
      </c>
      <c r="B185" t="inlineStr">
        <is>
          <t>GP Eco Solutions India Ltd.</t>
        </is>
      </c>
      <c r="C185" t="inlineStr">
        <is>
          <t>GPECO</t>
        </is>
      </c>
      <c r="D185" t="inlineStr">
        <is>
          <t>Capital Goods</t>
        </is>
      </c>
    </row>
    <row r="186">
      <c r="A186" t="n">
        <v>181</v>
      </c>
      <c r="B186" t="inlineStr">
        <is>
          <t>Grand Continent Hotels Ltd.</t>
        </is>
      </c>
      <c r="C186" t="inlineStr">
        <is>
          <t>GCHOTELS</t>
        </is>
      </c>
      <c r="D186" t="inlineStr">
        <is>
          <t>Consumer Services</t>
        </is>
      </c>
    </row>
    <row r="187">
      <c r="A187" t="n">
        <v>182</v>
      </c>
      <c r="B187" t="inlineStr">
        <is>
          <t>Graphisads Ltd.</t>
        </is>
      </c>
      <c r="C187" t="inlineStr">
        <is>
          <t>GRAPHISAD</t>
        </is>
      </c>
      <c r="D187" t="inlineStr">
        <is>
          <t>Media Entertainment &amp; Publication</t>
        </is>
      </c>
    </row>
    <row r="188">
      <c r="A188" t="n">
        <v>183</v>
      </c>
      <c r="B188" t="inlineStr">
        <is>
          <t>Greenchef Appliances Ltd.</t>
        </is>
      </c>
      <c r="C188" t="inlineStr">
        <is>
          <t>GREENCHEF</t>
        </is>
      </c>
      <c r="D188" t="inlineStr">
        <is>
          <t>Consumer Durables</t>
        </is>
      </c>
    </row>
    <row r="189">
      <c r="A189" t="n">
        <v>184</v>
      </c>
      <c r="B189" t="inlineStr">
        <is>
          <t>Greenleaf Envirotech Ltd.</t>
        </is>
      </c>
      <c r="C189" t="inlineStr">
        <is>
          <t>GREENLEAF</t>
        </is>
      </c>
      <c r="D189" t="inlineStr">
        <is>
          <t>Utilities</t>
        </is>
      </c>
    </row>
    <row r="190">
      <c r="A190" t="n">
        <v>185</v>
      </c>
      <c r="B190" t="inlineStr">
        <is>
          <t>Gretex Industries Ltd.</t>
        </is>
      </c>
      <c r="C190" t="inlineStr">
        <is>
          <t>GRETEX</t>
        </is>
      </c>
      <c r="D190" t="inlineStr">
        <is>
          <t>Media Entertainment &amp; Publication</t>
        </is>
      </c>
    </row>
    <row r="191">
      <c r="A191" t="n">
        <v>186</v>
      </c>
      <c r="B191" t="inlineStr">
        <is>
          <t>GRILL SPLENDOUR SERVICES Ltd.</t>
        </is>
      </c>
      <c r="C191" t="inlineStr">
        <is>
          <t>BIRDYS</t>
        </is>
      </c>
      <c r="D191" t="inlineStr">
        <is>
          <t>Consumer Services</t>
        </is>
      </c>
    </row>
    <row r="192">
      <c r="A192" t="n">
        <v>187</v>
      </c>
      <c r="B192" t="inlineStr">
        <is>
          <t>Grover Jewells Ltd.</t>
        </is>
      </c>
      <c r="C192" t="inlineStr">
        <is>
          <t>GJL</t>
        </is>
      </c>
      <c r="D192" t="inlineStr">
        <is>
          <t>Consumer Durables</t>
        </is>
      </c>
    </row>
    <row r="193">
      <c r="A193" t="n">
        <v>188</v>
      </c>
      <c r="B193" t="inlineStr">
        <is>
          <t>GSM Foils Ltd.</t>
        </is>
      </c>
      <c r="C193" t="inlineStr">
        <is>
          <t>GSMFOILS</t>
        </is>
      </c>
      <c r="D193" t="inlineStr">
        <is>
          <t>Capital Goods</t>
        </is>
      </c>
    </row>
    <row r="194">
      <c r="A194" t="n">
        <v>189</v>
      </c>
      <c r="B194" t="inlineStr">
        <is>
          <t>Gurunanak Agriculture India Ltd.</t>
        </is>
      </c>
      <c r="C194" t="inlineStr">
        <is>
          <t>GURUNANAK</t>
        </is>
      </c>
      <c r="D194" t="inlineStr">
        <is>
          <t>Capital Goods</t>
        </is>
      </c>
    </row>
    <row r="195">
      <c r="A195" t="n">
        <v>190</v>
      </c>
      <c r="B195" t="inlineStr">
        <is>
          <t>Happy Square Outsourcing Services Ltd.</t>
        </is>
      </c>
      <c r="C195" t="inlineStr">
        <is>
          <t>WHITEFORCE</t>
        </is>
      </c>
      <c r="D195" t="inlineStr">
        <is>
          <t>Services</t>
        </is>
      </c>
    </row>
    <row r="196">
      <c r="A196" t="n">
        <v>191</v>
      </c>
      <c r="B196" t="inlineStr">
        <is>
          <t>Happy Steels Ltd.</t>
        </is>
      </c>
      <c r="C196" t="inlineStr">
        <is>
          <t>HAPPY</t>
        </is>
      </c>
      <c r="D196" t="inlineStr">
        <is>
          <t>Automobile and Auto Components</t>
        </is>
      </c>
    </row>
    <row r="197">
      <c r="A197" t="n">
        <v>192</v>
      </c>
      <c r="B197" t="inlineStr">
        <is>
          <t>Hi-Green Carbon Ltd.</t>
        </is>
      </c>
      <c r="C197" t="inlineStr">
        <is>
          <t>HIGREEN</t>
        </is>
      </c>
      <c r="D197" t="inlineStr">
        <is>
          <t>Utilities</t>
        </is>
      </c>
    </row>
    <row r="198">
      <c r="A198" t="n">
        <v>193</v>
      </c>
      <c r="B198" t="inlineStr">
        <is>
          <t>Hoac Foods India Ltd.</t>
        </is>
      </c>
      <c r="C198" t="inlineStr">
        <is>
          <t>HOACFOODS</t>
        </is>
      </c>
      <c r="D198" t="inlineStr">
        <is>
          <t>Fast Moving Consumer Goods</t>
        </is>
      </c>
    </row>
    <row r="199">
      <c r="A199" t="n">
        <v>194</v>
      </c>
      <c r="B199" t="inlineStr">
        <is>
          <t>Holmarc Opto-Mechatronics Ltd.</t>
        </is>
      </c>
      <c r="C199" t="inlineStr">
        <is>
          <t>HOLMARC</t>
        </is>
      </c>
      <c r="D199" t="inlineStr">
        <is>
          <t>Capital Goods</t>
        </is>
      </c>
    </row>
    <row r="200">
      <c r="A200" t="n">
        <v>195</v>
      </c>
      <c r="B200" t="inlineStr">
        <is>
          <t>Homesfy Realty Ltd.</t>
        </is>
      </c>
      <c r="C200" t="inlineStr">
        <is>
          <t>HOMESFY</t>
        </is>
      </c>
      <c r="D200" t="inlineStr">
        <is>
          <t>Realty</t>
        </is>
      </c>
    </row>
    <row r="201">
      <c r="A201" t="n">
        <v>196</v>
      </c>
      <c r="B201" t="inlineStr">
        <is>
          <t>HP Telecom India Ltd.</t>
        </is>
      </c>
      <c r="C201" t="inlineStr">
        <is>
          <t>HPTL</t>
        </is>
      </c>
      <c r="D201" t="inlineStr">
        <is>
          <t>Services</t>
        </is>
      </c>
    </row>
    <row r="202">
      <c r="A202" t="n">
        <v>197</v>
      </c>
      <c r="B202" t="inlineStr">
        <is>
          <t>HRH Next Services Ltd.</t>
        </is>
      </c>
      <c r="C202" t="inlineStr">
        <is>
          <t>HRHNEXT</t>
        </is>
      </c>
      <c r="D202" t="inlineStr">
        <is>
          <t>Services</t>
        </is>
      </c>
    </row>
    <row r="203">
      <c r="A203" t="n">
        <v>198</v>
      </c>
      <c r="B203" t="inlineStr">
        <is>
          <t>HVAX Technologies Ltd.</t>
        </is>
      </c>
      <c r="C203" t="inlineStr">
        <is>
          <t>HVAX</t>
        </is>
      </c>
      <c r="D203" t="inlineStr">
        <is>
          <t>Construction</t>
        </is>
      </c>
    </row>
    <row r="204">
      <c r="A204" t="n">
        <v>199</v>
      </c>
      <c r="B204" t="inlineStr">
        <is>
          <t>IBL Finance Ltd.</t>
        </is>
      </c>
      <c r="C204" t="inlineStr">
        <is>
          <t>IBLFL</t>
        </is>
      </c>
      <c r="D204" t="inlineStr">
        <is>
          <t>Financial Services</t>
        </is>
      </c>
    </row>
    <row r="205">
      <c r="A205" t="n">
        <v>200</v>
      </c>
      <c r="B205" t="inlineStr">
        <is>
          <t>IC Electricals Company Ltd.</t>
        </is>
      </c>
      <c r="C205" t="inlineStr">
        <is>
          <t>ICELCO</t>
        </is>
      </c>
      <c r="D205" t="inlineStr">
        <is>
          <t>Capital Goods</t>
        </is>
      </c>
    </row>
    <row r="206">
      <c r="A206" t="n">
        <v>201</v>
      </c>
      <c r="B206" t="inlineStr">
        <is>
          <t>Ideal Technoplast Industries Ltd.</t>
        </is>
      </c>
      <c r="C206" t="inlineStr">
        <is>
          <t>IDEALTECHO</t>
        </is>
      </c>
      <c r="D206" t="inlineStr">
        <is>
          <t>Capital Goods</t>
        </is>
      </c>
    </row>
    <row r="207">
      <c r="A207" t="n">
        <v>202</v>
      </c>
      <c r="B207" t="inlineStr">
        <is>
          <t>Identical Brains Studios Ltd.</t>
        </is>
      </c>
      <c r="C207" t="inlineStr">
        <is>
          <t>IDENTICAL</t>
        </is>
      </c>
      <c r="D207" t="inlineStr">
        <is>
          <t>Media Entertainment &amp; Publication</t>
        </is>
      </c>
    </row>
    <row r="208">
      <c r="A208" t="n">
        <v>203</v>
      </c>
      <c r="B208" t="inlineStr">
        <is>
          <t>Indian Emulsifiers Ltd.</t>
        </is>
      </c>
      <c r="C208" t="inlineStr">
        <is>
          <t>IEML</t>
        </is>
      </c>
      <c r="D208" t="inlineStr">
        <is>
          <t>Chemicals</t>
        </is>
      </c>
    </row>
    <row r="209">
      <c r="A209" t="n">
        <v>204</v>
      </c>
      <c r="B209" t="inlineStr">
        <is>
          <t>Indian Phosphate Ltd.</t>
        </is>
      </c>
      <c r="C209" t="inlineStr">
        <is>
          <t>IPHL</t>
        </is>
      </c>
      <c r="D209" t="inlineStr">
        <is>
          <t>Chemicals</t>
        </is>
      </c>
    </row>
    <row r="210">
      <c r="A210" t="n">
        <v>205</v>
      </c>
      <c r="B210" t="inlineStr">
        <is>
          <t>Indifra Ltd.</t>
        </is>
      </c>
      <c r="C210" t="inlineStr">
        <is>
          <t>INDIFRA</t>
        </is>
      </c>
      <c r="D210" t="inlineStr">
        <is>
          <t>Oil Gas &amp; Consumable Fuels</t>
        </is>
      </c>
    </row>
    <row r="211">
      <c r="A211" t="n">
        <v>206</v>
      </c>
      <c r="B211" t="inlineStr">
        <is>
          <t>Infinium Pharmachem Ltd.</t>
        </is>
      </c>
      <c r="C211" t="inlineStr">
        <is>
          <t>INFINIUM</t>
        </is>
      </c>
      <c r="D211" t="inlineStr">
        <is>
          <t>Healthcare</t>
        </is>
      </c>
    </row>
    <row r="212">
      <c r="A212" t="n">
        <v>207</v>
      </c>
      <c r="B212" t="inlineStr">
        <is>
          <t>Influx Healthtech Ltd.</t>
        </is>
      </c>
      <c r="C212" t="inlineStr">
        <is>
          <t>INFLUX</t>
        </is>
      </c>
      <c r="D212" t="inlineStr">
        <is>
          <t>Healthcare</t>
        </is>
      </c>
    </row>
    <row r="213">
      <c r="A213" t="n">
        <v>208</v>
      </c>
      <c r="B213" t="inlineStr">
        <is>
          <t>Infollion Research Services Ltd.</t>
        </is>
      </c>
      <c r="C213" t="inlineStr">
        <is>
          <t>INFOLLION</t>
        </is>
      </c>
      <c r="D213" t="inlineStr">
        <is>
          <t>Services</t>
        </is>
      </c>
    </row>
    <row r="214">
      <c r="A214" t="n">
        <v>209</v>
      </c>
      <c r="B214" t="inlineStr">
        <is>
          <t>Innomet Advanced Materials Ltd.</t>
        </is>
      </c>
      <c r="C214" t="inlineStr">
        <is>
          <t>INNOMET</t>
        </is>
      </c>
      <c r="D214" t="inlineStr">
        <is>
          <t>Metals &amp; Mining</t>
        </is>
      </c>
    </row>
    <row r="215">
      <c r="A215" t="n">
        <v>210</v>
      </c>
      <c r="B215" t="inlineStr">
        <is>
          <t>Innovative Tyres &amp; Tubes Ltd.</t>
        </is>
      </c>
      <c r="C215" t="inlineStr">
        <is>
          <t>ITTL</t>
        </is>
      </c>
      <c r="D215" t="inlineStr">
        <is>
          <t>Automobile and Auto Components</t>
        </is>
      </c>
    </row>
    <row r="216">
      <c r="A216" t="n">
        <v>211</v>
      </c>
      <c r="B216" t="inlineStr">
        <is>
          <t>INSPIRE FILMS Ltd.</t>
        </is>
      </c>
      <c r="C216" t="inlineStr">
        <is>
          <t>INSPIRE</t>
        </is>
      </c>
      <c r="D216" t="inlineStr">
        <is>
          <t>Media Entertainment &amp; Publication</t>
        </is>
      </c>
    </row>
    <row r="217">
      <c r="A217" t="n">
        <v>212</v>
      </c>
      <c r="B217" t="inlineStr">
        <is>
          <t>Integrated Personnel Services Ltd.</t>
        </is>
      </c>
      <c r="C217" t="inlineStr">
        <is>
          <t>IPSL</t>
        </is>
      </c>
      <c r="D217" t="inlineStr">
        <is>
          <t>Services</t>
        </is>
      </c>
    </row>
    <row r="218">
      <c r="A218" t="n">
        <v>213</v>
      </c>
      <c r="B218" t="inlineStr">
        <is>
          <t>Integrity Infrabuild Developers Ltd.</t>
        </is>
      </c>
      <c r="C218" t="inlineStr">
        <is>
          <t>INTEGRITY</t>
        </is>
      </c>
      <c r="D218" t="inlineStr">
        <is>
          <t>Construction</t>
        </is>
      </c>
    </row>
    <row r="219">
      <c r="A219" t="n">
        <v>214</v>
      </c>
      <c r="B219" t="inlineStr">
        <is>
          <t>Interiors &amp; More Ltd.</t>
        </is>
      </c>
      <c r="C219" t="inlineStr">
        <is>
          <t>INM</t>
        </is>
      </c>
      <c r="D219" t="inlineStr">
        <is>
          <t>Consumer Durables</t>
        </is>
      </c>
    </row>
    <row r="220">
      <c r="A220" t="n">
        <v>215</v>
      </c>
      <c r="B220" t="inlineStr">
        <is>
          <t>Invicta Diagnostic Ltd.</t>
        </is>
      </c>
      <c r="C220" t="inlineStr">
        <is>
          <t>INVICTA</t>
        </is>
      </c>
      <c r="D220" t="inlineStr">
        <is>
          <t>Healthcare</t>
        </is>
      </c>
    </row>
    <row r="221">
      <c r="A221" t="n">
        <v>216</v>
      </c>
      <c r="B221" t="inlineStr">
        <is>
          <t>Ishan International Ltd.</t>
        </is>
      </c>
      <c r="C221" t="inlineStr">
        <is>
          <t>ISHAN</t>
        </is>
      </c>
      <c r="D221" t="inlineStr">
        <is>
          <t>Capital Goods</t>
        </is>
      </c>
    </row>
    <row r="222">
      <c r="A222" t="n">
        <v>217</v>
      </c>
      <c r="B222" t="inlineStr">
        <is>
          <t>Italian Edibles Ltd.</t>
        </is>
      </c>
      <c r="C222" t="inlineStr">
        <is>
          <t>ITALIANE</t>
        </is>
      </c>
      <c r="D222" t="inlineStr">
        <is>
          <t>Fast Moving Consumer Goods</t>
        </is>
      </c>
    </row>
    <row r="223">
      <c r="A223" t="n">
        <v>218</v>
      </c>
      <c r="B223" t="inlineStr">
        <is>
          <t>Iware Supplychain Services Ltd.</t>
        </is>
      </c>
      <c r="C223" t="inlineStr">
        <is>
          <t>IWARE</t>
        </is>
      </c>
      <c r="D223" t="inlineStr">
        <is>
          <t>Services</t>
        </is>
      </c>
    </row>
    <row r="224">
      <c r="A224" t="n">
        <v>219</v>
      </c>
      <c r="B224" t="inlineStr">
        <is>
          <t>Jainam Ferro Alloys (I) Ltd.</t>
        </is>
      </c>
      <c r="C224" t="inlineStr">
        <is>
          <t>JAINAM</t>
        </is>
      </c>
      <c r="D224" t="inlineStr">
        <is>
          <t>Metals &amp; Mining</t>
        </is>
      </c>
    </row>
    <row r="225">
      <c r="A225" t="n">
        <v>220</v>
      </c>
      <c r="B225" t="inlineStr">
        <is>
          <t>Jainik Power Cables Ltd.</t>
        </is>
      </c>
      <c r="C225" t="inlineStr">
        <is>
          <t>JAINIK</t>
        </is>
      </c>
      <c r="D225" t="inlineStr">
        <is>
          <t>Metals &amp; Mining</t>
        </is>
      </c>
    </row>
    <row r="226">
      <c r="A226" t="n">
        <v>221</v>
      </c>
      <c r="B226" t="inlineStr">
        <is>
          <t>Jalan Transolutions (India) Ltd.</t>
        </is>
      </c>
      <c r="C226" t="inlineStr">
        <is>
          <t>JALAN</t>
        </is>
      </c>
      <c r="D226" t="inlineStr">
        <is>
          <t>Services</t>
        </is>
      </c>
    </row>
    <row r="227">
      <c r="A227" t="n">
        <v>222</v>
      </c>
      <c r="B227" t="inlineStr">
        <is>
          <t>Jay Bee Laminations Ltd.</t>
        </is>
      </c>
      <c r="C227" t="inlineStr">
        <is>
          <t>JAYBEE</t>
        </is>
      </c>
      <c r="D227" t="inlineStr">
        <is>
          <t>Capital Goods</t>
        </is>
      </c>
    </row>
    <row r="228">
      <c r="A228" t="n">
        <v>223</v>
      </c>
      <c r="B228" t="inlineStr">
        <is>
          <t>Jay Jalaram Technologies Ltd.</t>
        </is>
      </c>
      <c r="C228" t="inlineStr">
        <is>
          <t>KORE</t>
        </is>
      </c>
      <c r="D228" t="inlineStr">
        <is>
          <t>Consumer Services</t>
        </is>
      </c>
    </row>
    <row r="229">
      <c r="A229" t="n">
        <v>224</v>
      </c>
      <c r="B229" t="inlineStr">
        <is>
          <t>Jayesh Logistics Ltd.</t>
        </is>
      </c>
      <c r="C229" t="inlineStr">
        <is>
          <t>JAYESH</t>
        </is>
      </c>
      <c r="D229" t="inlineStr">
        <is>
          <t>Services</t>
        </is>
      </c>
    </row>
    <row r="230">
      <c r="A230" t="n">
        <v>225</v>
      </c>
      <c r="B230" t="inlineStr">
        <is>
          <t>Jeyyam Global Foods Ltd.</t>
        </is>
      </c>
      <c r="C230" t="inlineStr">
        <is>
          <t>JEYYAM</t>
        </is>
      </c>
      <c r="D230" t="inlineStr">
        <is>
          <t>Fast Moving Consumer Goods</t>
        </is>
      </c>
    </row>
    <row r="231">
      <c r="A231" t="n">
        <v>226</v>
      </c>
      <c r="B231" t="inlineStr">
        <is>
          <t>JFL Life Sciences Ltd.</t>
        </is>
      </c>
      <c r="C231" t="inlineStr">
        <is>
          <t>JFLLIFE</t>
        </is>
      </c>
      <c r="D231" t="inlineStr">
        <is>
          <t>Healthcare</t>
        </is>
      </c>
    </row>
    <row r="232">
      <c r="A232" t="n">
        <v>227</v>
      </c>
      <c r="B232" t="inlineStr">
        <is>
          <t>Jiwanram Sheoduttrai Industries Ltd.</t>
        </is>
      </c>
      <c r="C232" t="inlineStr">
        <is>
          <t>JIWANRAM</t>
        </is>
      </c>
      <c r="D232" t="inlineStr">
        <is>
          <t>Capital Goods</t>
        </is>
      </c>
    </row>
    <row r="233">
      <c r="A233" t="n">
        <v>228</v>
      </c>
      <c r="B233" t="inlineStr">
        <is>
          <t>Jyoti Global Plast Ltd.</t>
        </is>
      </c>
      <c r="C233" t="inlineStr">
        <is>
          <t>JYOTIGLOBL</t>
        </is>
      </c>
      <c r="D233" t="inlineStr">
        <is>
          <t>Capital Goods</t>
        </is>
      </c>
    </row>
    <row r="234">
      <c r="A234" t="n">
        <v>229</v>
      </c>
      <c r="B234" t="inlineStr">
        <is>
          <t>K2 Infragen Ltd.</t>
        </is>
      </c>
      <c r="C234" t="inlineStr">
        <is>
          <t>K2INFRA</t>
        </is>
      </c>
      <c r="D234" t="inlineStr">
        <is>
          <t>Construction</t>
        </is>
      </c>
    </row>
    <row r="235">
      <c r="A235" t="n">
        <v>230</v>
      </c>
      <c r="B235" t="inlineStr">
        <is>
          <t>Kabra Jewels Ltd.</t>
        </is>
      </c>
      <c r="C235" t="inlineStr">
        <is>
          <t>KKJEWELS</t>
        </is>
      </c>
      <c r="D235" t="inlineStr">
        <is>
          <t>Consumer Durables</t>
        </is>
      </c>
    </row>
    <row r="236">
      <c r="A236" t="n">
        <v>231</v>
      </c>
      <c r="B236" t="inlineStr">
        <is>
          <t>Kalana Ispat Ltd.</t>
        </is>
      </c>
      <c r="C236" t="inlineStr">
        <is>
          <t>KALANA</t>
        </is>
      </c>
      <c r="D236" t="inlineStr">
        <is>
          <t>Capital Goods</t>
        </is>
      </c>
    </row>
    <row r="237">
      <c r="A237" t="n">
        <v>232</v>
      </c>
      <c r="B237" t="inlineStr">
        <is>
          <t>Kandarp Digi Smart BPO Ltd.</t>
        </is>
      </c>
      <c r="C237" t="inlineStr">
        <is>
          <t>KANDARP</t>
        </is>
      </c>
      <c r="D237" t="inlineStr">
        <is>
          <t>Services</t>
        </is>
      </c>
    </row>
    <row r="238">
      <c r="A238" t="n">
        <v>233</v>
      </c>
      <c r="B238" t="inlineStr">
        <is>
          <t>Karnika Industries Ltd.</t>
        </is>
      </c>
      <c r="C238" t="inlineStr">
        <is>
          <t>KARNIKA</t>
        </is>
      </c>
      <c r="D238" t="inlineStr">
        <is>
          <t>Textiles</t>
        </is>
      </c>
    </row>
    <row r="239">
      <c r="A239" t="n">
        <v>234</v>
      </c>
      <c r="B239" t="inlineStr">
        <is>
          <t>Kataria Industries Ltd.</t>
        </is>
      </c>
      <c r="C239" t="inlineStr">
        <is>
          <t>KATARIA</t>
        </is>
      </c>
      <c r="D239" t="inlineStr">
        <is>
          <t>Capital Goods</t>
        </is>
      </c>
    </row>
    <row r="240">
      <c r="A240" t="n">
        <v>235</v>
      </c>
      <c r="B240" t="inlineStr">
        <is>
          <t>Kaushalya Logistics Ltd.</t>
        </is>
      </c>
      <c r="C240" t="inlineStr">
        <is>
          <t>KLL</t>
        </is>
      </c>
      <c r="D240" t="inlineStr">
        <is>
          <t>Consumer Services</t>
        </is>
      </c>
    </row>
    <row r="241">
      <c r="A241" t="n">
        <v>236</v>
      </c>
      <c r="B241" t="inlineStr">
        <is>
          <t>Kay Cee Energy &amp; Infra Ltd.</t>
        </is>
      </c>
      <c r="C241" t="inlineStr">
        <is>
          <t>KCEIL</t>
        </is>
      </c>
      <c r="D241" t="inlineStr">
        <is>
          <t>Capital Goods</t>
        </is>
      </c>
    </row>
    <row r="242">
      <c r="A242" t="n">
        <v>237</v>
      </c>
      <c r="B242" t="inlineStr">
        <is>
          <t>Kaytex Fabrics Ltd.</t>
        </is>
      </c>
      <c r="C242" t="inlineStr">
        <is>
          <t>KAYTEX</t>
        </is>
      </c>
      <c r="D242" t="inlineStr">
        <is>
          <t>Textiles</t>
        </is>
      </c>
    </row>
    <row r="243">
      <c r="A243" t="n">
        <v>238</v>
      </c>
      <c r="B243" t="inlineStr">
        <is>
          <t>KCK INDUSTRIES Ltd.</t>
        </is>
      </c>
      <c r="C243" t="inlineStr">
        <is>
          <t>KCK</t>
        </is>
      </c>
      <c r="D243" t="inlineStr">
        <is>
          <t>Fast Moving Consumer Goods</t>
        </is>
      </c>
    </row>
    <row r="244">
      <c r="A244" t="n">
        <v>239</v>
      </c>
      <c r="B244" t="inlineStr">
        <is>
          <t>Ken Enterprises Ltd.</t>
        </is>
      </c>
      <c r="C244" t="inlineStr">
        <is>
          <t>KEN</t>
        </is>
      </c>
      <c r="D244" t="inlineStr">
        <is>
          <t>Textiles</t>
        </is>
      </c>
    </row>
    <row r="245">
      <c r="A245" t="n">
        <v>240</v>
      </c>
      <c r="B245" t="inlineStr">
        <is>
          <t>KHFM Hospitality And Facility Management Services Ltd.</t>
        </is>
      </c>
      <c r="C245" t="inlineStr">
        <is>
          <t>KHFM</t>
        </is>
      </c>
      <c r="D245" t="inlineStr">
        <is>
          <t>Services</t>
        </is>
      </c>
    </row>
    <row r="246">
      <c r="A246" t="n">
        <v>241</v>
      </c>
      <c r="B246" t="inlineStr">
        <is>
          <t>KKV Agro Powers Ltd.</t>
        </is>
      </c>
      <c r="C246" t="inlineStr">
        <is>
          <t>KKVAPOW</t>
        </is>
      </c>
      <c r="D246" t="inlineStr">
        <is>
          <t>Consumer Durables</t>
        </is>
      </c>
    </row>
    <row r="247">
      <c r="A247" t="n">
        <v>242</v>
      </c>
      <c r="B247" t="inlineStr">
        <is>
          <t>KODY TECHNOLAB Ltd.</t>
        </is>
      </c>
      <c r="C247" t="inlineStr">
        <is>
          <t>KODYTECH</t>
        </is>
      </c>
      <c r="D247" t="inlineStr">
        <is>
          <t>Information Technology</t>
        </is>
      </c>
    </row>
    <row r="248">
      <c r="A248" t="n">
        <v>243</v>
      </c>
      <c r="B248" t="inlineStr">
        <is>
          <t>Konstelec Engineers Ltd.</t>
        </is>
      </c>
      <c r="C248" t="inlineStr">
        <is>
          <t>KONSTELEC</t>
        </is>
      </c>
      <c r="D248" t="inlineStr">
        <is>
          <t>Construction</t>
        </is>
      </c>
    </row>
    <row r="249">
      <c r="A249" t="n">
        <v>244</v>
      </c>
      <c r="B249" t="inlineStr">
        <is>
          <t>Kontor Space Ltd.</t>
        </is>
      </c>
      <c r="C249" t="inlineStr">
        <is>
          <t>KONTOR</t>
        </is>
      </c>
      <c r="D249" t="inlineStr">
        <is>
          <t>Services</t>
        </is>
      </c>
    </row>
    <row r="250">
      <c r="A250" t="n">
        <v>245</v>
      </c>
      <c r="B250" t="inlineStr">
        <is>
          <t>Kore Digital Ltd.</t>
        </is>
      </c>
      <c r="C250" t="inlineStr">
        <is>
          <t>KDL</t>
        </is>
      </c>
      <c r="D250" t="inlineStr">
        <is>
          <t>Telecommunication</t>
        </is>
      </c>
    </row>
    <row r="251">
      <c r="A251" t="n">
        <v>246</v>
      </c>
      <c r="B251" t="inlineStr">
        <is>
          <t>Krishca Strapping Solutions Ltd.</t>
        </is>
      </c>
      <c r="C251" t="inlineStr">
        <is>
          <t>KRISHCA</t>
        </is>
      </c>
      <c r="D251" t="inlineStr">
        <is>
          <t>Capital Goods</t>
        </is>
      </c>
    </row>
    <row r="252">
      <c r="A252" t="n">
        <v>247</v>
      </c>
      <c r="B252" t="inlineStr">
        <is>
          <t>KRM Ayurveda Ltd.</t>
        </is>
      </c>
      <c r="C252" t="inlineStr">
        <is>
          <t>KRMAYURVED</t>
        </is>
      </c>
      <c r="D252" t="inlineStr">
        <is>
          <t>Healthcare</t>
        </is>
      </c>
    </row>
    <row r="253">
      <c r="A253" t="n">
        <v>248</v>
      </c>
      <c r="B253" t="inlineStr">
        <is>
          <t>Lakshya Powertech Ltd.</t>
        </is>
      </c>
      <c r="C253" t="inlineStr">
        <is>
          <t>LAKSHYA</t>
        </is>
      </c>
      <c r="D253" t="inlineStr">
        <is>
          <t>Construction</t>
        </is>
      </c>
    </row>
    <row r="254">
      <c r="A254" t="n">
        <v>249</v>
      </c>
      <c r="B254" t="inlineStr">
        <is>
          <t>Lamosaic India Ltd.</t>
        </is>
      </c>
      <c r="C254" t="inlineStr">
        <is>
          <t>LAMOSAIC</t>
        </is>
      </c>
      <c r="D254" t="inlineStr">
        <is>
          <t>Consumer Durables</t>
        </is>
      </c>
    </row>
    <row r="255">
      <c r="A255" t="n">
        <v>250</v>
      </c>
      <c r="B255" t="inlineStr">
        <is>
          <t>Lead Reclaim And Rubber Products Ltd.</t>
        </is>
      </c>
      <c r="C255" t="inlineStr">
        <is>
          <t>LRRPL</t>
        </is>
      </c>
      <c r="D255" t="inlineStr">
        <is>
          <t>Capital Goods</t>
        </is>
      </c>
    </row>
    <row r="256">
      <c r="A256" t="n">
        <v>251</v>
      </c>
      <c r="B256" t="inlineStr">
        <is>
          <t>LLOYDS LUXURIES Ltd.</t>
        </is>
      </c>
      <c r="C256" t="inlineStr">
        <is>
          <t>LLOYDS</t>
        </is>
      </c>
      <c r="D256" t="inlineStr">
        <is>
          <t>Consumer Services</t>
        </is>
      </c>
    </row>
    <row r="257">
      <c r="A257" t="n">
        <v>252</v>
      </c>
      <c r="B257" t="inlineStr">
        <is>
          <t>M.V.K. Agro Food Product Ltd.</t>
        </is>
      </c>
      <c r="C257" t="inlineStr">
        <is>
          <t>MVKAGRO</t>
        </is>
      </c>
      <c r="D257" t="inlineStr">
        <is>
          <t>Fast Moving Consumer Goods</t>
        </is>
      </c>
    </row>
    <row r="258">
      <c r="A258" t="n">
        <v>253</v>
      </c>
      <c r="B258" t="inlineStr">
        <is>
          <t>Macobs Technologies Ltd.</t>
        </is>
      </c>
      <c r="C258" t="inlineStr">
        <is>
          <t>MACOBSTECH</t>
        </is>
      </c>
      <c r="D258" t="inlineStr">
        <is>
          <t>Fast Moving Consumer Goods</t>
        </is>
      </c>
    </row>
    <row r="259">
      <c r="A259" t="n">
        <v>254</v>
      </c>
      <c r="B259" t="inlineStr">
        <is>
          <t>Madhusudan Masala Ltd.</t>
        </is>
      </c>
      <c r="C259" t="inlineStr">
        <is>
          <t>MADHUSUDAN</t>
        </is>
      </c>
      <c r="D259" t="inlineStr">
        <is>
          <t>Fast Moving Consumer Goods</t>
        </is>
      </c>
    </row>
    <row r="260">
      <c r="A260" t="n">
        <v>255</v>
      </c>
      <c r="B260" t="inlineStr">
        <is>
          <t>Madhya Pradesh Today Media Ltd.</t>
        </is>
      </c>
      <c r="C260" t="inlineStr">
        <is>
          <t>MPTODAY</t>
        </is>
      </c>
      <c r="D260" t="inlineStr">
        <is>
          <t>Media Entertainment &amp; Publication</t>
        </is>
      </c>
    </row>
    <row r="261">
      <c r="A261" t="n">
        <v>256</v>
      </c>
      <c r="B261" t="inlineStr">
        <is>
          <t>Magson Retail And Distribution Ltd.</t>
        </is>
      </c>
      <c r="C261" t="inlineStr">
        <is>
          <t>MAGSON</t>
        </is>
      </c>
      <c r="D261" t="inlineStr">
        <is>
          <t>Consumer Services</t>
        </is>
      </c>
    </row>
    <row r="262">
      <c r="A262" t="n">
        <v>257</v>
      </c>
      <c r="B262" t="inlineStr">
        <is>
          <t>Mahendra Realtors &amp; Infrastructure Ltd.</t>
        </is>
      </c>
      <c r="C262" t="inlineStr">
        <is>
          <t>MRIL</t>
        </is>
      </c>
      <c r="D262" t="inlineStr">
        <is>
          <t>Construction</t>
        </is>
      </c>
    </row>
    <row r="263">
      <c r="A263" t="n">
        <v>258</v>
      </c>
      <c r="B263" t="inlineStr">
        <is>
          <t>Mahickra Chemicals Ltd.</t>
        </is>
      </c>
      <c r="C263" t="inlineStr">
        <is>
          <t>MAHICKRA</t>
        </is>
      </c>
      <c r="D263" t="inlineStr">
        <is>
          <t>Chemicals</t>
        </is>
      </c>
    </row>
    <row r="264">
      <c r="A264" t="n">
        <v>259</v>
      </c>
      <c r="B264" t="inlineStr">
        <is>
          <t>Maitreya Medicare Ltd.</t>
        </is>
      </c>
      <c r="C264" t="inlineStr">
        <is>
          <t>MAITREYA</t>
        </is>
      </c>
      <c r="D264" t="inlineStr">
        <is>
          <t>Healthcare</t>
        </is>
      </c>
    </row>
    <row r="265">
      <c r="A265" t="n">
        <v>260</v>
      </c>
      <c r="B265" t="inlineStr">
        <is>
          <t>Maks Energy Solutions India Ltd.</t>
        </is>
      </c>
      <c r="C265" t="inlineStr">
        <is>
          <t>MAKS</t>
        </is>
      </c>
      <c r="D265" t="inlineStr">
        <is>
          <t>Capital Goods</t>
        </is>
      </c>
    </row>
    <row r="266">
      <c r="A266" t="n">
        <v>261</v>
      </c>
      <c r="B266" t="inlineStr">
        <is>
          <t>Manas Polymers and Energies Ltd.</t>
        </is>
      </c>
      <c r="C266" t="inlineStr">
        <is>
          <t>MPEL</t>
        </is>
      </c>
      <c r="D266" t="inlineStr">
        <is>
          <t>Capital Goods</t>
        </is>
      </c>
    </row>
    <row r="267">
      <c r="A267" t="n">
        <v>262</v>
      </c>
      <c r="B267" t="inlineStr">
        <is>
          <t>Manav Infra Projects Ltd.</t>
        </is>
      </c>
      <c r="C267" t="inlineStr">
        <is>
          <t>MANAV</t>
        </is>
      </c>
      <c r="D267" t="inlineStr">
        <is>
          <t>Construction</t>
        </is>
      </c>
    </row>
    <row r="268">
      <c r="A268" t="n">
        <v>263</v>
      </c>
      <c r="B268" t="inlineStr">
        <is>
          <t>Mandeep Auto Industries Ltd.</t>
        </is>
      </c>
      <c r="C268" t="inlineStr">
        <is>
          <t>MANDEEP</t>
        </is>
      </c>
      <c r="D268" t="inlineStr">
        <is>
          <t>Automobile and Auto Components</t>
        </is>
      </c>
    </row>
    <row r="269">
      <c r="A269" t="n">
        <v>264</v>
      </c>
      <c r="B269" t="inlineStr">
        <is>
          <t>Mangalam Alloys Ltd.</t>
        </is>
      </c>
      <c r="C269" t="inlineStr">
        <is>
          <t>MAL</t>
        </is>
      </c>
      <c r="D269" t="inlineStr">
        <is>
          <t>Capital Goods</t>
        </is>
      </c>
    </row>
    <row r="270">
      <c r="A270" t="n">
        <v>265</v>
      </c>
      <c r="B270" t="inlineStr">
        <is>
          <t>Manglam Infra &amp; Engineering Ltd.</t>
        </is>
      </c>
      <c r="C270" t="inlineStr">
        <is>
          <t>MIEL</t>
        </is>
      </c>
      <c r="D270" t="inlineStr">
        <is>
          <t>Services</t>
        </is>
      </c>
    </row>
    <row r="271">
      <c r="A271" t="n">
        <v>266</v>
      </c>
      <c r="B271" t="inlineStr">
        <is>
          <t>Manilam Industries India Ltd.</t>
        </is>
      </c>
      <c r="C271" t="inlineStr">
        <is>
          <t>MANILAM</t>
        </is>
      </c>
      <c r="D271" t="inlineStr">
        <is>
          <t>Consumer Durables</t>
        </is>
      </c>
    </row>
    <row r="272">
      <c r="A272" t="n">
        <v>267</v>
      </c>
      <c r="B272" t="inlineStr">
        <is>
          <t>Marc Technocrats Ltd.</t>
        </is>
      </c>
      <c r="C272" t="inlineStr">
        <is>
          <t>MARC</t>
        </is>
      </c>
      <c r="D272" t="inlineStr">
        <is>
          <t>Services</t>
        </is>
      </c>
    </row>
    <row r="273">
      <c r="A273" t="n">
        <v>268</v>
      </c>
      <c r="B273" t="inlineStr">
        <is>
          <t>Marco Cables &amp; Conductors Ltd.</t>
        </is>
      </c>
      <c r="C273" t="inlineStr">
        <is>
          <t>MARCO</t>
        </is>
      </c>
      <c r="D273" t="inlineStr">
        <is>
          <t>Capital Goods</t>
        </is>
      </c>
    </row>
    <row r="274">
      <c r="A274" t="n">
        <v>269</v>
      </c>
      <c r="B274" t="inlineStr">
        <is>
          <t>Marinetrans India Ltd.</t>
        </is>
      </c>
      <c r="C274" t="inlineStr">
        <is>
          <t>MARINETRAN</t>
        </is>
      </c>
      <c r="D274" t="inlineStr">
        <is>
          <t>Services</t>
        </is>
      </c>
    </row>
    <row r="275">
      <c r="A275" t="n">
        <v>270</v>
      </c>
      <c r="B275" t="inlineStr">
        <is>
          <t>Marushika Technology Ltd.</t>
        </is>
      </c>
      <c r="C275" t="inlineStr">
        <is>
          <t>MARUSHIKA</t>
        </is>
      </c>
      <c r="D275" t="inlineStr">
        <is>
          <t>Information Technology</t>
        </is>
      </c>
    </row>
    <row r="276">
      <c r="A276" t="n">
        <v>271</v>
      </c>
      <c r="B276" t="inlineStr">
        <is>
          <t>Marvel Decor Ltd.</t>
        </is>
      </c>
      <c r="C276" t="inlineStr">
        <is>
          <t>MDL</t>
        </is>
      </c>
      <c r="D276" t="inlineStr">
        <is>
          <t>Consumer Durables</t>
        </is>
      </c>
    </row>
    <row r="277">
      <c r="A277" t="n">
        <v>272</v>
      </c>
      <c r="B277" t="inlineStr">
        <is>
          <t>Mason Infratech Ltd.</t>
        </is>
      </c>
      <c r="C277" t="inlineStr">
        <is>
          <t>MASON</t>
        </is>
      </c>
      <c r="D277" t="inlineStr">
        <is>
          <t>Realty</t>
        </is>
      </c>
    </row>
    <row r="278">
      <c r="A278" t="n">
        <v>273</v>
      </c>
      <c r="B278" t="inlineStr">
        <is>
          <t>Master Components Ltd.</t>
        </is>
      </c>
      <c r="C278" t="inlineStr">
        <is>
          <t>MASTER</t>
        </is>
      </c>
      <c r="D278" t="inlineStr">
        <is>
          <t>Capital Goods</t>
        </is>
      </c>
    </row>
    <row r="279">
      <c r="A279" t="n">
        <v>274</v>
      </c>
      <c r="B279" t="inlineStr">
        <is>
          <t>Matrix Geo Solutions Ltd.</t>
        </is>
      </c>
      <c r="C279" t="inlineStr">
        <is>
          <t>MGSL</t>
        </is>
      </c>
      <c r="D279" t="inlineStr">
        <is>
          <t>Information Technology</t>
        </is>
      </c>
    </row>
    <row r="280">
      <c r="A280" t="n">
        <v>275</v>
      </c>
      <c r="B280" t="inlineStr">
        <is>
          <t>Maxposure Ltd.</t>
        </is>
      </c>
      <c r="C280" t="inlineStr">
        <is>
          <t>MAXPOSURE</t>
        </is>
      </c>
      <c r="D280" t="inlineStr">
        <is>
          <t>Media Entertainment &amp; Publication</t>
        </is>
      </c>
    </row>
    <row r="281">
      <c r="A281" t="n">
        <v>276</v>
      </c>
      <c r="B281" t="inlineStr">
        <is>
          <t>Maxvolt Energy Industries Ltd.</t>
        </is>
      </c>
      <c r="C281" t="inlineStr">
        <is>
          <t>MAXVOLT</t>
        </is>
      </c>
      <c r="D281" t="inlineStr">
        <is>
          <t>Automobile and Auto Components</t>
        </is>
      </c>
    </row>
    <row r="282">
      <c r="A282" t="n">
        <v>277</v>
      </c>
      <c r="B282" t="inlineStr">
        <is>
          <t>Mayasheel Ventures Ltd.</t>
        </is>
      </c>
      <c r="C282" t="inlineStr">
        <is>
          <t>MAYASHEEL</t>
        </is>
      </c>
      <c r="D282" t="inlineStr">
        <is>
          <t>Construction</t>
        </is>
      </c>
    </row>
    <row r="283">
      <c r="A283" t="n">
        <v>278</v>
      </c>
      <c r="B283" t="inlineStr">
        <is>
          <t>Mcon Rasayan India Ltd.</t>
        </is>
      </c>
      <c r="C283" t="inlineStr">
        <is>
          <t>MCON</t>
        </is>
      </c>
      <c r="D283" t="inlineStr">
        <is>
          <t>Construction Materials</t>
        </is>
      </c>
    </row>
    <row r="284">
      <c r="A284" t="n">
        <v>279</v>
      </c>
      <c r="B284" t="inlineStr">
        <is>
          <t>Medicamen Organics Ltd.</t>
        </is>
      </c>
      <c r="C284" t="inlineStr">
        <is>
          <t>MEDIORG</t>
        </is>
      </c>
      <c r="D284" t="inlineStr">
        <is>
          <t>Healthcare</t>
        </is>
      </c>
    </row>
    <row r="285">
      <c r="A285" t="n">
        <v>280</v>
      </c>
      <c r="B285" t="inlineStr">
        <is>
          <t>Medistep Healthcare Ltd.</t>
        </is>
      </c>
      <c r="C285" t="inlineStr">
        <is>
          <t>MEDISTEP</t>
        </is>
      </c>
      <c r="D285" t="inlineStr">
        <is>
          <t>Fast Moving Consumer Goods</t>
        </is>
      </c>
    </row>
    <row r="286">
      <c r="A286" t="n">
        <v>281</v>
      </c>
      <c r="B286" t="inlineStr">
        <is>
          <t>Mega Flex Plastics Ltd.</t>
        </is>
      </c>
      <c r="C286" t="inlineStr">
        <is>
          <t>MEGAFLEX</t>
        </is>
      </c>
      <c r="D286" t="inlineStr">
        <is>
          <t>Capital Goods</t>
        </is>
      </c>
    </row>
    <row r="287">
      <c r="A287" t="n">
        <v>282</v>
      </c>
      <c r="B287" t="inlineStr">
        <is>
          <t>Megatherm Induction Ltd.</t>
        </is>
      </c>
      <c r="C287" t="inlineStr">
        <is>
          <t>MEGATHERM</t>
        </is>
      </c>
      <c r="D287" t="inlineStr">
        <is>
          <t>Capital Goods</t>
        </is>
      </c>
    </row>
    <row r="288">
      <c r="A288" t="n">
        <v>283</v>
      </c>
      <c r="B288" t="inlineStr">
        <is>
          <t>Micropro Software Solutions Ltd.</t>
        </is>
      </c>
      <c r="C288" t="inlineStr">
        <is>
          <t>MICROPRO</t>
        </is>
      </c>
      <c r="D288" t="inlineStr">
        <is>
          <t>Information Technology</t>
        </is>
      </c>
    </row>
    <row r="289">
      <c r="A289" t="n">
        <v>284</v>
      </c>
      <c r="B289" t="inlineStr">
        <is>
          <t>MILTON INDUSTRIES LTD.</t>
        </is>
      </c>
      <c r="C289" t="inlineStr">
        <is>
          <t>MILTON</t>
        </is>
      </c>
      <c r="D289" t="inlineStr">
        <is>
          <t>Consumer Durables</t>
        </is>
      </c>
    </row>
    <row r="290">
      <c r="A290" t="n">
        <v>285</v>
      </c>
      <c r="B290" t="inlineStr">
        <is>
          <t>Mobilise App Lab Ltd.</t>
        </is>
      </c>
      <c r="C290" t="inlineStr">
        <is>
          <t>MOBILISE</t>
        </is>
      </c>
      <c r="D290" t="inlineStr">
        <is>
          <t>Information Technology</t>
        </is>
      </c>
    </row>
    <row r="291">
      <c r="A291" t="n">
        <v>286</v>
      </c>
      <c r="B291" t="inlineStr">
        <is>
          <t>Mohini Health &amp; Hygiene Ltd.</t>
        </is>
      </c>
      <c r="C291" t="inlineStr">
        <is>
          <t>MHHL</t>
        </is>
      </c>
      <c r="D291" t="inlineStr">
        <is>
          <t>Healthcare</t>
        </is>
      </c>
    </row>
    <row r="292">
      <c r="A292" t="n">
        <v>287</v>
      </c>
      <c r="B292" t="inlineStr">
        <is>
          <t>Mono Pharmacare Ltd.</t>
        </is>
      </c>
      <c r="C292" t="inlineStr">
        <is>
          <t>MONOPHARMA</t>
        </is>
      </c>
      <c r="D292" t="inlineStr">
        <is>
          <t>Healthcare</t>
        </is>
      </c>
    </row>
    <row r="293">
      <c r="A293" t="n">
        <v>288</v>
      </c>
      <c r="B293" t="inlineStr">
        <is>
          <t>Monolithisch India Ltd.</t>
        </is>
      </c>
      <c r="C293" t="inlineStr">
        <is>
          <t>MONOLITH</t>
        </is>
      </c>
      <c r="D293" t="inlineStr">
        <is>
          <t>Capital Goods</t>
        </is>
      </c>
    </row>
    <row r="294">
      <c r="A294" t="n">
        <v>289</v>
      </c>
      <c r="B294" t="inlineStr">
        <is>
          <t>Mos Utility Ltd.</t>
        </is>
      </c>
      <c r="C294" t="inlineStr">
        <is>
          <t>MOS</t>
        </is>
      </c>
      <c r="D294" t="inlineStr">
        <is>
          <t>Financial Services</t>
        </is>
      </c>
    </row>
    <row r="295">
      <c r="A295" t="n">
        <v>290</v>
      </c>
      <c r="B295" t="inlineStr">
        <is>
          <t>Moving Media Entertainment Ltd.</t>
        </is>
      </c>
      <c r="C295" t="inlineStr">
        <is>
          <t>MMEL</t>
        </is>
      </c>
      <c r="D295" t="inlineStr">
        <is>
          <t>Services</t>
        </is>
      </c>
    </row>
    <row r="296">
      <c r="A296" t="n">
        <v>291</v>
      </c>
      <c r="B296" t="inlineStr">
        <is>
          <t>Moxsh Overseas Educon Ltd.</t>
        </is>
      </c>
      <c r="C296" t="inlineStr">
        <is>
          <t>MOXSH</t>
        </is>
      </c>
      <c r="D296" t="inlineStr">
        <is>
          <t>Consumer Services</t>
        </is>
      </c>
    </row>
    <row r="297">
      <c r="A297" t="n">
        <v>292</v>
      </c>
      <c r="B297" t="inlineStr">
        <is>
          <t>Munish Forge Ltd.</t>
        </is>
      </c>
      <c r="C297" t="inlineStr">
        <is>
          <t>MUNISH</t>
        </is>
      </c>
      <c r="D297" t="inlineStr">
        <is>
          <t>Capital Goods</t>
        </is>
      </c>
    </row>
    <row r="298">
      <c r="A298" t="n">
        <v>293</v>
      </c>
      <c r="B298" t="inlineStr">
        <is>
          <t>My Mudra Fincorp Ltd.</t>
        </is>
      </c>
      <c r="C298" t="inlineStr">
        <is>
          <t>MYMUDRA</t>
        </is>
      </c>
      <c r="D298" t="inlineStr">
        <is>
          <t>Financial Services</t>
        </is>
      </c>
    </row>
    <row r="299">
      <c r="A299" t="n">
        <v>294</v>
      </c>
      <c r="B299" t="inlineStr">
        <is>
          <t>N R Vandana Tex Industries Ltd.</t>
        </is>
      </c>
      <c r="C299" t="inlineStr">
        <is>
          <t>NRVANDANA</t>
        </is>
      </c>
      <c r="D299" t="inlineStr">
        <is>
          <t>Textiles</t>
        </is>
      </c>
    </row>
    <row r="300">
      <c r="A300" t="n">
        <v>295</v>
      </c>
      <c r="B300" t="inlineStr">
        <is>
          <t>Naman Industries Proxima Ltd.</t>
        </is>
      </c>
      <c r="C300" t="inlineStr">
        <is>
          <t>NAMAN</t>
        </is>
      </c>
      <c r="D300" t="inlineStr">
        <is>
          <t>Consumer Durables</t>
        </is>
      </c>
    </row>
    <row r="301">
      <c r="A301" t="n">
        <v>296</v>
      </c>
      <c r="B301" t="inlineStr">
        <is>
          <t>Namo eWaste Management Ltd.</t>
        </is>
      </c>
      <c r="C301" t="inlineStr">
        <is>
          <t>NAMOEWASTE</t>
        </is>
      </c>
      <c r="D301" t="inlineStr">
        <is>
          <t>Utilities</t>
        </is>
      </c>
    </row>
    <row r="302">
      <c r="A302" t="n">
        <v>297</v>
      </c>
      <c r="B302" t="inlineStr">
        <is>
          <t>Neelam Linens and Garments (India) Ltd.</t>
        </is>
      </c>
      <c r="C302" t="inlineStr">
        <is>
          <t>NEELAM</t>
        </is>
      </c>
      <c r="D302" t="inlineStr">
        <is>
          <t>Textiles</t>
        </is>
      </c>
    </row>
    <row r="303">
      <c r="A303" t="n">
        <v>298</v>
      </c>
      <c r="B303" t="inlineStr">
        <is>
          <t>Neochem Bio Solutions Ltd.</t>
        </is>
      </c>
      <c r="C303" t="inlineStr">
        <is>
          <t>NEOCHEM</t>
        </is>
      </c>
      <c r="D303" t="inlineStr">
        <is>
          <t>Chemicals</t>
        </is>
      </c>
    </row>
    <row r="304">
      <c r="A304" t="n">
        <v>299</v>
      </c>
      <c r="B304" t="inlineStr">
        <is>
          <t>Nephro Care India Ltd.</t>
        </is>
      </c>
      <c r="C304" t="inlineStr">
        <is>
          <t>NEPHROCARE</t>
        </is>
      </c>
      <c r="D304" t="inlineStr">
        <is>
          <t>Healthcare</t>
        </is>
      </c>
    </row>
    <row r="305">
      <c r="A305" t="n">
        <v>300</v>
      </c>
      <c r="B305" t="inlineStr">
        <is>
          <t>Neptune Petrochemicals Ltd.</t>
        </is>
      </c>
      <c r="C305" t="inlineStr">
        <is>
          <t>NEPTUNE</t>
        </is>
      </c>
      <c r="D305" t="inlineStr">
        <is>
          <t>Chemicals</t>
        </is>
      </c>
    </row>
    <row r="306">
      <c r="A306" t="n">
        <v>301</v>
      </c>
      <c r="B306" t="inlineStr">
        <is>
          <t>NET AVENUE TECHNOLOGIES Ltd.</t>
        </is>
      </c>
      <c r="C306" t="inlineStr">
        <is>
          <t>CBAZAAR</t>
        </is>
      </c>
      <c r="D306" t="inlineStr">
        <is>
          <t>Consumer Services</t>
        </is>
      </c>
    </row>
    <row r="307">
      <c r="A307" t="n">
        <v>302</v>
      </c>
      <c r="B307" t="inlineStr">
        <is>
          <t>Newjaisa Technologies Ltd.</t>
        </is>
      </c>
      <c r="C307" t="inlineStr">
        <is>
          <t>NEWJAISA</t>
        </is>
      </c>
      <c r="D307" t="inlineStr">
        <is>
          <t>Information Technology</t>
        </is>
      </c>
    </row>
    <row r="308">
      <c r="A308" t="n">
        <v>303</v>
      </c>
      <c r="B308" t="inlineStr">
        <is>
          <t>Newmalayalam Steel Ltd.</t>
        </is>
      </c>
      <c r="C308" t="inlineStr">
        <is>
          <t>NMSTEEL</t>
        </is>
      </c>
      <c r="D308" t="inlineStr">
        <is>
          <t>Capital Goods</t>
        </is>
      </c>
    </row>
    <row r="309">
      <c r="A309" t="n">
        <v>304</v>
      </c>
      <c r="B309" t="inlineStr">
        <is>
          <t>NFP Sampoorna Foods Ltd.</t>
        </is>
      </c>
      <c r="C309" t="inlineStr">
        <is>
          <t>NFPSAMPOOR</t>
        </is>
      </c>
      <c r="D309" t="inlineStr">
        <is>
          <t>Fast Moving Consumer Goods</t>
        </is>
      </c>
    </row>
    <row r="310">
      <c r="A310" t="n">
        <v>305</v>
      </c>
      <c r="B310" t="inlineStr">
        <is>
          <t>Nidan Laboratories And Healthcare Ltd.</t>
        </is>
      </c>
      <c r="C310" t="inlineStr">
        <is>
          <t>NIDAN</t>
        </is>
      </c>
      <c r="D310" t="inlineStr">
        <is>
          <t>Healthcare</t>
        </is>
      </c>
    </row>
    <row r="311">
      <c r="A311" t="n">
        <v>306</v>
      </c>
      <c r="B311" t="inlineStr">
        <is>
          <t>NIKITA GREENTECH RECYCLING Ltd.</t>
        </is>
      </c>
      <c r="C311" t="inlineStr">
        <is>
          <t>NIKITA</t>
        </is>
      </c>
      <c r="D311" t="inlineStr">
        <is>
          <t>Forest Materials</t>
        </is>
      </c>
    </row>
    <row r="312">
      <c r="A312" t="n">
        <v>307</v>
      </c>
      <c r="B312" t="inlineStr">
        <is>
          <t>Nirman Agri Genetics Ltd.</t>
        </is>
      </c>
      <c r="C312" t="inlineStr">
        <is>
          <t>NIRMAN</t>
        </is>
      </c>
      <c r="D312" t="inlineStr">
        <is>
          <t>Fast Moving Consumer Goods</t>
        </is>
      </c>
    </row>
    <row r="313">
      <c r="A313" t="n">
        <v>308</v>
      </c>
      <c r="B313" t="inlineStr">
        <is>
          <t>OBSC Perfection Ltd.</t>
        </is>
      </c>
      <c r="C313" t="inlineStr">
        <is>
          <t>OBSCP</t>
        </is>
      </c>
      <c r="D313" t="inlineStr">
        <is>
          <t>Automobile and Auto Components</t>
        </is>
      </c>
    </row>
    <row r="314">
      <c r="A314" t="n">
        <v>309</v>
      </c>
      <c r="B314" t="inlineStr">
        <is>
          <t>Omfurn India Ltd.</t>
        </is>
      </c>
      <c r="C314" t="inlineStr">
        <is>
          <t>OMFURN</t>
        </is>
      </c>
      <c r="D314" t="inlineStr">
        <is>
          <t>Consumer Durables</t>
        </is>
      </c>
    </row>
    <row r="315">
      <c r="A315" t="n">
        <v>310</v>
      </c>
      <c r="B315" t="inlineStr">
        <is>
          <t>On Door Concepts Ltd.</t>
        </is>
      </c>
      <c r="C315" t="inlineStr">
        <is>
          <t>ONDOOR</t>
        </is>
      </c>
      <c r="D315" t="inlineStr">
        <is>
          <t>Consumer Services</t>
        </is>
      </c>
    </row>
    <row r="316">
      <c r="A316" t="n">
        <v>311</v>
      </c>
      <c r="B316" t="inlineStr">
        <is>
          <t>Oneclick Logistics India Ltd.</t>
        </is>
      </c>
      <c r="C316" t="inlineStr">
        <is>
          <t>OLIL</t>
        </is>
      </c>
      <c r="D316" t="inlineStr">
        <is>
          <t>Services</t>
        </is>
      </c>
    </row>
    <row r="317">
      <c r="A317" t="n">
        <v>312</v>
      </c>
      <c r="B317" t="inlineStr">
        <is>
          <t>Onyx Biotec Ltd.</t>
        </is>
      </c>
      <c r="C317" t="inlineStr">
        <is>
          <t>ONYX</t>
        </is>
      </c>
      <c r="D317" t="inlineStr">
        <is>
          <t>Healthcare</t>
        </is>
      </c>
    </row>
    <row r="318">
      <c r="A318" t="n">
        <v>313</v>
      </c>
      <c r="B318" t="inlineStr">
        <is>
          <t>Optivalue Tek Consulting Ltd.</t>
        </is>
      </c>
      <c r="C318" t="inlineStr">
        <is>
          <t>OPTIVALUE</t>
        </is>
      </c>
      <c r="D318" t="inlineStr">
        <is>
          <t>Information Technology</t>
        </is>
      </c>
    </row>
    <row r="319">
      <c r="A319" t="n">
        <v>314</v>
      </c>
      <c r="B319" t="inlineStr">
        <is>
          <t>Oriana Power Ltd.</t>
        </is>
      </c>
      <c r="C319" t="inlineStr">
        <is>
          <t>ORIANA</t>
        </is>
      </c>
      <c r="D319" t="inlineStr">
        <is>
          <t>Capital Goods</t>
        </is>
      </c>
    </row>
    <row r="320">
      <c r="A320" t="n">
        <v>315</v>
      </c>
      <c r="B320" t="inlineStr">
        <is>
          <t>Osel Devices Ltd.</t>
        </is>
      </c>
      <c r="C320" t="inlineStr">
        <is>
          <t>OSELDEVICE</t>
        </is>
      </c>
      <c r="D320" t="inlineStr">
        <is>
          <t>Healthcare</t>
        </is>
      </c>
    </row>
    <row r="321">
      <c r="A321" t="n">
        <v>316</v>
      </c>
      <c r="B321" t="inlineStr">
        <is>
          <t>Owais Metal and Mineral Processing Ltd.</t>
        </is>
      </c>
      <c r="C321" t="inlineStr">
        <is>
          <t>OWAIS</t>
        </is>
      </c>
      <c r="D321" t="inlineStr">
        <is>
          <t>Metals &amp; Mining</t>
        </is>
      </c>
    </row>
    <row r="322">
      <c r="A322" t="n">
        <v>317</v>
      </c>
      <c r="B322" t="inlineStr">
        <is>
          <t>P S Raj Steels Ltd.</t>
        </is>
      </c>
      <c r="C322" t="inlineStr">
        <is>
          <t>PSRAJ</t>
        </is>
      </c>
      <c r="D322" t="inlineStr">
        <is>
          <t>Capital Goods</t>
        </is>
      </c>
    </row>
    <row r="323">
      <c r="A323" t="n">
        <v>318</v>
      </c>
      <c r="B323" t="inlineStr">
        <is>
          <t>P. E. Analytics Ltd.</t>
        </is>
      </c>
      <c r="C323" t="inlineStr">
        <is>
          <t>PROPEQUITY</t>
        </is>
      </c>
      <c r="D323" t="inlineStr">
        <is>
          <t>Realty</t>
        </is>
      </c>
    </row>
    <row r="324">
      <c r="A324" t="n">
        <v>319</v>
      </c>
      <c r="B324" t="inlineStr">
        <is>
          <t>Paragon Fine and Speciality Chemical Ltd.</t>
        </is>
      </c>
      <c r="C324" t="inlineStr">
        <is>
          <t>PARAGON</t>
        </is>
      </c>
      <c r="D324" t="inlineStr">
        <is>
          <t>Chemicals</t>
        </is>
      </c>
    </row>
    <row r="325">
      <c r="A325" t="n">
        <v>320</v>
      </c>
      <c r="B325" t="inlineStr">
        <is>
          <t>Paramatrix Technologies Ltd.</t>
        </is>
      </c>
      <c r="C325" t="inlineStr">
        <is>
          <t>PARAMATRIX</t>
        </is>
      </c>
      <c r="D325" t="inlineStr">
        <is>
          <t>Information Technology</t>
        </is>
      </c>
    </row>
    <row r="326">
      <c r="A326" t="n">
        <v>321</v>
      </c>
      <c r="B326" t="inlineStr">
        <is>
          <t>PARAMOUNT DYE TEC Ltd.</t>
        </is>
      </c>
      <c r="C326" t="inlineStr">
        <is>
          <t>PARAMOUNT</t>
        </is>
      </c>
      <c r="D326" t="inlineStr">
        <is>
          <t>Textiles</t>
        </is>
      </c>
    </row>
    <row r="327">
      <c r="A327" t="n">
        <v>322</v>
      </c>
      <c r="B327" t="inlineStr">
        <is>
          <t>Paramount Speciality Forgings Ltd.</t>
        </is>
      </c>
      <c r="C327" t="inlineStr">
        <is>
          <t>PSFL</t>
        </is>
      </c>
      <c r="D327" t="inlineStr">
        <is>
          <t>Capital Goods</t>
        </is>
      </c>
    </row>
    <row r="328">
      <c r="A328" t="n">
        <v>323</v>
      </c>
      <c r="B328" t="inlineStr">
        <is>
          <t>PARAMPARA DAIRY DELIGHTS LTD.</t>
        </is>
      </c>
      <c r="C328" t="inlineStr">
        <is>
          <t>PARAMPARA</t>
        </is>
      </c>
      <c r="D328" t="inlineStr">
        <is>
          <t>Capital Goods</t>
        </is>
      </c>
    </row>
    <row r="329">
      <c r="A329" t="n">
        <v>324</v>
      </c>
      <c r="B329" t="inlineStr">
        <is>
          <t>Parth Electricals &amp; Engineering Ltd.</t>
        </is>
      </c>
      <c r="C329" t="inlineStr">
        <is>
          <t>PARTH</t>
        </is>
      </c>
      <c r="D329" t="inlineStr">
        <is>
          <t>Capital Goods</t>
        </is>
      </c>
    </row>
    <row r="330">
      <c r="A330" t="n">
        <v>325</v>
      </c>
      <c r="B330" t="inlineStr">
        <is>
          <t>Party Cruisers Ltd.</t>
        </is>
      </c>
      <c r="C330" t="inlineStr">
        <is>
          <t>PARTYCRUS</t>
        </is>
      </c>
      <c r="D330" t="inlineStr">
        <is>
          <t>Consumer Services</t>
        </is>
      </c>
    </row>
    <row r="331">
      <c r="A331" t="n">
        <v>326</v>
      </c>
      <c r="B331" t="inlineStr">
        <is>
          <t>Patil Automation Ltd.</t>
        </is>
      </c>
      <c r="C331" t="inlineStr">
        <is>
          <t>PATILAUTOM</t>
        </is>
      </c>
      <c r="D331" t="inlineStr">
        <is>
          <t>Capital Goods</t>
        </is>
      </c>
    </row>
    <row r="332">
      <c r="A332" t="n">
        <v>327</v>
      </c>
      <c r="B332" t="inlineStr">
        <is>
          <t>Pelatro Ltd.</t>
        </is>
      </c>
      <c r="C332" t="inlineStr">
        <is>
          <t>PELATRO</t>
        </is>
      </c>
      <c r="D332" t="inlineStr">
        <is>
          <t>Media Entertainment &amp; Publication</t>
        </is>
      </c>
    </row>
    <row r="333">
      <c r="A333" t="n">
        <v>328</v>
      </c>
      <c r="B333" t="inlineStr">
        <is>
          <t>Pentagon Rubber Ltd.</t>
        </is>
      </c>
      <c r="C333" t="inlineStr">
        <is>
          <t>PENTAGON</t>
        </is>
      </c>
      <c r="D333" t="inlineStr">
        <is>
          <t>Capital Goods</t>
        </is>
      </c>
    </row>
    <row r="334">
      <c r="A334" t="n">
        <v>329</v>
      </c>
      <c r="B334" t="inlineStr">
        <is>
          <t>Petro Carbon and Chemicals Ltd.</t>
        </is>
      </c>
      <c r="C334" t="inlineStr">
        <is>
          <t>PCCL</t>
        </is>
      </c>
      <c r="D334" t="inlineStr">
        <is>
          <t>Metals &amp; Mining</t>
        </is>
      </c>
    </row>
    <row r="335">
      <c r="A335" t="n">
        <v>330</v>
      </c>
      <c r="B335" t="inlineStr">
        <is>
          <t>Phantom Digital Effects Ltd.</t>
        </is>
      </c>
      <c r="C335" t="inlineStr">
        <is>
          <t>PHANTOMFX</t>
        </is>
      </c>
      <c r="D335" t="inlineStr">
        <is>
          <t>Media Entertainment &amp; Publication</t>
        </is>
      </c>
    </row>
    <row r="336">
      <c r="A336" t="n">
        <v>331</v>
      </c>
      <c r="B336" t="inlineStr">
        <is>
          <t>Phoenix Overseas Ltd.</t>
        </is>
      </c>
      <c r="C336" t="inlineStr">
        <is>
          <t>PHOGLOBAL</t>
        </is>
      </c>
      <c r="D336" t="inlineStr">
        <is>
          <t>Services</t>
        </is>
      </c>
    </row>
    <row r="337">
      <c r="A337" t="n">
        <v>332</v>
      </c>
      <c r="B337" t="inlineStr">
        <is>
          <t>Picturepost Studios Ltd.</t>
        </is>
      </c>
      <c r="C337" t="inlineStr">
        <is>
          <t>PPSL</t>
        </is>
      </c>
      <c r="D337" t="inlineStr">
        <is>
          <t>Media Entertainment &amp; Publication</t>
        </is>
      </c>
    </row>
    <row r="338">
      <c r="A338" t="n">
        <v>333</v>
      </c>
      <c r="B338" t="inlineStr">
        <is>
          <t>Plada Infotech Services Ltd.</t>
        </is>
      </c>
      <c r="C338" t="inlineStr">
        <is>
          <t>PLADAINFO</t>
        </is>
      </c>
      <c r="D338" t="inlineStr">
        <is>
          <t>Services</t>
        </is>
      </c>
    </row>
    <row r="339">
      <c r="A339" t="n">
        <v>334</v>
      </c>
      <c r="B339" t="inlineStr">
        <is>
          <t>Polysil Irrigation Systems Ltd.</t>
        </is>
      </c>
      <c r="C339" t="inlineStr">
        <is>
          <t>POLYSIL</t>
        </is>
      </c>
      <c r="D339" t="inlineStr">
        <is>
          <t>Capital Goods</t>
        </is>
      </c>
    </row>
    <row r="340">
      <c r="A340" t="n">
        <v>335</v>
      </c>
      <c r="B340" t="inlineStr">
        <is>
          <t>Positron Energy Ltd.</t>
        </is>
      </c>
      <c r="C340" t="inlineStr">
        <is>
          <t>POSITRON</t>
        </is>
      </c>
      <c r="D340" t="inlineStr">
        <is>
          <t>Services</t>
        </is>
      </c>
    </row>
    <row r="341">
      <c r="A341" t="n">
        <v>336</v>
      </c>
      <c r="B341" t="inlineStr">
        <is>
          <t>Pramara Promotions Ltd.</t>
        </is>
      </c>
      <c r="C341" t="inlineStr">
        <is>
          <t>PRAMARA</t>
        </is>
      </c>
      <c r="D341" t="inlineStr">
        <is>
          <t>Media Entertainment &amp; Publication</t>
        </is>
      </c>
    </row>
    <row r="342">
      <c r="A342" t="n">
        <v>337</v>
      </c>
      <c r="B342" t="inlineStr">
        <is>
          <t>Pranik Logistics Ltd.</t>
        </is>
      </c>
      <c r="C342" t="inlineStr">
        <is>
          <t>PRANIK</t>
        </is>
      </c>
      <c r="D342" t="inlineStr">
        <is>
          <t>Services</t>
        </is>
      </c>
    </row>
    <row r="343">
      <c r="A343" t="n">
        <v>338</v>
      </c>
      <c r="B343" t="inlineStr">
        <is>
          <t>Pratham EPC Projects Ltd.</t>
        </is>
      </c>
      <c r="C343" t="inlineStr">
        <is>
          <t>PRATHAM</t>
        </is>
      </c>
      <c r="D343" t="inlineStr">
        <is>
          <t>Construction</t>
        </is>
      </c>
    </row>
    <row r="344">
      <c r="A344" t="n">
        <v>339</v>
      </c>
      <c r="B344" t="inlineStr">
        <is>
          <t>Precision Metaliks Ltd.</t>
        </is>
      </c>
      <c r="C344" t="inlineStr">
        <is>
          <t>PRECISION</t>
        </is>
      </c>
      <c r="D344" t="inlineStr">
        <is>
          <t>Automobile and Auto Components</t>
        </is>
      </c>
    </row>
    <row r="345">
      <c r="A345" t="n">
        <v>340</v>
      </c>
      <c r="B345" t="inlineStr">
        <is>
          <t>Premier Roadlines Ltd.</t>
        </is>
      </c>
      <c r="C345" t="inlineStr">
        <is>
          <t>PRLIND</t>
        </is>
      </c>
      <c r="D345" t="inlineStr">
        <is>
          <t>Services</t>
        </is>
      </c>
    </row>
    <row r="346">
      <c r="A346" t="n">
        <v>341</v>
      </c>
      <c r="B346" t="inlineStr">
        <is>
          <t>Premium Plast Ltd.</t>
        </is>
      </c>
      <c r="C346" t="inlineStr">
        <is>
          <t>PREMIUM</t>
        </is>
      </c>
      <c r="D346" t="inlineStr">
        <is>
          <t>Automobile and Auto Components</t>
        </is>
      </c>
    </row>
    <row r="347">
      <c r="A347" t="n">
        <v>342</v>
      </c>
      <c r="B347" t="inlineStr">
        <is>
          <t>Presstonic Engineering Ltd.</t>
        </is>
      </c>
      <c r="C347" t="inlineStr">
        <is>
          <t>PRESSTONIC</t>
        </is>
      </c>
      <c r="D347" t="inlineStr">
        <is>
          <t>Capital Goods</t>
        </is>
      </c>
    </row>
    <row r="348">
      <c r="A348" t="n">
        <v>343</v>
      </c>
      <c r="B348" t="inlineStr">
        <is>
          <t>Prime Cable Industries Ltd.</t>
        </is>
      </c>
      <c r="C348" t="inlineStr">
        <is>
          <t>PRIMECAB</t>
        </is>
      </c>
      <c r="D348" t="inlineStr">
        <is>
          <t>Capital Goods</t>
        </is>
      </c>
    </row>
    <row r="349">
      <c r="A349" t="n">
        <v>344</v>
      </c>
      <c r="B349" t="inlineStr">
        <is>
          <t>Pritika Engineering Components Ltd.</t>
        </is>
      </c>
      <c r="C349" t="inlineStr">
        <is>
          <t>PRITIKA</t>
        </is>
      </c>
      <c r="D349" t="inlineStr">
        <is>
          <t>Automobile and Auto Components</t>
        </is>
      </c>
    </row>
    <row r="350">
      <c r="A350" t="n">
        <v>345</v>
      </c>
      <c r="B350" t="inlineStr">
        <is>
          <t>Prizor Viztech Ltd.</t>
        </is>
      </c>
      <c r="C350" t="inlineStr">
        <is>
          <t>PRIZOR</t>
        </is>
      </c>
      <c r="D350" t="inlineStr">
        <is>
          <t>Capital Goods</t>
        </is>
      </c>
    </row>
    <row r="351">
      <c r="A351" t="n">
        <v>346</v>
      </c>
      <c r="B351" t="inlineStr">
        <is>
          <t>Pro FX Tech Ltd.</t>
        </is>
      </c>
      <c r="C351" t="inlineStr">
        <is>
          <t>PROFX</t>
        </is>
      </c>
      <c r="D351" t="inlineStr">
        <is>
          <t>Consumer Durables</t>
        </is>
      </c>
    </row>
    <row r="352">
      <c r="A352" t="n">
        <v>347</v>
      </c>
      <c r="B352" t="inlineStr">
        <is>
          <t>Prolife Industries Ltd.</t>
        </is>
      </c>
      <c r="C352" t="inlineStr">
        <is>
          <t>PROLIFE</t>
        </is>
      </c>
      <c r="D352" t="inlineStr">
        <is>
          <t>Chemicals</t>
        </is>
      </c>
    </row>
    <row r="353">
      <c r="A353" t="n">
        <v>348</v>
      </c>
      <c r="B353" t="inlineStr">
        <is>
          <t>Proventus Agrocom Ltd.</t>
        </is>
      </c>
      <c r="C353" t="inlineStr">
        <is>
          <t>PROV</t>
        </is>
      </c>
      <c r="D353" t="inlineStr">
        <is>
          <t>Fast Moving Consumer Goods</t>
        </is>
      </c>
    </row>
    <row r="354">
      <c r="A354" t="n">
        <v>349</v>
      </c>
      <c r="B354" t="inlineStr">
        <is>
          <t>Pulz Electronics Ltd.</t>
        </is>
      </c>
      <c r="C354" t="inlineStr">
        <is>
          <t>PULZ</t>
        </is>
      </c>
      <c r="D354" t="inlineStr">
        <is>
          <t>Consumer Durables</t>
        </is>
      </c>
    </row>
    <row r="355">
      <c r="A355" t="n">
        <v>350</v>
      </c>
      <c r="B355" t="inlineStr">
        <is>
          <t>Purple United Sales Ltd.</t>
        </is>
      </c>
      <c r="C355" t="inlineStr">
        <is>
          <t>PURPLEUTED</t>
        </is>
      </c>
      <c r="D355" t="inlineStr">
        <is>
          <t>Textiles</t>
        </is>
      </c>
    </row>
    <row r="356">
      <c r="A356" t="n">
        <v>351</v>
      </c>
      <c r="B356" t="inlineStr">
        <is>
          <t>Purv Flexipack Ltd.</t>
        </is>
      </c>
      <c r="C356" t="inlineStr">
        <is>
          <t>PURVFLEXI</t>
        </is>
      </c>
      <c r="D356" t="inlineStr">
        <is>
          <t>Capital Goods</t>
        </is>
      </c>
    </row>
    <row r="357">
      <c r="A357" t="n">
        <v>352</v>
      </c>
      <c r="B357" t="inlineStr">
        <is>
          <t>Pushpa Jewellers Ltd.</t>
        </is>
      </c>
      <c r="C357" t="inlineStr">
        <is>
          <t>PUSHPA</t>
        </is>
      </c>
      <c r="D357" t="inlineStr">
        <is>
          <t>Consumer Durables</t>
        </is>
      </c>
    </row>
    <row r="358">
      <c r="A358" t="n">
        <v>353</v>
      </c>
      <c r="B358" t="inlineStr">
        <is>
          <t>Q-Line Biotech Ltd.</t>
        </is>
      </c>
      <c r="C358" t="inlineStr">
        <is>
          <t>QLINE</t>
        </is>
      </c>
      <c r="D358" t="inlineStr">
        <is>
          <t>Healthcare</t>
        </is>
      </c>
    </row>
    <row r="359">
      <c r="A359" t="n">
        <v>354</v>
      </c>
      <c r="B359" t="inlineStr">
        <is>
          <t>QUADPRO ITES Ltd.</t>
        </is>
      </c>
      <c r="C359" t="inlineStr">
        <is>
          <t>QUADPRO</t>
        </is>
      </c>
      <c r="D359" t="inlineStr">
        <is>
          <t>Information Technology</t>
        </is>
      </c>
    </row>
    <row r="360">
      <c r="A360" t="n">
        <v>355</v>
      </c>
      <c r="B360" t="inlineStr">
        <is>
          <t>Quality Foils (India) Ltd.</t>
        </is>
      </c>
      <c r="C360" t="inlineStr">
        <is>
          <t>QFIL</t>
        </is>
      </c>
      <c r="D360" t="inlineStr">
        <is>
          <t>Capital Goods</t>
        </is>
      </c>
    </row>
    <row r="361">
      <c r="A361" t="n">
        <v>356</v>
      </c>
      <c r="B361" t="inlineStr">
        <is>
          <t>Quest Laboratories Ltd.</t>
        </is>
      </c>
      <c r="C361" t="inlineStr">
        <is>
          <t>QUESTLAB</t>
        </is>
      </c>
      <c r="D361" t="inlineStr">
        <is>
          <t>Healthcare</t>
        </is>
      </c>
    </row>
    <row r="362">
      <c r="A362" t="n">
        <v>357</v>
      </c>
      <c r="B362" t="inlineStr">
        <is>
          <t>Quicktouch Technologies Ltd.</t>
        </is>
      </c>
      <c r="C362" t="inlineStr">
        <is>
          <t>QUICKTOUCH</t>
        </is>
      </c>
      <c r="D362" t="inlineStr">
        <is>
          <t>Services</t>
        </is>
      </c>
    </row>
    <row r="363">
      <c r="A363" t="n">
        <v>358</v>
      </c>
      <c r="B363" t="inlineStr">
        <is>
          <t>QVC Exports Ltd.</t>
        </is>
      </c>
      <c r="C363" t="inlineStr">
        <is>
          <t>QVCEL</t>
        </is>
      </c>
      <c r="D363" t="inlineStr">
        <is>
          <t>Metals &amp; Mining</t>
        </is>
      </c>
    </row>
    <row r="364">
      <c r="A364" t="n">
        <v>359</v>
      </c>
      <c r="B364" t="inlineStr">
        <is>
          <t>Rachana Infrastructure Ltd.</t>
        </is>
      </c>
      <c r="C364" t="inlineStr">
        <is>
          <t>RILINFRA</t>
        </is>
      </c>
      <c r="D364" t="inlineStr">
        <is>
          <t>Construction</t>
        </is>
      </c>
    </row>
    <row r="365">
      <c r="A365" t="n">
        <v>360</v>
      </c>
      <c r="B365" t="inlineStr">
        <is>
          <t>Radiowalla Network Ltd.</t>
        </is>
      </c>
      <c r="C365" t="inlineStr">
        <is>
          <t>RADIOWALLA</t>
        </is>
      </c>
      <c r="D365" t="inlineStr">
        <is>
          <t>Media Entertainment &amp; Publication</t>
        </is>
      </c>
    </row>
    <row r="366">
      <c r="A366" t="n">
        <v>361</v>
      </c>
      <c r="B366" t="inlineStr">
        <is>
          <t>Rajgor Castor Derivatives Ltd.</t>
        </is>
      </c>
      <c r="C366" t="inlineStr">
        <is>
          <t>RCDL</t>
        </is>
      </c>
      <c r="D366" t="inlineStr">
        <is>
          <t>Fast Moving Consumer Goods</t>
        </is>
      </c>
    </row>
    <row r="367">
      <c r="A367" t="n">
        <v>362</v>
      </c>
      <c r="B367" t="inlineStr">
        <is>
          <t>Rajputana Biodiesel Ltd.</t>
        </is>
      </c>
      <c r="C367" t="inlineStr">
        <is>
          <t>RAJPUTANA</t>
        </is>
      </c>
      <c r="D367" t="inlineStr">
        <is>
          <t>Oil Gas &amp; Consumable Fuels</t>
        </is>
      </c>
    </row>
    <row r="368">
      <c r="A368" t="n">
        <v>363</v>
      </c>
      <c r="B368" t="inlineStr">
        <is>
          <t>Rajputana Industries Ltd.</t>
        </is>
      </c>
      <c r="C368" t="inlineStr">
        <is>
          <t>RAJINDLTD</t>
        </is>
      </c>
      <c r="D368" t="inlineStr">
        <is>
          <t>Capital Goods</t>
        </is>
      </c>
    </row>
    <row r="369">
      <c r="A369" t="n">
        <v>364</v>
      </c>
      <c r="B369" t="inlineStr">
        <is>
          <t>Rama Telecom Ltd.</t>
        </is>
      </c>
      <c r="C369" t="inlineStr">
        <is>
          <t>RTL</t>
        </is>
      </c>
      <c r="D369" t="inlineStr">
        <is>
          <t>Telecommunication</t>
        </is>
      </c>
    </row>
    <row r="370">
      <c r="A370" t="n">
        <v>365</v>
      </c>
      <c r="B370" t="inlineStr">
        <is>
          <t>Ramdevbaba Solvent Ltd.</t>
        </is>
      </c>
      <c r="C370" t="inlineStr">
        <is>
          <t>RBS</t>
        </is>
      </c>
      <c r="D370" t="inlineStr">
        <is>
          <t>Fast Moving Consumer Goods</t>
        </is>
      </c>
    </row>
    <row r="371">
      <c r="A371" t="n">
        <v>366</v>
      </c>
      <c r="B371" t="inlineStr">
        <is>
          <t>Rapid Fleet Management Services Ltd.</t>
        </is>
      </c>
      <c r="C371" t="inlineStr">
        <is>
          <t>RAPIDFLEET</t>
        </is>
      </c>
      <c r="D371" t="inlineStr">
        <is>
          <t>Services</t>
        </is>
      </c>
    </row>
    <row r="372">
      <c r="A372" t="n">
        <v>367</v>
      </c>
      <c r="B372" t="inlineStr">
        <is>
          <t>Rappid Valves (India) Ltd.</t>
        </is>
      </c>
      <c r="C372" t="inlineStr">
        <is>
          <t>RAPPID</t>
        </is>
      </c>
      <c r="D372" t="inlineStr">
        <is>
          <t>Capital Goods</t>
        </is>
      </c>
    </row>
    <row r="373">
      <c r="A373" t="n">
        <v>368</v>
      </c>
      <c r="B373" t="inlineStr">
        <is>
          <t>RBM Infracon Ltd.</t>
        </is>
      </c>
      <c r="C373" t="inlineStr">
        <is>
          <t>RBMINFRA</t>
        </is>
      </c>
      <c r="D373" t="inlineStr">
        <is>
          <t>Oil Gas &amp; Consumable Fuels</t>
        </is>
      </c>
    </row>
    <row r="374">
      <c r="A374" t="n">
        <v>369</v>
      </c>
      <c r="B374" t="inlineStr">
        <is>
          <t>Readymix Construction Machinery Ltd.</t>
        </is>
      </c>
      <c r="C374" t="inlineStr">
        <is>
          <t>READYMIX</t>
        </is>
      </c>
      <c r="D374" t="inlineStr">
        <is>
          <t>Capital Goods</t>
        </is>
      </c>
    </row>
    <row r="375">
      <c r="A375" t="n">
        <v>370</v>
      </c>
      <c r="B375" t="inlineStr">
        <is>
          <t>Refractory Shapes Ltd.</t>
        </is>
      </c>
      <c r="C375" t="inlineStr">
        <is>
          <t>REFRACTORY</t>
        </is>
      </c>
      <c r="D375" t="inlineStr">
        <is>
          <t>Capital Goods</t>
        </is>
      </c>
    </row>
    <row r="376">
      <c r="A376" t="n">
        <v>371</v>
      </c>
      <c r="B376" t="inlineStr">
        <is>
          <t>Remus Pharmaceuticals Ltd.</t>
        </is>
      </c>
      <c r="C376" t="inlineStr">
        <is>
          <t>REMUS</t>
        </is>
      </c>
      <c r="D376" t="inlineStr">
        <is>
          <t>Healthcare</t>
        </is>
      </c>
    </row>
    <row r="377">
      <c r="A377" t="n">
        <v>372</v>
      </c>
      <c r="B377" t="inlineStr">
        <is>
          <t>Renol Polychem Ltd.</t>
        </is>
      </c>
      <c r="C377" t="inlineStr">
        <is>
          <t>RNPL</t>
        </is>
      </c>
      <c r="D377" t="inlineStr">
        <is>
          <t>Chemicals</t>
        </is>
      </c>
    </row>
    <row r="378">
      <c r="A378" t="n">
        <v>373</v>
      </c>
      <c r="B378" t="inlineStr">
        <is>
          <t>Rex Pipes and Cables Industries Ltd.</t>
        </is>
      </c>
      <c r="C378" t="inlineStr">
        <is>
          <t>REXPIPES</t>
        </is>
      </c>
      <c r="D378" t="inlineStr">
        <is>
          <t>Capital Goods</t>
        </is>
      </c>
    </row>
    <row r="379">
      <c r="A379" t="n">
        <v>374</v>
      </c>
      <c r="B379" t="inlineStr">
        <is>
          <t>Rexpro Enterprises Ltd.</t>
        </is>
      </c>
      <c r="C379" t="inlineStr">
        <is>
          <t>REXPRO</t>
        </is>
      </c>
      <c r="D379" t="inlineStr">
        <is>
          <t>Consumer Durables</t>
        </is>
      </c>
    </row>
    <row r="380">
      <c r="A380" t="n">
        <v>375</v>
      </c>
      <c r="B380" t="inlineStr">
        <is>
          <t>RFBL Flexi Pack Ltd.</t>
        </is>
      </c>
      <c r="C380" t="inlineStr">
        <is>
          <t>RFBL</t>
        </is>
      </c>
      <c r="D380" t="inlineStr">
        <is>
          <t>Capital Goods</t>
        </is>
      </c>
    </row>
    <row r="381">
      <c r="A381" t="n">
        <v>376</v>
      </c>
      <c r="B381" t="inlineStr">
        <is>
          <t>Richa Info Systems Ltd.</t>
        </is>
      </c>
      <c r="C381" t="inlineStr">
        <is>
          <t>RICHA</t>
        </is>
      </c>
      <c r="D381" t="inlineStr">
        <is>
          <t>Information Technology</t>
        </is>
      </c>
    </row>
    <row r="382">
      <c r="A382" t="n">
        <v>377</v>
      </c>
      <c r="B382" t="inlineStr">
        <is>
          <t>Rite Zone Chemcon India Ltd.</t>
        </is>
      </c>
      <c r="C382" t="inlineStr">
        <is>
          <t>RITEZONE</t>
        </is>
      </c>
      <c r="D382" t="inlineStr">
        <is>
          <t>Chemicals</t>
        </is>
      </c>
    </row>
    <row r="383">
      <c r="A383" t="n">
        <v>378</v>
      </c>
      <c r="B383" t="inlineStr">
        <is>
          <t>RNFI Services Ltd.</t>
        </is>
      </c>
      <c r="C383" t="inlineStr">
        <is>
          <t>RNFI</t>
        </is>
      </c>
      <c r="D383" t="inlineStr">
        <is>
          <t>Financial Services</t>
        </is>
      </c>
    </row>
    <row r="384">
      <c r="A384" t="n">
        <v>379</v>
      </c>
      <c r="B384" t="inlineStr">
        <is>
          <t>Rockingdeals Circular Economy Ltd.</t>
        </is>
      </c>
      <c r="C384" t="inlineStr">
        <is>
          <t>ROCKINGDCE</t>
        </is>
      </c>
      <c r="D384" t="inlineStr">
        <is>
          <t>Services</t>
        </is>
      </c>
    </row>
    <row r="385">
      <c r="A385" t="n">
        <v>380</v>
      </c>
      <c r="B385" t="inlineStr">
        <is>
          <t>Rox Hi-Tech Ltd.</t>
        </is>
      </c>
      <c r="C385" t="inlineStr">
        <is>
          <t>ROXHITECH</t>
        </is>
      </c>
      <c r="D385" t="inlineStr">
        <is>
          <t>Information Technology</t>
        </is>
      </c>
    </row>
    <row r="386">
      <c r="A386" t="n">
        <v>381</v>
      </c>
      <c r="B386" t="inlineStr">
        <is>
          <t>Royal Arc Electrodes Ltd.</t>
        </is>
      </c>
      <c r="C386" t="inlineStr">
        <is>
          <t>ROYALARC</t>
        </is>
      </c>
      <c r="D386" t="inlineStr">
        <is>
          <t>Capital Goods</t>
        </is>
      </c>
    </row>
    <row r="387">
      <c r="A387" t="n">
        <v>382</v>
      </c>
      <c r="B387" t="inlineStr">
        <is>
          <t>Rulka Electricals Ltd.</t>
        </is>
      </c>
      <c r="C387" t="inlineStr">
        <is>
          <t>RULKA</t>
        </is>
      </c>
      <c r="D387" t="inlineStr">
        <is>
          <t>Services</t>
        </is>
      </c>
    </row>
    <row r="388">
      <c r="A388" t="n">
        <v>383</v>
      </c>
      <c r="B388" t="inlineStr">
        <is>
          <t>S A Tech Software India Ltd.</t>
        </is>
      </c>
      <c r="C388" t="inlineStr">
        <is>
          <t>SATECH</t>
        </is>
      </c>
      <c r="D388" t="inlineStr">
        <is>
          <t>Information Technology</t>
        </is>
      </c>
    </row>
    <row r="389">
      <c r="A389" t="n">
        <v>384</v>
      </c>
      <c r="B389" t="inlineStr">
        <is>
          <t>S D Retail Ltd.</t>
        </is>
      </c>
      <c r="C389" t="inlineStr">
        <is>
          <t>SDREAMS</t>
        </is>
      </c>
      <c r="D389" t="inlineStr">
        <is>
          <t>Textiles</t>
        </is>
      </c>
    </row>
    <row r="390">
      <c r="A390" t="n">
        <v>385</v>
      </c>
      <c r="B390" t="inlineStr">
        <is>
          <t>S J Logistics (India) Ltd.</t>
        </is>
      </c>
      <c r="C390" t="inlineStr">
        <is>
          <t>SJLOGISTIC</t>
        </is>
      </c>
      <c r="D390" t="inlineStr">
        <is>
          <t>Services</t>
        </is>
      </c>
    </row>
    <row r="391">
      <c r="A391" t="n">
        <v>386</v>
      </c>
      <c r="B391" t="inlineStr">
        <is>
          <t>Saakshi Medtech and Panels Ltd.</t>
        </is>
      </c>
      <c r="C391" t="inlineStr">
        <is>
          <t>SAAKSHI</t>
        </is>
      </c>
      <c r="D391" t="inlineStr">
        <is>
          <t>Capital Goods</t>
        </is>
      </c>
    </row>
    <row r="392">
      <c r="A392" t="n">
        <v>387</v>
      </c>
      <c r="B392" t="inlineStr">
        <is>
          <t>Sabar Flex India Ltd.</t>
        </is>
      </c>
      <c r="C392" t="inlineStr">
        <is>
          <t>SABAR</t>
        </is>
      </c>
      <c r="D392" t="inlineStr">
        <is>
          <t>Capital Goods</t>
        </is>
      </c>
    </row>
    <row r="393">
      <c r="A393" t="n">
        <v>388</v>
      </c>
      <c r="B393" t="inlineStr">
        <is>
          <t>Sacheerome Ltd.</t>
        </is>
      </c>
      <c r="C393" t="inlineStr">
        <is>
          <t>SACHEEROME</t>
        </is>
      </c>
      <c r="D393" t="inlineStr">
        <is>
          <t>Chemicals</t>
        </is>
      </c>
    </row>
    <row r="394">
      <c r="A394" t="n">
        <v>389</v>
      </c>
      <c r="B394" t="inlineStr">
        <is>
          <t>Sadhav Shipping Ltd.</t>
        </is>
      </c>
      <c r="C394" t="inlineStr">
        <is>
          <t>SADHAV</t>
        </is>
      </c>
      <c r="D394" t="inlineStr">
        <is>
          <t>Services</t>
        </is>
      </c>
    </row>
    <row r="395">
      <c r="A395" t="n">
        <v>390</v>
      </c>
      <c r="B395" t="inlineStr">
        <is>
          <t>Safe Enterprises Retail Fixtures Ltd.</t>
        </is>
      </c>
      <c r="C395" t="inlineStr">
        <is>
          <t>SAFEENTP</t>
        </is>
      </c>
      <c r="D395" t="inlineStr">
        <is>
          <t>Consumer Durables</t>
        </is>
      </c>
    </row>
    <row r="396">
      <c r="A396" t="n">
        <v>391</v>
      </c>
      <c r="B396" t="inlineStr">
        <is>
          <t>Sahaj Solar Ltd.</t>
        </is>
      </c>
      <c r="C396" t="inlineStr">
        <is>
          <t>SAHAJSOLAR</t>
        </is>
      </c>
      <c r="D396" t="inlineStr">
        <is>
          <t>Capital Goods</t>
        </is>
      </c>
    </row>
    <row r="397">
      <c r="A397" t="n">
        <v>392</v>
      </c>
      <c r="B397" t="inlineStr">
        <is>
          <t>Sahana System Ltd.</t>
        </is>
      </c>
      <c r="C397" t="inlineStr">
        <is>
          <t>SAHANA</t>
        </is>
      </c>
      <c r="D397" t="inlineStr">
        <is>
          <t>Information Technology</t>
        </is>
      </c>
    </row>
    <row r="398">
      <c r="A398" t="n">
        <v>393</v>
      </c>
      <c r="B398" t="inlineStr">
        <is>
          <t>Sahasra Electronic Solutions Ltd.</t>
        </is>
      </c>
      <c r="C398" t="inlineStr">
        <is>
          <t>SAHASRA</t>
        </is>
      </c>
      <c r="D398" t="inlineStr">
        <is>
          <t>Capital Goods</t>
        </is>
      </c>
    </row>
    <row r="399">
      <c r="A399" t="n">
        <v>394</v>
      </c>
      <c r="B399" t="inlineStr">
        <is>
          <t>Saj Hotels Ltd.</t>
        </is>
      </c>
      <c r="C399" t="inlineStr">
        <is>
          <t>SAJHOTELS</t>
        </is>
      </c>
      <c r="D399" t="inlineStr">
        <is>
          <t>Consumer Services</t>
        </is>
      </c>
    </row>
    <row r="400">
      <c r="A400" t="n">
        <v>395</v>
      </c>
      <c r="B400" t="inlineStr">
        <is>
          <t>Samay Project Services Ltd.</t>
        </is>
      </c>
      <c r="C400" t="inlineStr">
        <is>
          <t>SAMAY</t>
        </is>
      </c>
      <c r="D400" t="inlineStr">
        <is>
          <t>Construction</t>
        </is>
      </c>
    </row>
    <row r="401">
      <c r="A401" t="n">
        <v>396</v>
      </c>
      <c r="B401" t="inlineStr">
        <is>
          <t>Sameera Agro And Infra Ltd.</t>
        </is>
      </c>
      <c r="C401" t="inlineStr">
        <is>
          <t>SAIFL</t>
        </is>
      </c>
      <c r="D401" t="inlineStr">
        <is>
          <t>Fast Moving Consumer Goods</t>
        </is>
      </c>
    </row>
    <row r="402">
      <c r="A402" t="n">
        <v>397</v>
      </c>
      <c r="B402" t="inlineStr">
        <is>
          <t>Sangani Hospitals Ltd.</t>
        </is>
      </c>
      <c r="C402" t="inlineStr">
        <is>
          <t>SANGANI</t>
        </is>
      </c>
      <c r="D402" t="inlineStr">
        <is>
          <t>Healthcare</t>
        </is>
      </c>
    </row>
    <row r="403">
      <c r="A403" t="n">
        <v>398</v>
      </c>
      <c r="B403" t="inlineStr">
        <is>
          <t>Sar Televenture Ltd.</t>
        </is>
      </c>
      <c r="C403" t="inlineStr">
        <is>
          <t>SARTELE</t>
        </is>
      </c>
      <c r="D403" t="inlineStr">
        <is>
          <t>Telecommunication</t>
        </is>
      </c>
    </row>
    <row r="404">
      <c r="A404" t="n">
        <v>399</v>
      </c>
      <c r="B404" t="inlineStr">
        <is>
          <t>Saroja Pharma Industries India Ltd.</t>
        </is>
      </c>
      <c r="C404" t="inlineStr">
        <is>
          <t>SAROJA</t>
        </is>
      </c>
      <c r="D404" t="inlineStr">
        <is>
          <t>Chemicals</t>
        </is>
      </c>
    </row>
    <row r="405">
      <c r="A405" t="n">
        <v>400</v>
      </c>
      <c r="B405" t="inlineStr">
        <is>
          <t>Sat Kartar Life Ltd.</t>
        </is>
      </c>
      <c r="C405" t="inlineStr">
        <is>
          <t>SATKARTAR</t>
        </is>
      </c>
      <c r="D405" t="inlineStr">
        <is>
          <t>Healthcare</t>
        </is>
      </c>
    </row>
    <row r="406">
      <c r="A406" t="n">
        <v>401</v>
      </c>
      <c r="B406" t="inlineStr">
        <is>
          <t>Sathlokhar Synergys E&amp;C Global Ltd.</t>
        </is>
      </c>
      <c r="C406" t="inlineStr">
        <is>
          <t>SSEGL</t>
        </is>
      </c>
      <c r="D406" t="inlineStr">
        <is>
          <t>Construction</t>
        </is>
      </c>
    </row>
    <row r="407">
      <c r="A407" t="n">
        <v>402</v>
      </c>
      <c r="B407" t="inlineStr">
        <is>
          <t>Sati Poly Plast Ltd.</t>
        </is>
      </c>
      <c r="C407" t="inlineStr">
        <is>
          <t>SATIPOLY</t>
        </is>
      </c>
      <c r="D407" t="inlineStr">
        <is>
          <t>Capital Goods</t>
        </is>
      </c>
    </row>
    <row r="408">
      <c r="A408" t="n">
        <v>403</v>
      </c>
      <c r="B408" t="inlineStr">
        <is>
          <t>Sattva Engineering Construction Ltd.</t>
        </is>
      </c>
      <c r="C408" t="inlineStr">
        <is>
          <t>SATTVAENGG</t>
        </is>
      </c>
      <c r="D408" t="inlineStr">
        <is>
          <t>Utilities</t>
        </is>
      </c>
    </row>
    <row r="409">
      <c r="A409" t="n">
        <v>404</v>
      </c>
      <c r="B409" t="inlineStr">
        <is>
          <t>Savy Infra and Logistics Ltd.</t>
        </is>
      </c>
      <c r="C409" t="inlineStr">
        <is>
          <t>SAVY</t>
        </is>
      </c>
      <c r="D409" t="inlineStr">
        <is>
          <t>Construction</t>
        </is>
      </c>
    </row>
    <row r="410">
      <c r="A410" t="n">
        <v>405</v>
      </c>
      <c r="B410" t="inlineStr">
        <is>
          <t>Sawaliya Food Products Ltd.</t>
        </is>
      </c>
      <c r="C410" t="inlineStr">
        <is>
          <t>SAWALIYA</t>
        </is>
      </c>
      <c r="D410" t="inlineStr">
        <is>
          <t>Fast Moving Consumer Goods</t>
        </is>
      </c>
    </row>
    <row r="411">
      <c r="A411" t="n">
        <v>406</v>
      </c>
      <c r="B411" t="inlineStr">
        <is>
          <t>Sellowrap Industries Ltd.</t>
        </is>
      </c>
      <c r="C411" t="inlineStr">
        <is>
          <t>SELLOWRAP</t>
        </is>
      </c>
      <c r="D411" t="inlineStr">
        <is>
          <t>Automobile and Auto Components</t>
        </is>
      </c>
    </row>
    <row r="412">
      <c r="A412" t="n">
        <v>407</v>
      </c>
      <c r="B412" t="inlineStr">
        <is>
          <t>Service Care Ltd.</t>
        </is>
      </c>
      <c r="C412" t="inlineStr">
        <is>
          <t>SERVICE</t>
        </is>
      </c>
      <c r="D412" t="inlineStr">
        <is>
          <t>Services</t>
        </is>
      </c>
    </row>
    <row r="413">
      <c r="A413" t="n">
        <v>408</v>
      </c>
      <c r="B413" t="inlineStr">
        <is>
          <t>Shanthala FMCG Products Ltd.</t>
        </is>
      </c>
      <c r="C413" t="inlineStr">
        <is>
          <t>SHANTHALA</t>
        </is>
      </c>
      <c r="D413" t="inlineStr">
        <is>
          <t>Services</t>
        </is>
      </c>
    </row>
    <row r="414">
      <c r="A414" t="n">
        <v>409</v>
      </c>
      <c r="B414" t="inlineStr">
        <is>
          <t>Sharp Chucks and Machines Ltd.</t>
        </is>
      </c>
      <c r="C414" t="inlineStr">
        <is>
          <t>SCML</t>
        </is>
      </c>
      <c r="D414" t="inlineStr">
        <is>
          <t>Capital Goods</t>
        </is>
      </c>
    </row>
    <row r="415">
      <c r="A415" t="n">
        <v>410</v>
      </c>
      <c r="B415" t="inlineStr">
        <is>
          <t>Sheel Biotech Ltd.</t>
        </is>
      </c>
      <c r="C415" t="inlineStr">
        <is>
          <t>SHEEL</t>
        </is>
      </c>
      <c r="D415" t="inlineStr">
        <is>
          <t>Services</t>
        </is>
      </c>
    </row>
    <row r="416">
      <c r="A416" t="n">
        <v>411</v>
      </c>
      <c r="B416" t="inlineStr">
        <is>
          <t>Sheetal Universal Ltd.</t>
        </is>
      </c>
      <c r="C416" t="inlineStr">
        <is>
          <t>SHEETAL</t>
        </is>
      </c>
      <c r="D416" t="inlineStr">
        <is>
          <t>Fast Moving Consumer Goods</t>
        </is>
      </c>
    </row>
    <row r="417">
      <c r="A417" t="n">
        <v>412</v>
      </c>
      <c r="B417" t="inlineStr">
        <is>
          <t>Shera Energy Ltd.</t>
        </is>
      </c>
      <c r="C417" t="inlineStr">
        <is>
          <t>SHERA</t>
        </is>
      </c>
      <c r="D417" t="inlineStr">
        <is>
          <t>Capital Goods</t>
        </is>
      </c>
    </row>
    <row r="418">
      <c r="A418" t="n">
        <v>413</v>
      </c>
      <c r="B418" t="inlineStr">
        <is>
          <t>Shigan Quantum Technologies Ltd.</t>
        </is>
      </c>
      <c r="C418" t="inlineStr">
        <is>
          <t>SHIGAN</t>
        </is>
      </c>
      <c r="D418" t="inlineStr">
        <is>
          <t>Automobile and Auto Components</t>
        </is>
      </c>
    </row>
    <row r="419">
      <c r="A419" t="n">
        <v>414</v>
      </c>
      <c r="B419" t="inlineStr">
        <is>
          <t>Shivalic Power Control Ltd.</t>
        </is>
      </c>
      <c r="C419" t="inlineStr">
        <is>
          <t>SPCL</t>
        </is>
      </c>
      <c r="D419" t="inlineStr">
        <is>
          <t>Capital Goods</t>
        </is>
      </c>
    </row>
    <row r="420">
      <c r="A420" t="n">
        <v>415</v>
      </c>
      <c r="B420" t="inlineStr">
        <is>
          <t>Shivashrit Foods Ltd.</t>
        </is>
      </c>
      <c r="C420" t="inlineStr">
        <is>
          <t>SHIVASHRIT</t>
        </is>
      </c>
      <c r="D420" t="inlineStr">
        <is>
          <t>Fast Moving Consumer Goods</t>
        </is>
      </c>
    </row>
    <row r="421">
      <c r="A421" t="n">
        <v>416</v>
      </c>
      <c r="B421" t="inlineStr">
        <is>
          <t>Shree Karni Fabcom Ltd.</t>
        </is>
      </c>
      <c r="C421" t="inlineStr">
        <is>
          <t>SHREEKARNI</t>
        </is>
      </c>
      <c r="D421" t="inlineStr">
        <is>
          <t>Textiles</t>
        </is>
      </c>
    </row>
    <row r="422">
      <c r="A422" t="n">
        <v>417</v>
      </c>
      <c r="B422" t="inlineStr">
        <is>
          <t>Shree OSFM E-Mobility Ltd.</t>
        </is>
      </c>
      <c r="C422" t="inlineStr">
        <is>
          <t>SHREEOSFM</t>
        </is>
      </c>
      <c r="D422" t="inlineStr">
        <is>
          <t>Services</t>
        </is>
      </c>
    </row>
    <row r="423">
      <c r="A423" t="n">
        <v>418</v>
      </c>
      <c r="B423" t="inlineStr">
        <is>
          <t>Shree Tirupati Balajee FIBC Ltd.</t>
        </is>
      </c>
      <c r="C423" t="inlineStr">
        <is>
          <t>TIRUPATI</t>
        </is>
      </c>
      <c r="D423" t="inlineStr">
        <is>
          <t>Capital Goods</t>
        </is>
      </c>
    </row>
    <row r="424">
      <c r="A424" t="n">
        <v>419</v>
      </c>
      <c r="B424" t="inlineStr">
        <is>
          <t>Shreedhar Spinners Ltd.</t>
        </is>
      </c>
      <c r="C424" t="inlineStr">
        <is>
          <t>SHREEDHAR</t>
        </is>
      </c>
      <c r="D424" t="inlineStr">
        <is>
          <t>Textiles</t>
        </is>
      </c>
    </row>
    <row r="425">
      <c r="A425" t="n">
        <v>420</v>
      </c>
      <c r="B425" t="inlineStr">
        <is>
          <t>Shreeji Global FMCG Ltd.</t>
        </is>
      </c>
      <c r="C425" t="inlineStr">
        <is>
          <t>SHETHJI</t>
        </is>
      </c>
      <c r="D425" t="inlineStr">
        <is>
          <t>Fast Moving Consumer Goods</t>
        </is>
      </c>
    </row>
    <row r="426">
      <c r="A426" t="n">
        <v>421</v>
      </c>
      <c r="B426" t="inlineStr">
        <is>
          <t>Shri Ahimsa Naturals Ltd.</t>
        </is>
      </c>
      <c r="C426" t="inlineStr">
        <is>
          <t>SHRIAHIMSA</t>
        </is>
      </c>
      <c r="D426" t="inlineStr">
        <is>
          <t>Fast Moving Consumer Goods</t>
        </is>
      </c>
    </row>
    <row r="427">
      <c r="A427" t="n">
        <v>422</v>
      </c>
      <c r="B427" t="inlineStr">
        <is>
          <t>Shri Hare-Krishna Sponge Iron Ltd.</t>
        </is>
      </c>
      <c r="C427" t="inlineStr">
        <is>
          <t>SHKSIL</t>
        </is>
      </c>
      <c r="D427" t="inlineStr">
        <is>
          <t>Metals &amp; Mining</t>
        </is>
      </c>
    </row>
    <row r="428">
      <c r="A428" t="n">
        <v>423</v>
      </c>
      <c r="B428" t="inlineStr">
        <is>
          <t>Shri Kanha Stainless Ltd.</t>
        </is>
      </c>
      <c r="C428" t="inlineStr">
        <is>
          <t>SHRIKANHA</t>
        </is>
      </c>
      <c r="D428" t="inlineStr">
        <is>
          <t>Capital Goods</t>
        </is>
      </c>
    </row>
    <row r="429">
      <c r="A429" t="n">
        <v>424</v>
      </c>
      <c r="B429" t="inlineStr">
        <is>
          <t>Shri Techtex Ltd.</t>
        </is>
      </c>
      <c r="C429" t="inlineStr">
        <is>
          <t>SHRITECH</t>
        </is>
      </c>
      <c r="D429" t="inlineStr">
        <is>
          <t>Capital Goods</t>
        </is>
      </c>
    </row>
    <row r="430">
      <c r="A430" t="n">
        <v>425</v>
      </c>
      <c r="B430" t="inlineStr">
        <is>
          <t>Shubhlaxmi Jewel Art Ltd.</t>
        </is>
      </c>
      <c r="C430" t="inlineStr">
        <is>
          <t>SHUBHLAXMI</t>
        </is>
      </c>
      <c r="D430" t="inlineStr">
        <is>
          <t>Consumer Durables</t>
        </is>
      </c>
    </row>
    <row r="431">
      <c r="A431" t="n">
        <v>426</v>
      </c>
      <c r="B431" t="inlineStr">
        <is>
          <t>Shubhshree Biofuels Energy Ltd.</t>
        </is>
      </c>
      <c r="C431" t="inlineStr">
        <is>
          <t>SHUBHSHREE</t>
        </is>
      </c>
      <c r="D431" t="inlineStr">
        <is>
          <t>Capital Goods</t>
        </is>
      </c>
    </row>
    <row r="432">
      <c r="A432" t="n">
        <v>427</v>
      </c>
      <c r="B432" t="inlineStr">
        <is>
          <t>Shyam Dhani Industries Ltd.</t>
        </is>
      </c>
      <c r="C432" t="inlineStr">
        <is>
          <t>SHYAMDHANI</t>
        </is>
      </c>
      <c r="D432" t="inlineStr">
        <is>
          <t>Fast Moving Consumer Goods</t>
        </is>
      </c>
    </row>
    <row r="433">
      <c r="A433" t="n">
        <v>428</v>
      </c>
      <c r="B433" t="inlineStr">
        <is>
          <t>Siddhi Cotspin Ltd.</t>
        </is>
      </c>
      <c r="C433" t="inlineStr">
        <is>
          <t>SIDDHICOTS</t>
        </is>
      </c>
      <c r="D433" t="inlineStr">
        <is>
          <t>Textiles</t>
        </is>
      </c>
    </row>
    <row r="434">
      <c r="A434" t="n">
        <v>429</v>
      </c>
      <c r="B434" t="inlineStr">
        <is>
          <t>Siddhika Coatings Ltd.</t>
        </is>
      </c>
      <c r="C434" t="inlineStr">
        <is>
          <t>SIDDHIKA</t>
        </is>
      </c>
      <c r="D434" t="inlineStr">
        <is>
          <t>Consumer Durables</t>
        </is>
      </c>
    </row>
    <row r="435">
      <c r="A435" t="n">
        <v>430</v>
      </c>
      <c r="B435" t="inlineStr">
        <is>
          <t>Signoria Creation Ltd.</t>
        </is>
      </c>
      <c r="C435" t="inlineStr">
        <is>
          <t>SIGNORIA</t>
        </is>
      </c>
      <c r="D435" t="inlineStr">
        <is>
          <t>Textiles</t>
        </is>
      </c>
    </row>
    <row r="436">
      <c r="A436" t="n">
        <v>431</v>
      </c>
      <c r="B436" t="inlineStr">
        <is>
          <t>Silkflex Polymers (India) Ltd.</t>
        </is>
      </c>
      <c r="C436" t="inlineStr">
        <is>
          <t>SILKFLEX</t>
        </is>
      </c>
      <c r="D436" t="inlineStr">
        <is>
          <t>Chemicals</t>
        </is>
      </c>
    </row>
    <row r="437">
      <c r="A437" t="n">
        <v>432</v>
      </c>
      <c r="B437" t="inlineStr">
        <is>
          <t>Silky Overseas Ltd.</t>
        </is>
      </c>
      <c r="C437" t="inlineStr">
        <is>
          <t>SILKY</t>
        </is>
      </c>
      <c r="D437" t="inlineStr">
        <is>
          <t>Textiles</t>
        </is>
      </c>
    </row>
    <row r="438">
      <c r="A438" t="n">
        <v>433</v>
      </c>
      <c r="B438" t="inlineStr">
        <is>
          <t>Simca Advertising Ltd.</t>
        </is>
      </c>
      <c r="C438" t="inlineStr">
        <is>
          <t>SIMCA</t>
        </is>
      </c>
      <c r="D438" t="inlineStr">
        <is>
          <t>Media Entertainment &amp; Publication</t>
        </is>
      </c>
    </row>
    <row r="439">
      <c r="A439" t="n">
        <v>434</v>
      </c>
      <c r="B439" t="inlineStr">
        <is>
          <t>SKP Bearing Industries Ltd.</t>
        </is>
      </c>
      <c r="C439" t="inlineStr">
        <is>
          <t>SKP</t>
        </is>
      </c>
      <c r="D439" t="inlineStr">
        <is>
          <t>Capital Goods</t>
        </is>
      </c>
    </row>
    <row r="440">
      <c r="A440" t="n">
        <v>435</v>
      </c>
      <c r="B440" t="inlineStr">
        <is>
          <t>Slone Infosystems Ltd.</t>
        </is>
      </c>
      <c r="C440" t="inlineStr">
        <is>
          <t>SLONE</t>
        </is>
      </c>
      <c r="D440" t="inlineStr">
        <is>
          <t>Information Technology</t>
        </is>
      </c>
    </row>
    <row r="441">
      <c r="A441" t="n">
        <v>436</v>
      </c>
      <c r="B441" t="inlineStr">
        <is>
          <t>Smarten Power Systems Ltd.</t>
        </is>
      </c>
      <c r="C441" t="inlineStr">
        <is>
          <t>SMARTEN</t>
        </is>
      </c>
      <c r="D441" t="inlineStr">
        <is>
          <t>Capital Goods</t>
        </is>
      </c>
    </row>
    <row r="442">
      <c r="A442" t="n">
        <v>437</v>
      </c>
      <c r="B442" t="inlineStr">
        <is>
          <t>SMVD Poly Pack Ltd.</t>
        </is>
      </c>
      <c r="C442" t="inlineStr">
        <is>
          <t>SMVD</t>
        </is>
      </c>
      <c r="D442" t="inlineStr">
        <is>
          <t>Capital Goods</t>
        </is>
      </c>
    </row>
    <row r="443">
      <c r="A443" t="n">
        <v>438</v>
      </c>
      <c r="B443" t="inlineStr">
        <is>
          <t>Snehaa Organics Ltd.</t>
        </is>
      </c>
      <c r="C443" t="inlineStr">
        <is>
          <t>SNEHAA</t>
        </is>
      </c>
      <c r="D443" t="inlineStr">
        <is>
          <t>Chemicals</t>
        </is>
      </c>
    </row>
    <row r="444">
      <c r="A444" t="n">
        <v>439</v>
      </c>
      <c r="B444" t="inlineStr">
        <is>
          <t>Solve Plastic Products Ltd.</t>
        </is>
      </c>
      <c r="C444" t="inlineStr">
        <is>
          <t>BALCO</t>
        </is>
      </c>
      <c r="D444" t="inlineStr">
        <is>
          <t>Capital Goods</t>
        </is>
      </c>
    </row>
    <row r="445">
      <c r="A445" t="n">
        <v>440</v>
      </c>
      <c r="B445" t="inlineStr">
        <is>
          <t>Sona Machinery Ltd.</t>
        </is>
      </c>
      <c r="C445" t="inlineStr">
        <is>
          <t>SONAMAC</t>
        </is>
      </c>
      <c r="D445" t="inlineStr">
        <is>
          <t>Capital Goods</t>
        </is>
      </c>
    </row>
    <row r="446">
      <c r="A446" t="n">
        <v>441</v>
      </c>
      <c r="B446" t="inlineStr">
        <is>
          <t>Sonu Infratech Ltd.</t>
        </is>
      </c>
      <c r="C446" t="inlineStr">
        <is>
          <t>SONUINFRA</t>
        </is>
      </c>
      <c r="D446" t="inlineStr">
        <is>
          <t>Construction</t>
        </is>
      </c>
    </row>
    <row r="447">
      <c r="A447" t="n">
        <v>442</v>
      </c>
      <c r="B447" t="inlineStr">
        <is>
          <t>Sotac Pharmaceuticals Ltd.</t>
        </is>
      </c>
      <c r="C447" t="inlineStr">
        <is>
          <t>SOTAC</t>
        </is>
      </c>
      <c r="D447" t="inlineStr">
        <is>
          <t>Healthcare</t>
        </is>
      </c>
    </row>
    <row r="448">
      <c r="A448" t="n">
        <v>443</v>
      </c>
      <c r="B448" t="inlineStr">
        <is>
          <t>Sp Refractories Ltd.</t>
        </is>
      </c>
      <c r="C448" t="inlineStr">
        <is>
          <t>SPRL</t>
        </is>
      </c>
      <c r="D448" t="inlineStr">
        <is>
          <t>Capital Goods</t>
        </is>
      </c>
    </row>
    <row r="449">
      <c r="A449" t="n">
        <v>444</v>
      </c>
      <c r="B449" t="inlineStr">
        <is>
          <t>Speb Adhesives Ltd.</t>
        </is>
      </c>
      <c r="C449" t="inlineStr">
        <is>
          <t>SPEB</t>
        </is>
      </c>
      <c r="D449" t="inlineStr">
        <is>
          <t>Chemicals</t>
        </is>
      </c>
    </row>
    <row r="450">
      <c r="A450" t="n">
        <v>445</v>
      </c>
      <c r="B450" t="inlineStr">
        <is>
          <t>Spectrum Talent Management Ltd.</t>
        </is>
      </c>
      <c r="C450" t="inlineStr">
        <is>
          <t>SPECTSTM</t>
        </is>
      </c>
      <c r="D450" t="inlineStr">
        <is>
          <t>Services</t>
        </is>
      </c>
    </row>
    <row r="451">
      <c r="A451" t="n">
        <v>446</v>
      </c>
      <c r="B451" t="inlineStr">
        <is>
          <t>SPP Polymer Ltd.</t>
        </is>
      </c>
      <c r="C451" t="inlineStr">
        <is>
          <t>SPPPOLY</t>
        </is>
      </c>
      <c r="D451" t="inlineStr">
        <is>
          <t>Capital Goods</t>
        </is>
      </c>
    </row>
    <row r="452">
      <c r="A452" t="n">
        <v>447</v>
      </c>
      <c r="B452" t="inlineStr">
        <is>
          <t>Spunweb Nonwoven Ltd.</t>
        </is>
      </c>
      <c r="C452" t="inlineStr">
        <is>
          <t>SPUNWEB</t>
        </is>
      </c>
      <c r="D452" t="inlineStr">
        <is>
          <t>Textiles</t>
        </is>
      </c>
    </row>
    <row r="453">
      <c r="A453" t="n">
        <v>448</v>
      </c>
      <c r="B453" t="inlineStr">
        <is>
          <t>Srinibas Pradhan Constructions Ltd.</t>
        </is>
      </c>
      <c r="C453" t="inlineStr">
        <is>
          <t>SPCON</t>
        </is>
      </c>
      <c r="D453" t="inlineStr">
        <is>
          <t>Construction</t>
        </is>
      </c>
    </row>
    <row r="454">
      <c r="A454" t="n">
        <v>449</v>
      </c>
      <c r="B454" t="inlineStr">
        <is>
          <t>Srivari Spices And Foods Ltd.</t>
        </is>
      </c>
      <c r="C454" t="inlineStr">
        <is>
          <t>SSFL</t>
        </is>
      </c>
      <c r="D454" t="inlineStr">
        <is>
          <t>Fast Moving Consumer Goods</t>
        </is>
      </c>
    </row>
    <row r="455">
      <c r="A455" t="n">
        <v>450</v>
      </c>
      <c r="B455" t="inlineStr">
        <is>
          <t>Srivasavi Adhesive Tapes Ltd.</t>
        </is>
      </c>
      <c r="C455" t="inlineStr">
        <is>
          <t>SRIVASAVI</t>
        </is>
      </c>
      <c r="D455" t="inlineStr">
        <is>
          <t>Capital Goods</t>
        </is>
      </c>
    </row>
    <row r="456">
      <c r="A456" t="n">
        <v>451</v>
      </c>
      <c r="B456" t="inlineStr">
        <is>
          <t>Striders Impex Ltd.</t>
        </is>
      </c>
      <c r="C456" t="inlineStr">
        <is>
          <t>STRIDERS</t>
        </is>
      </c>
      <c r="D456" t="inlineStr">
        <is>
          <t>Consumer Durables</t>
        </is>
      </c>
    </row>
    <row r="457">
      <c r="A457" t="n">
        <v>452</v>
      </c>
      <c r="B457" t="inlineStr">
        <is>
          <t>Studio LSD Ltd.</t>
        </is>
      </c>
      <c r="C457" t="inlineStr">
        <is>
          <t>STUDIOLSD</t>
        </is>
      </c>
      <c r="D457" t="inlineStr">
        <is>
          <t>Media Entertainment &amp; Publication</t>
        </is>
      </c>
    </row>
    <row r="458">
      <c r="A458" t="n">
        <v>453</v>
      </c>
      <c r="B458" t="inlineStr">
        <is>
          <t>Suba Hotels Ltd.</t>
        </is>
      </c>
      <c r="C458" t="inlineStr">
        <is>
          <t>SUBAHOTELS</t>
        </is>
      </c>
      <c r="D458" t="inlineStr">
        <is>
          <t>Consumer Services</t>
        </is>
      </c>
    </row>
    <row r="459">
      <c r="A459" t="n">
        <v>454</v>
      </c>
      <c r="B459" t="inlineStr">
        <is>
          <t>Sundrex Oil Company Ltd.</t>
        </is>
      </c>
      <c r="C459" t="inlineStr">
        <is>
          <t>SOCL</t>
        </is>
      </c>
      <c r="D459" t="inlineStr">
        <is>
          <t>Oil Gas &amp; Consumable Fuels</t>
        </is>
      </c>
    </row>
    <row r="460">
      <c r="A460" t="n">
        <v>455</v>
      </c>
      <c r="B460" t="inlineStr">
        <is>
          <t>Sungarner Energies Ltd.</t>
        </is>
      </c>
      <c r="C460" t="inlineStr">
        <is>
          <t>SEL</t>
        </is>
      </c>
      <c r="D460" t="inlineStr">
        <is>
          <t>Capital Goods</t>
        </is>
      </c>
    </row>
    <row r="461">
      <c r="A461" t="n">
        <v>456</v>
      </c>
      <c r="B461" t="inlineStr">
        <is>
          <t>Sunlite Recycling Industries Ltd.</t>
        </is>
      </c>
      <c r="C461" t="inlineStr">
        <is>
          <t>SUNLITE</t>
        </is>
      </c>
      <c r="D461" t="inlineStr">
        <is>
          <t>Capital Goods</t>
        </is>
      </c>
    </row>
    <row r="462">
      <c r="A462" t="n">
        <v>457</v>
      </c>
      <c r="B462" t="inlineStr">
        <is>
          <t>Sunrest Lifescience Ltd.</t>
        </is>
      </c>
      <c r="C462" t="inlineStr">
        <is>
          <t>SUNREST</t>
        </is>
      </c>
      <c r="D462" t="inlineStr">
        <is>
          <t>Healthcare</t>
        </is>
      </c>
    </row>
    <row r="463">
      <c r="A463" t="n">
        <v>458</v>
      </c>
      <c r="B463" t="inlineStr">
        <is>
          <t>Suntech Infra Solutions Ltd.</t>
        </is>
      </c>
      <c r="C463" t="inlineStr">
        <is>
          <t>SUNTECH</t>
        </is>
      </c>
      <c r="D463" t="inlineStr">
        <is>
          <t>Construction</t>
        </is>
      </c>
    </row>
    <row r="464">
      <c r="A464" t="n">
        <v>459</v>
      </c>
      <c r="B464" t="inlineStr">
        <is>
          <t>Supreme Facility Management Ltd.</t>
        </is>
      </c>
      <c r="C464" t="inlineStr">
        <is>
          <t>SFML</t>
        </is>
      </c>
      <c r="D464" t="inlineStr">
        <is>
          <t>Services</t>
        </is>
      </c>
    </row>
    <row r="465">
      <c r="A465" t="n">
        <v>460</v>
      </c>
      <c r="B465" t="inlineStr">
        <is>
          <t>Supreme Power Equipment Ltd.</t>
        </is>
      </c>
      <c r="C465" t="inlineStr">
        <is>
          <t>SUPREMEPWR</t>
        </is>
      </c>
      <c r="D465" t="inlineStr">
        <is>
          <t>Capital Goods</t>
        </is>
      </c>
    </row>
    <row r="466">
      <c r="A466" t="n">
        <v>461</v>
      </c>
      <c r="B466" t="inlineStr">
        <is>
          <t>Surani Steel Tubes Ltd.</t>
        </is>
      </c>
      <c r="C466" t="inlineStr">
        <is>
          <t>SURANI</t>
        </is>
      </c>
      <c r="D466" t="inlineStr">
        <is>
          <t>Capital Goods</t>
        </is>
      </c>
    </row>
    <row r="467">
      <c r="A467" t="n">
        <v>462</v>
      </c>
      <c r="B467" t="inlineStr">
        <is>
          <t>Swastik Pipe Ltd.</t>
        </is>
      </c>
      <c r="C467" t="inlineStr">
        <is>
          <t>SWASTIK</t>
        </is>
      </c>
      <c r="D467" t="inlineStr">
        <is>
          <t>Capital Goods</t>
        </is>
      </c>
    </row>
    <row r="468">
      <c r="A468" t="n">
        <v>463</v>
      </c>
      <c r="B468" t="inlineStr">
        <is>
          <t>Sylvan Plyboard (India) Ltd.</t>
        </is>
      </c>
      <c r="C468" t="inlineStr">
        <is>
          <t>SYLVANPLY</t>
        </is>
      </c>
      <c r="D468" t="inlineStr">
        <is>
          <t>Consumer Durables</t>
        </is>
      </c>
    </row>
    <row r="469">
      <c r="A469" t="n">
        <v>464</v>
      </c>
      <c r="B469" t="inlineStr">
        <is>
          <t>Synoptics Technologies Ltd.</t>
        </is>
      </c>
      <c r="C469" t="inlineStr">
        <is>
          <t>SYNOPTICS</t>
        </is>
      </c>
      <c r="D469" t="inlineStr">
        <is>
          <t>Information Technology</t>
        </is>
      </c>
    </row>
    <row r="470">
      <c r="A470" t="n">
        <v>465</v>
      </c>
      <c r="B470" t="inlineStr">
        <is>
          <t>Systango Technologies Ltd.</t>
        </is>
      </c>
      <c r="C470" t="inlineStr">
        <is>
          <t>SYSTANGO</t>
        </is>
      </c>
      <c r="D470" t="inlineStr">
        <is>
          <t>Information Technology</t>
        </is>
      </c>
    </row>
    <row r="471">
      <c r="A471" t="n">
        <v>466</v>
      </c>
      <c r="B471" t="inlineStr">
        <is>
          <t>TAC INFOSEC Ltd.</t>
        </is>
      </c>
      <c r="C471" t="inlineStr">
        <is>
          <t>TAC</t>
        </is>
      </c>
      <c r="D471" t="inlineStr">
        <is>
          <t>Information Technology</t>
        </is>
      </c>
    </row>
    <row r="472">
      <c r="A472" t="n">
        <v>467</v>
      </c>
      <c r="B472" t="inlineStr">
        <is>
          <t>Tankup Engineers Ltd.</t>
        </is>
      </c>
      <c r="C472" t="inlineStr">
        <is>
          <t>TANKUP</t>
        </is>
      </c>
      <c r="D472" t="inlineStr">
        <is>
          <t>Capital Goods</t>
        </is>
      </c>
    </row>
    <row r="473">
      <c r="A473" t="n">
        <v>468</v>
      </c>
      <c r="B473" t="inlineStr">
        <is>
          <t>Tapi Fruit Processing Ltd.</t>
        </is>
      </c>
      <c r="C473" t="inlineStr">
        <is>
          <t>TAPIFRUIT</t>
        </is>
      </c>
      <c r="D473" t="inlineStr">
        <is>
          <t>Fast Moving Consumer Goods</t>
        </is>
      </c>
    </row>
    <row r="474">
      <c r="A474" t="n">
        <v>469</v>
      </c>
      <c r="B474" t="inlineStr">
        <is>
          <t>Taurian MPS Ltd.</t>
        </is>
      </c>
      <c r="C474" t="inlineStr">
        <is>
          <t>TAURIAN</t>
        </is>
      </c>
      <c r="D474" t="inlineStr">
        <is>
          <t>Capital Goods</t>
        </is>
      </c>
    </row>
    <row r="475">
      <c r="A475" t="n">
        <v>470</v>
      </c>
      <c r="B475" t="inlineStr">
        <is>
          <t>TBI Corn Ltd.</t>
        </is>
      </c>
      <c r="C475" t="inlineStr">
        <is>
          <t>TBI</t>
        </is>
      </c>
      <c r="D475" t="inlineStr">
        <is>
          <t>Fast Moving Consumer Goods</t>
        </is>
      </c>
    </row>
    <row r="476">
      <c r="A476" t="n">
        <v>471</v>
      </c>
      <c r="B476" t="inlineStr">
        <is>
          <t>Teamtech Formwork Solutions Ltd.</t>
        </is>
      </c>
      <c r="C476" t="inlineStr">
        <is>
          <t>TEAMTECH</t>
        </is>
      </c>
      <c r="D476" t="inlineStr">
        <is>
          <t>Construction Materials</t>
        </is>
      </c>
    </row>
    <row r="477">
      <c r="A477" t="n">
        <v>472</v>
      </c>
      <c r="B477" t="inlineStr">
        <is>
          <t>TechD Cybersecurity Ltd.</t>
        </is>
      </c>
      <c r="C477" t="inlineStr">
        <is>
          <t>TECHD</t>
        </is>
      </c>
      <c r="D477" t="inlineStr">
        <is>
          <t>Information Technology</t>
        </is>
      </c>
    </row>
    <row r="478">
      <c r="A478" t="n">
        <v>473</v>
      </c>
      <c r="B478" t="inlineStr">
        <is>
          <t>TechEra Engineering (India) Ltd.</t>
        </is>
      </c>
      <c r="C478" t="inlineStr">
        <is>
          <t>TECHERA</t>
        </is>
      </c>
      <c r="D478" t="inlineStr">
        <is>
          <t>Capital Goods</t>
        </is>
      </c>
    </row>
    <row r="479">
      <c r="A479" t="n">
        <v>474</v>
      </c>
      <c r="B479" t="inlineStr">
        <is>
          <t>TEERTH GOPICON Ltd.</t>
        </is>
      </c>
      <c r="C479" t="inlineStr">
        <is>
          <t>TGL</t>
        </is>
      </c>
      <c r="D479" t="inlineStr">
        <is>
          <t>Construction</t>
        </is>
      </c>
    </row>
    <row r="480">
      <c r="A480" t="n">
        <v>475</v>
      </c>
      <c r="B480" t="inlineStr">
        <is>
          <t>Teja Engineering Industries Ltd.</t>
        </is>
      </c>
      <c r="C480" t="inlineStr">
        <is>
          <t>TEJA</t>
        </is>
      </c>
      <c r="D480" t="inlineStr">
        <is>
          <t>Oil Gas &amp; Consumable Fuels</t>
        </is>
      </c>
    </row>
    <row r="481">
      <c r="A481" t="n">
        <v>476</v>
      </c>
      <c r="B481" t="inlineStr">
        <is>
          <t>Tejas Cargo India Ltd.</t>
        </is>
      </c>
      <c r="C481" t="inlineStr">
        <is>
          <t>TEJASCARGO</t>
        </is>
      </c>
      <c r="D481" t="inlineStr">
        <is>
          <t>Services</t>
        </is>
      </c>
    </row>
    <row r="482">
      <c r="A482" t="n">
        <v>477</v>
      </c>
      <c r="B482" t="inlineStr">
        <is>
          <t>Thaai Casting Ltd.</t>
        </is>
      </c>
      <c r="C482" t="inlineStr">
        <is>
          <t>TCL</t>
        </is>
      </c>
      <c r="D482" t="inlineStr">
        <is>
          <t>Automobile and Auto Components</t>
        </is>
      </c>
    </row>
    <row r="483">
      <c r="A483" t="n">
        <v>478</v>
      </c>
      <c r="B483" t="inlineStr">
        <is>
          <t>Thinking Hats Entertainment Solutions Ltd.</t>
        </is>
      </c>
      <c r="C483" t="inlineStr">
        <is>
          <t>THESL</t>
        </is>
      </c>
      <c r="D483" t="inlineStr">
        <is>
          <t>Consumer Services</t>
        </is>
      </c>
    </row>
    <row r="484">
      <c r="A484" t="n">
        <v>479</v>
      </c>
      <c r="B484" t="inlineStr">
        <is>
          <t>Timescan Logistics (India) Ltd.</t>
        </is>
      </c>
      <c r="C484" t="inlineStr">
        <is>
          <t>TIMESCAN</t>
        </is>
      </c>
      <c r="D484" t="inlineStr">
        <is>
          <t>Services</t>
        </is>
      </c>
    </row>
    <row r="485">
      <c r="A485" t="n">
        <v>480</v>
      </c>
      <c r="B485" t="inlineStr">
        <is>
          <t>Transteel Seating Technologies Ltd.</t>
        </is>
      </c>
      <c r="C485" t="inlineStr">
        <is>
          <t>TRANSTEEL</t>
        </is>
      </c>
      <c r="D485" t="inlineStr">
        <is>
          <t>Consumer Durables</t>
        </is>
      </c>
    </row>
    <row r="486">
      <c r="A486" t="n">
        <v>481</v>
      </c>
      <c r="B486" t="inlineStr">
        <is>
          <t>Transwind Infra Ltd.</t>
        </is>
      </c>
      <c r="C486" t="inlineStr">
        <is>
          <t>TRANSWIND</t>
        </is>
      </c>
      <c r="D486" t="inlineStr">
        <is>
          <t>Construction</t>
        </is>
      </c>
    </row>
    <row r="487">
      <c r="A487" t="n">
        <v>482</v>
      </c>
      <c r="B487" t="inlineStr">
        <is>
          <t>Trident Techlabs Ltd.</t>
        </is>
      </c>
      <c r="C487" t="inlineStr">
        <is>
          <t>TECHLABS</t>
        </is>
      </c>
      <c r="D487" t="inlineStr">
        <is>
          <t>Information Technology</t>
        </is>
      </c>
    </row>
    <row r="488">
      <c r="A488" t="n">
        <v>483</v>
      </c>
      <c r="B488" t="inlineStr">
        <is>
          <t>Tridhya Tech Ltd.</t>
        </is>
      </c>
      <c r="C488" t="inlineStr">
        <is>
          <t>TRIDHYA</t>
        </is>
      </c>
      <c r="D488" t="inlineStr">
        <is>
          <t>Information Technology</t>
        </is>
      </c>
    </row>
    <row r="489">
      <c r="A489" t="n">
        <v>484</v>
      </c>
      <c r="B489" t="inlineStr">
        <is>
          <t>Trom Industries Ltd.</t>
        </is>
      </c>
      <c r="C489" t="inlineStr">
        <is>
          <t>TROM</t>
        </is>
      </c>
      <c r="D489" t="inlineStr">
        <is>
          <t>Capital Goods</t>
        </is>
      </c>
    </row>
    <row r="490">
      <c r="A490" t="n">
        <v>485</v>
      </c>
      <c r="B490" t="inlineStr">
        <is>
          <t>Trust Fintech Ltd.</t>
        </is>
      </c>
      <c r="C490" t="inlineStr">
        <is>
          <t>TRUST</t>
        </is>
      </c>
      <c r="D490" t="inlineStr">
        <is>
          <t>Information Technology</t>
        </is>
      </c>
    </row>
    <row r="491">
      <c r="A491" t="n">
        <v>486</v>
      </c>
      <c r="B491" t="inlineStr">
        <is>
          <t>TSC India Ltd.</t>
        </is>
      </c>
      <c r="C491" t="inlineStr">
        <is>
          <t>TSC</t>
        </is>
      </c>
      <c r="D491" t="inlineStr">
        <is>
          <t>Consumer Services</t>
        </is>
      </c>
    </row>
    <row r="492">
      <c r="A492" t="n">
        <v>487</v>
      </c>
      <c r="B492" t="inlineStr">
        <is>
          <t>Tunwal E-Motors Ltd.</t>
        </is>
      </c>
      <c r="C492" t="inlineStr">
        <is>
          <t>TUNWAL</t>
        </is>
      </c>
      <c r="D492" t="inlineStr">
        <is>
          <t>Automobile and Auto Components</t>
        </is>
      </c>
    </row>
    <row r="493">
      <c r="A493" t="n">
        <v>488</v>
      </c>
      <c r="B493" t="inlineStr">
        <is>
          <t>Ultra Wiring Connectivity System Ltd.</t>
        </is>
      </c>
      <c r="C493" t="inlineStr">
        <is>
          <t>UWCSL</t>
        </is>
      </c>
      <c r="D493" t="inlineStr">
        <is>
          <t>Automobile and Auto Components</t>
        </is>
      </c>
    </row>
    <row r="494">
      <c r="A494" t="n">
        <v>489</v>
      </c>
      <c r="B494" t="inlineStr">
        <is>
          <t>Uma Converter Ltd.</t>
        </is>
      </c>
      <c r="C494" t="inlineStr">
        <is>
          <t>UMA</t>
        </is>
      </c>
      <c r="D494" t="inlineStr">
        <is>
          <t>Capital Goods</t>
        </is>
      </c>
    </row>
    <row r="495">
      <c r="A495" t="n">
        <v>490</v>
      </c>
      <c r="B495" t="inlineStr">
        <is>
          <t>Unihealth Hospitals Ltd.</t>
        </is>
      </c>
      <c r="C495" t="inlineStr">
        <is>
          <t>UNIHEALTH</t>
        </is>
      </c>
      <c r="D495" t="inlineStr">
        <is>
          <t>Healthcare</t>
        </is>
      </c>
    </row>
    <row r="496">
      <c r="A496" t="n">
        <v>491</v>
      </c>
      <c r="B496" t="inlineStr">
        <is>
          <t>Unilex Colours and Chemicals Ltd.</t>
        </is>
      </c>
      <c r="C496" t="inlineStr">
        <is>
          <t>UNILEX</t>
        </is>
      </c>
      <c r="D496" t="inlineStr">
        <is>
          <t>Chemicals</t>
        </is>
      </c>
    </row>
    <row r="497">
      <c r="A497" t="n">
        <v>492</v>
      </c>
      <c r="B497" t="inlineStr">
        <is>
          <t>United Heat Transfer Ltd.</t>
        </is>
      </c>
      <c r="C497" t="inlineStr">
        <is>
          <t>UHTL</t>
        </is>
      </c>
      <c r="D497" t="inlineStr">
        <is>
          <t>Capital Goods</t>
        </is>
      </c>
    </row>
    <row r="498">
      <c r="A498" t="n">
        <v>493</v>
      </c>
      <c r="B498" t="inlineStr">
        <is>
          <t>Upsurge Seeds of Agriculture Ltd.</t>
        </is>
      </c>
      <c r="C498" t="inlineStr">
        <is>
          <t>USASEEDS</t>
        </is>
      </c>
      <c r="D498" t="inlineStr">
        <is>
          <t>Fast Moving Consumer Goods</t>
        </is>
      </c>
    </row>
    <row r="499">
      <c r="A499" t="n">
        <v>494</v>
      </c>
      <c r="B499" t="inlineStr">
        <is>
          <t>Urban Enviro Waste Management Ltd.</t>
        </is>
      </c>
      <c r="C499" t="inlineStr">
        <is>
          <t>URBAN</t>
        </is>
      </c>
      <c r="D499" t="inlineStr">
        <is>
          <t>Utilities</t>
        </is>
      </c>
    </row>
    <row r="500">
      <c r="A500" t="n">
        <v>495</v>
      </c>
      <c r="B500" t="inlineStr">
        <is>
          <t>Usha Financial Services Ltd.</t>
        </is>
      </c>
      <c r="C500" t="inlineStr">
        <is>
          <t>USHAFIN</t>
        </is>
      </c>
      <c r="D500" t="inlineStr">
        <is>
          <t>Financial Services</t>
        </is>
      </c>
    </row>
    <row r="501">
      <c r="A501" t="n">
        <v>496</v>
      </c>
      <c r="B501" t="inlineStr">
        <is>
          <t>Ushanti Colour Chem Ltd.</t>
        </is>
      </c>
      <c r="C501" t="inlineStr">
        <is>
          <t>UCL</t>
        </is>
      </c>
      <c r="D501" t="inlineStr">
        <is>
          <t>Chemicals</t>
        </is>
      </c>
    </row>
    <row r="502">
      <c r="A502" t="n">
        <v>497</v>
      </c>
      <c r="B502" t="inlineStr">
        <is>
          <t>Utkal Speciality Industries India Ltd.</t>
        </is>
      </c>
      <c r="C502" t="inlineStr">
        <is>
          <t>UTKAL</t>
        </is>
      </c>
      <c r="D502" t="inlineStr">
        <is>
          <t>Forest Materials</t>
        </is>
      </c>
    </row>
    <row r="503">
      <c r="A503" t="n">
        <v>498</v>
      </c>
      <c r="B503" t="inlineStr">
        <is>
          <t>Utssav CZ Gold Jewels Ltd.</t>
        </is>
      </c>
      <c r="C503" t="inlineStr">
        <is>
          <t>UTSSAV</t>
        </is>
      </c>
      <c r="D503" t="inlineStr">
        <is>
          <t>Consumer Durables</t>
        </is>
      </c>
    </row>
    <row r="504">
      <c r="A504" t="n">
        <v>499</v>
      </c>
      <c r="B504" t="inlineStr">
        <is>
          <t>V Marc India Ltd.</t>
        </is>
      </c>
      <c r="C504" t="inlineStr">
        <is>
          <t>VMARCIND</t>
        </is>
      </c>
      <c r="D504" t="inlineStr">
        <is>
          <t>Capital Goods</t>
        </is>
      </c>
    </row>
    <row r="505">
      <c r="A505" t="n">
        <v>500</v>
      </c>
      <c r="B505" t="inlineStr">
        <is>
          <t>V R Infraspace Ltd.</t>
        </is>
      </c>
      <c r="C505" t="inlineStr">
        <is>
          <t>VR</t>
        </is>
      </c>
      <c r="D505" t="inlineStr">
        <is>
          <t>Realty</t>
        </is>
      </c>
    </row>
    <row r="506">
      <c r="A506" t="n">
        <v>501</v>
      </c>
      <c r="B506" t="inlineStr">
        <is>
          <t>V.L.Infraprojects Ltd.</t>
        </is>
      </c>
      <c r="C506" t="inlineStr">
        <is>
          <t>VLINFRA</t>
        </is>
      </c>
      <c r="D506" t="inlineStr">
        <is>
          <t>Construction</t>
        </is>
      </c>
    </row>
    <row r="507">
      <c r="A507" t="n">
        <v>502</v>
      </c>
      <c r="B507" t="inlineStr">
        <is>
          <t>VADIVARHE SPECIALITY CHEMICALS Ltd.</t>
        </is>
      </c>
      <c r="C507" t="inlineStr">
        <is>
          <t>VSCL</t>
        </is>
      </c>
      <c r="D507" t="inlineStr">
        <is>
          <t>Chemicals</t>
        </is>
      </c>
    </row>
    <row r="508">
      <c r="A508" t="n">
        <v>503</v>
      </c>
      <c r="B508" t="inlineStr">
        <is>
          <t>Vaidya Sane Ayurved Laboratories Ltd.</t>
        </is>
      </c>
      <c r="C508" t="inlineStr">
        <is>
          <t>MADHAVBAUG</t>
        </is>
      </c>
      <c r="D508" t="inlineStr">
        <is>
          <t>Healthcare</t>
        </is>
      </c>
    </row>
    <row r="509">
      <c r="A509" t="n">
        <v>504</v>
      </c>
      <c r="B509" t="inlineStr">
        <is>
          <t>Value 360 Communications Ltd.</t>
        </is>
      </c>
      <c r="C509" t="inlineStr">
        <is>
          <t>VALUE360</t>
        </is>
      </c>
      <c r="D509" t="inlineStr">
        <is>
          <t>Media Entertainment &amp; Publication</t>
        </is>
      </c>
    </row>
    <row r="510">
      <c r="A510" t="n">
        <v>505</v>
      </c>
      <c r="B510" t="inlineStr">
        <is>
          <t>Vasa Denticity Ltd.</t>
        </is>
      </c>
      <c r="C510" t="inlineStr">
        <is>
          <t>DENTALKART</t>
        </is>
      </c>
      <c r="D510" t="inlineStr">
        <is>
          <t>Healthcare</t>
        </is>
      </c>
    </row>
    <row r="511">
      <c r="A511" t="n">
        <v>506</v>
      </c>
      <c r="B511" t="inlineStr">
        <is>
          <t>Vdeal System Ltd.</t>
        </is>
      </c>
      <c r="C511" t="inlineStr">
        <is>
          <t>VDEAL</t>
        </is>
      </c>
      <c r="D511" t="inlineStr">
        <is>
          <t>Capital Goods</t>
        </is>
      </c>
    </row>
    <row r="512">
      <c r="A512" t="n">
        <v>507</v>
      </c>
      <c r="B512" t="inlineStr">
        <is>
          <t>Veekayem Fashion and Apparels Ltd.</t>
        </is>
      </c>
      <c r="C512" t="inlineStr">
        <is>
          <t>VEEKAYEM</t>
        </is>
      </c>
      <c r="D512" t="inlineStr">
        <is>
          <t>Textiles</t>
        </is>
      </c>
    </row>
    <row r="513">
      <c r="A513" t="n">
        <v>508</v>
      </c>
      <c r="B513" t="inlineStr">
        <is>
          <t>Veritaas Advertising Ltd.</t>
        </is>
      </c>
      <c r="C513" t="inlineStr">
        <is>
          <t>VERITAAS</t>
        </is>
      </c>
      <c r="D513" t="inlineStr">
        <is>
          <t>Media Entertainment &amp; Publication</t>
        </is>
      </c>
    </row>
    <row r="514">
      <c r="A514" t="n">
        <v>509</v>
      </c>
      <c r="B514" t="inlineStr">
        <is>
          <t>Vertexplus Technologies Ltd.</t>
        </is>
      </c>
      <c r="C514" t="inlineStr">
        <is>
          <t>VERTEXPLUS</t>
        </is>
      </c>
      <c r="D514" t="inlineStr">
        <is>
          <t>Information Technology</t>
        </is>
      </c>
    </row>
    <row r="515">
      <c r="A515" t="n">
        <v>510</v>
      </c>
      <c r="B515" t="inlineStr">
        <is>
          <t>Viaz Tyres Ltd.</t>
        </is>
      </c>
      <c r="C515" t="inlineStr">
        <is>
          <t>VIAZ</t>
        </is>
      </c>
      <c r="D515" t="inlineStr">
        <is>
          <t>Automobile and Auto Components</t>
        </is>
      </c>
    </row>
    <row r="516">
      <c r="A516" t="n">
        <v>511</v>
      </c>
      <c r="B516" t="inlineStr">
        <is>
          <t>Victory Electric Vehicles International Ltd.</t>
        </is>
      </c>
      <c r="C516" t="inlineStr">
        <is>
          <t>VICTORYEV</t>
        </is>
      </c>
      <c r="D516" t="inlineStr">
        <is>
          <t>Automobile and Auto Components</t>
        </is>
      </c>
    </row>
    <row r="517">
      <c r="A517" t="n">
        <v>512</v>
      </c>
      <c r="B517" t="inlineStr">
        <is>
          <t>Vigor Plast India Ltd.</t>
        </is>
      </c>
      <c r="C517" t="inlineStr">
        <is>
          <t>VIGOR</t>
        </is>
      </c>
      <c r="D517" t="inlineStr">
        <is>
          <t>Capital Goods</t>
        </is>
      </c>
    </row>
    <row r="518">
      <c r="A518" t="n">
        <v>513</v>
      </c>
      <c r="B518" t="inlineStr">
        <is>
          <t>Vijaypd Ceutical Ltd.</t>
        </is>
      </c>
      <c r="C518" t="inlineStr">
        <is>
          <t>VIJAYPD</t>
        </is>
      </c>
      <c r="D518" t="inlineStr">
        <is>
          <t>Consumer Services</t>
        </is>
      </c>
    </row>
    <row r="519">
      <c r="A519" t="n">
        <v>514</v>
      </c>
      <c r="B519" t="inlineStr">
        <is>
          <t>Vilas Transcore Ltd.</t>
        </is>
      </c>
      <c r="C519" t="inlineStr">
        <is>
          <t>VILAS</t>
        </is>
      </c>
      <c r="D519" t="inlineStr">
        <is>
          <t>Capital Goods</t>
        </is>
      </c>
    </row>
    <row r="520">
      <c r="A520" t="n">
        <v>515</v>
      </c>
      <c r="B520" t="inlineStr">
        <is>
          <t>VILIN BIO MED Ltd.</t>
        </is>
      </c>
      <c r="C520" t="inlineStr">
        <is>
          <t>VILINBIO</t>
        </is>
      </c>
      <c r="D520" t="inlineStr">
        <is>
          <t>Healthcare</t>
        </is>
      </c>
    </row>
    <row r="521">
      <c r="A521" t="n">
        <v>516</v>
      </c>
      <c r="B521" t="inlineStr">
        <is>
          <t>Vinit Mobile Ltd.</t>
        </is>
      </c>
      <c r="C521" t="inlineStr">
        <is>
          <t>VMOBILE</t>
        </is>
      </c>
      <c r="D521" t="inlineStr">
        <is>
          <t>Consumer Services</t>
        </is>
      </c>
    </row>
    <row r="522">
      <c r="A522" t="n">
        <v>517</v>
      </c>
      <c r="B522" t="inlineStr">
        <is>
          <t>Vinsys IT Services India Ltd.</t>
        </is>
      </c>
      <c r="C522" t="inlineStr">
        <is>
          <t>VINSYS</t>
        </is>
      </c>
      <c r="D522" t="inlineStr">
        <is>
          <t>Consumer Services</t>
        </is>
      </c>
    </row>
    <row r="523">
      <c r="A523" t="n">
        <v>518</v>
      </c>
      <c r="B523" t="inlineStr">
        <is>
          <t>Vinyas Innovative Technologies Ltd.</t>
        </is>
      </c>
      <c r="C523" t="inlineStr">
        <is>
          <t>VINYAS</t>
        </is>
      </c>
      <c r="D523" t="inlineStr">
        <is>
          <t>Capital Goods</t>
        </is>
      </c>
    </row>
    <row r="524">
      <c r="A524" t="n">
        <v>519</v>
      </c>
      <c r="B524" t="inlineStr">
        <is>
          <t>Virtual Galaxy Infotech Ltd.</t>
        </is>
      </c>
      <c r="C524" t="inlineStr">
        <is>
          <t>VGINFOTECH</t>
        </is>
      </c>
      <c r="D524" t="inlineStr">
        <is>
          <t>Information Technology</t>
        </is>
      </c>
    </row>
    <row r="525">
      <c r="A525" t="n">
        <v>520</v>
      </c>
      <c r="B525" t="inlineStr">
        <is>
          <t>Visdem Technosys Ltd.</t>
        </is>
      </c>
      <c r="C525" t="inlineStr">
        <is>
          <t>VISDEM</t>
        </is>
      </c>
      <c r="D525" t="inlineStr">
        <is>
          <t>Consumer Durables</t>
        </is>
      </c>
    </row>
    <row r="526">
      <c r="A526" t="n">
        <v>521</v>
      </c>
      <c r="B526" t="inlineStr">
        <is>
          <t>Vishnusurya Projects and Infra Ltd.</t>
        </is>
      </c>
      <c r="C526" t="inlineStr">
        <is>
          <t>VISHNUINFR</t>
        </is>
      </c>
      <c r="D526" t="inlineStr">
        <is>
          <t>Construction</t>
        </is>
      </c>
    </row>
    <row r="527">
      <c r="A527" t="n">
        <v>522</v>
      </c>
      <c r="B527" t="inlineStr">
        <is>
          <t>Vishwas Agri Seeds Ltd.</t>
        </is>
      </c>
      <c r="C527" t="inlineStr">
        <is>
          <t>VISHWAS</t>
        </is>
      </c>
      <c r="D527" t="inlineStr">
        <is>
          <t>Fast Moving Consumer Goods</t>
        </is>
      </c>
    </row>
    <row r="528">
      <c r="A528" t="n">
        <v>523</v>
      </c>
      <c r="B528" t="inlineStr">
        <is>
          <t>Vision Infra Equipment Solutions Ltd.</t>
        </is>
      </c>
      <c r="C528" t="inlineStr">
        <is>
          <t>VIESL</t>
        </is>
      </c>
      <c r="D528" t="inlineStr">
        <is>
          <t>Services</t>
        </is>
      </c>
    </row>
    <row r="529">
      <c r="A529" t="n">
        <v>524</v>
      </c>
      <c r="B529" t="inlineStr">
        <is>
          <t>Vivid Electromech Ltd.</t>
        </is>
      </c>
      <c r="C529" t="inlineStr">
        <is>
          <t>VIVIDEL</t>
        </is>
      </c>
      <c r="D529" t="inlineStr">
        <is>
          <t>Capital Goods</t>
        </is>
      </c>
    </row>
    <row r="530">
      <c r="A530" t="n">
        <v>525</v>
      </c>
      <c r="B530" t="inlineStr">
        <is>
          <t>Vivo Collaboration Solutions Ltd.</t>
        </is>
      </c>
      <c r="C530" t="inlineStr">
        <is>
          <t>VIVO</t>
        </is>
      </c>
      <c r="D530" t="inlineStr">
        <is>
          <t>Telecommunication</t>
        </is>
      </c>
    </row>
    <row r="531">
      <c r="A531" t="n">
        <v>526</v>
      </c>
      <c r="B531" t="inlineStr">
        <is>
          <t>Voler Car Ltd.</t>
        </is>
      </c>
      <c r="C531" t="inlineStr">
        <is>
          <t>VOLERCAR</t>
        </is>
      </c>
      <c r="D531" t="inlineStr">
        <is>
          <t>Services</t>
        </is>
      </c>
    </row>
    <row r="532">
      <c r="A532" t="n">
        <v>527</v>
      </c>
      <c r="B532" t="inlineStr">
        <is>
          <t>Walpar Nutritions Ltd.</t>
        </is>
      </c>
      <c r="C532" t="inlineStr">
        <is>
          <t>WALPAR</t>
        </is>
      </c>
      <c r="D532" t="inlineStr">
        <is>
          <t>Healthcare</t>
        </is>
      </c>
    </row>
    <row r="533">
      <c r="A533" t="n">
        <v>528</v>
      </c>
      <c r="B533" t="inlineStr">
        <is>
          <t>Winny Immigration &amp; Education Services Ltd.</t>
        </is>
      </c>
      <c r="C533" t="inlineStr">
        <is>
          <t>WINNY</t>
        </is>
      </c>
      <c r="D533" t="inlineStr">
        <is>
          <t>Consumer Services</t>
        </is>
      </c>
    </row>
    <row r="534">
      <c r="A534" t="n">
        <v>529</v>
      </c>
      <c r="B534" t="inlineStr">
        <is>
          <t>Winsol Engineers Ltd.</t>
        </is>
      </c>
      <c r="C534" t="inlineStr">
        <is>
          <t>WINSOL</t>
        </is>
      </c>
      <c r="D534" t="inlineStr">
        <is>
          <t>Construction</t>
        </is>
      </c>
    </row>
    <row r="535">
      <c r="A535" t="n">
        <v>530</v>
      </c>
      <c r="B535" t="inlineStr">
        <is>
          <t>Wise Travel India Ltd.</t>
        </is>
      </c>
      <c r="C535" t="inlineStr">
        <is>
          <t>WTICAB</t>
        </is>
      </c>
      <c r="D535" t="inlineStr">
        <is>
          <t>Services</t>
        </is>
      </c>
    </row>
    <row r="536">
      <c r="A536" t="n">
        <v>531</v>
      </c>
      <c r="B536" t="inlineStr">
        <is>
          <t>Wol 3D India Ltd.</t>
        </is>
      </c>
      <c r="C536" t="inlineStr">
        <is>
          <t>WOL3D</t>
        </is>
      </c>
      <c r="D536" t="inlineStr">
        <is>
          <t>Capital Goods</t>
        </is>
      </c>
    </row>
    <row r="537">
      <c r="A537" t="n">
        <v>532</v>
      </c>
      <c r="B537" t="inlineStr">
        <is>
          <t>Womancart Ltd.</t>
        </is>
      </c>
      <c r="C537" t="inlineStr">
        <is>
          <t>WOMANCART</t>
        </is>
      </c>
      <c r="D537" t="inlineStr">
        <is>
          <t>Consumer Services</t>
        </is>
      </c>
    </row>
    <row r="538">
      <c r="A538" t="n">
        <v>533</v>
      </c>
      <c r="B538" t="inlineStr">
        <is>
          <t>Yaap Digital Ltd.</t>
        </is>
      </c>
      <c r="C538" t="inlineStr">
        <is>
          <t>YAAP</t>
        </is>
      </c>
      <c r="D538" t="inlineStr">
        <is>
          <t>Media Entertainment &amp; Publication</t>
        </is>
      </c>
    </row>
    <row r="539">
      <c r="A539" t="n">
        <v>534</v>
      </c>
      <c r="B539" t="inlineStr">
        <is>
          <t>Yash Optics &amp; Lens Ltd.</t>
        </is>
      </c>
      <c r="C539" t="inlineStr">
        <is>
          <t>YASHOPTICS</t>
        </is>
      </c>
      <c r="D539" t="inlineStr">
        <is>
          <t>Consumer Durables</t>
        </is>
      </c>
    </row>
    <row r="540">
      <c r="A540" t="n">
        <v>535</v>
      </c>
      <c r="B540" t="inlineStr">
        <is>
          <t>Yasons Chemex Care Ltd.</t>
        </is>
      </c>
      <c r="C540" t="inlineStr">
        <is>
          <t>YCCL</t>
        </is>
      </c>
      <c r="D540" t="inlineStr">
        <is>
          <t>Chemicals</t>
        </is>
      </c>
    </row>
    <row r="541">
      <c r="A541" t="n">
        <v>536</v>
      </c>
      <c r="B541" t="inlineStr">
        <is>
          <t>Yudiz Solutions Ltd.</t>
        </is>
      </c>
      <c r="C541" t="inlineStr">
        <is>
          <t>YUDIZ</t>
        </is>
      </c>
      <c r="D541" t="inlineStr">
        <is>
          <t>Information Technology</t>
        </is>
      </c>
    </row>
    <row r="542">
      <c r="A542" t="n">
        <v>537</v>
      </c>
      <c r="B542" t="inlineStr">
        <is>
          <t>Z-Tech (India) Ltd.</t>
        </is>
      </c>
      <c r="C542" t="inlineStr">
        <is>
          <t>ZTECH</t>
        </is>
      </c>
      <c r="D542" t="inlineStr">
        <is>
          <t>Utilities</t>
        </is>
      </c>
    </row>
    <row r="543">
      <c r="A543" t="n">
        <v>538</v>
      </c>
      <c r="B543" t="inlineStr">
        <is>
          <t>Zeal Global Services Ltd.</t>
        </is>
      </c>
      <c r="C543" t="inlineStr">
        <is>
          <t>ZEAL</t>
        </is>
      </c>
      <c r="D543" t="inlineStr">
        <is>
          <t>Services</t>
        </is>
      </c>
    </row>
    <row r="544">
      <c r="A544" t="n">
        <v>539</v>
      </c>
      <c r="B544" t="inlineStr">
        <is>
          <t>Zenith Drugs Ltd.</t>
        </is>
      </c>
      <c r="C544" t="inlineStr">
        <is>
          <t>ZENITHDRUG</t>
        </is>
      </c>
      <c r="D544" t="inlineStr">
        <is>
          <t>Healthcare</t>
        </is>
      </c>
    </row>
  </sheetData>
  <mergeCells count="1">
    <mergeCell ref="A1:E1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2026-10-28T18:30:18Z</dcterms:created>
  <dcterms:modified xsi:type="dcterms:W3CDTF">2026-10-28T18:30:43Z</dcterms:modified>
</cp:coreProperties>
</file>