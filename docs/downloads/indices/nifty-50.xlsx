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22721.95</v>
      </c>
      <c r="D5" s="2" t="inlineStr">
        <is>
          <t>P/E</t>
        </is>
      </c>
      <c r="E5" s="25" t="n">
        <v>19.41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1170.631117980422</v>
      </c>
    </row>
    <row r="7">
      <c r="A7" s="2" t="inlineStr">
        <is>
          <t>YoY implied EPS growth</t>
        </is>
      </c>
      <c r="B7" s="26" t="n">
        <v>0.03525658629000761</v>
      </c>
      <c r="D7" s="2" t="inlineStr">
        <is>
          <t>Earnings yield</t>
        </is>
      </c>
      <c r="E7" s="10" t="n">
        <v>0.05151983513652756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34.10263451600304</v>
      </c>
    </row>
    <row r="9">
      <c r="A9" s="2" t="inlineStr">
        <is>
          <t>Composite score</t>
        </is>
      </c>
      <c r="B9" s="28" t="n">
        <v>78.66362617569644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20.44646173763098</v>
      </c>
      <c r="C13" s="15" t="n">
        <v>23935.26436266688</v>
      </c>
      <c r="D13" s="30" t="n">
        <v>0.05339833784806691</v>
      </c>
    </row>
    <row r="14">
      <c r="A14" t="inlineStr">
        <is>
          <t>HOLD → SELL</t>
        </is>
      </c>
      <c r="B14" s="29" t="n">
        <v>22.21</v>
      </c>
      <c r="C14" s="15" t="n">
        <v>25999.71713034518</v>
      </c>
      <c r="D14" s="30" t="n">
        <v>0.1442555383822772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21</v>
      </c>
      <c r="C18" s="30" t="n">
        <v>0.379411086338</v>
      </c>
      <c r="D18" s="30" t="n">
        <v>0.280429262872</v>
      </c>
      <c r="E18" s="30" t="n">
        <v>0.233024783443</v>
      </c>
      <c r="F18" s="30" t="n">
        <v>0.163926355181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0.179797624285</v>
      </c>
      <c r="D19" s="30" t="n">
        <v>0.120847432659</v>
      </c>
      <c r="E19" s="30" t="n">
        <v>0.121601648656</v>
      </c>
      <c r="F19" s="30" t="n">
        <v>0.1224198770705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0.10682555727</v>
      </c>
      <c r="D20" s="30" t="n">
        <v>0.0833084895083</v>
      </c>
      <c r="E20" s="30" t="n">
        <v>0.112600954557</v>
      </c>
      <c r="F20" s="30" t="n">
        <v>0.1144515211675</v>
      </c>
      <c r="G20" s="30" t="n">
        <v>0.05263157894736842</v>
      </c>
    </row>
    <row r="21">
      <c r="A21" t="inlineStr">
        <is>
          <t>Q4</t>
        </is>
      </c>
      <c r="B21" t="n">
        <v>23</v>
      </c>
      <c r="C21" s="30" t="n">
        <v>0.06274103937430001</v>
      </c>
      <c r="D21" s="30" t="n">
        <v>0.0600273614172</v>
      </c>
      <c r="E21" s="30" t="n">
        <v>0.08987020932285</v>
      </c>
      <c r="F21" s="30" t="n">
        <v>0.104325192957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0.0432896067489</v>
      </c>
      <c r="D22" s="30" t="n">
        <v>0.13787542514</v>
      </c>
      <c r="E22" s="30" t="n">
        <v>0.117960352541</v>
      </c>
      <c r="F22" s="30" t="n">
        <v>0.07509863754169999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111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22620.45</v>
      </c>
      <c r="C67" s="25" t="n">
        <v>19.36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4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IF(C2="","",(COUNTIFS($D$2:$D$112,D2,$C$2:$C$112,"&gt;0",$C$2:$C$112,"&lt;"&amp;C2)+(COUNTIFS($D$2:$D$112,D2,$C$2:$C$112,C2)+1)/2)/COUNTIFS($D$2:$D$112,D2,$C$2:$C$112,"&gt;0"))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IF(C3="","",(COUNTIFS($D$2:$D$112,D3,$C$2:$C$112,"&gt;0",$C$2:$C$112,"&lt;"&amp;C3)+(COUNTIFS($D$2:$D$112,D3,$C$2:$C$112,C3)+1)/2)/COUNTIFS($D$2:$D$112,D3,$C$2:$C$112,"&gt;0"))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IF(C4="","",(COUNTIFS($D$2:$D$112,D4,$C$2:$C$112,"&gt;0",$C$2:$C$112,"&lt;"&amp;C4)+(COUNTIFS($D$2:$D$112,D4,$C$2:$C$112,C4)+1)/2)/COUNTIFS($D$2:$D$112,D4,$C$2:$C$112,"&gt;0"))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IF(C5="","",(COUNTIFS($D$2:$D$112,D5,$C$2:$C$112,"&gt;0",$C$2:$C$112,"&lt;"&amp;C5)+(COUNTIFS($D$2:$D$112,D5,$C$2:$C$112,C5)+1)/2)/COUNTIFS($D$2:$D$112,D5,$C$2:$C$112,"&gt;0"))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IF(C6="","",(COUNTIFS($D$2:$D$112,D6,$C$2:$C$112,"&gt;0",$C$2:$C$112,"&lt;"&amp;C6)+(COUNTIFS($D$2:$D$112,D6,$C$2:$C$112,C6)+1)/2)/COUNTIFS($D$2:$D$112,D6,$C$2:$C$112,"&gt;0"))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IF(C7="","",(COUNTIFS($D$2:$D$112,D7,$C$2:$C$112,"&gt;0",$C$2:$C$112,"&lt;"&amp;C7)+(COUNTIFS($D$2:$D$112,D7,$C$2:$C$112,C7)+1)/2)/COUNTIFS($D$2:$D$112,D7,$C$2:$C$112,"&gt;0"))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IF(C8="","",(COUNTIFS($D$2:$D$112,D8,$C$2:$C$112,"&gt;0",$C$2:$C$112,"&lt;"&amp;C8)+(COUNTIFS($D$2:$D$112,D8,$C$2:$C$112,C8)+1)/2)/COUNTIFS($D$2:$D$112,D8,$C$2:$C$112,"&gt;0"))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IF(C9="","",(COUNTIFS($D$2:$D$112,D9,$C$2:$C$112,"&gt;0",$C$2:$C$112,"&lt;"&amp;C9)+(COUNTIFS($D$2:$D$112,D9,$C$2:$C$112,C9)+1)/2)/COUNTIFS($D$2:$D$112,D9,$C$2:$C$112,"&gt;0"))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IF(C10="","",(COUNTIFS($D$2:$D$112,D10,$C$2:$C$112,"&gt;0",$C$2:$C$112,"&lt;"&amp;C10)+(COUNTIFS($D$2:$D$112,D10,$C$2:$C$112,C10)+1)/2)/COUNTIFS($D$2:$D$112,D10,$C$2:$C$112,"&gt;0"))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IF(C11="","",(COUNTIFS($D$2:$D$112,D11,$C$2:$C$112,"&gt;0",$C$2:$C$112,"&lt;"&amp;C11)+(COUNTIFS($D$2:$D$112,D11,$C$2:$C$112,C11)+1)/2)/COUNTIFS($D$2:$D$112,D11,$C$2:$C$112,"&gt;0"))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IF(C12="","",(COUNTIFS($D$2:$D$112,D12,$C$2:$C$112,"&gt;0",$C$2:$C$112,"&lt;"&amp;C12)+(COUNTIFS($D$2:$D$112,D12,$C$2:$C$112,C12)+1)/2)/COUNTIFS($D$2:$D$112,D12,$C$2:$C$112,"&gt;0"))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IF(C13="","",(COUNTIFS($D$2:$D$112,D13,$C$2:$C$112,"&gt;0",$C$2:$C$112,"&lt;"&amp;C13)+(COUNTIFS($D$2:$D$112,D13,$C$2:$C$112,C13)+1)/2)/COUNTIFS($D$2:$D$112,D13,$C$2:$C$112,"&gt;0"))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IF(C14="","",(COUNTIFS($D$2:$D$112,D14,$C$2:$C$112,"&gt;0",$C$2:$C$112,"&lt;"&amp;C14)+(COUNTIFS($D$2:$D$112,D14,$C$2:$C$112,C14)+1)/2)/COUNTIFS($D$2:$D$112,D14,$C$2:$C$112,"&gt;0"))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IF(C15="","",(COUNTIFS($D$2:$D$112,D15,$C$2:$C$112,"&gt;0",$C$2:$C$112,"&lt;"&amp;C15)+(COUNTIFS($D$2:$D$112,D15,$C$2:$C$112,C15)+1)/2)/COUNTIFS($D$2:$D$112,D15,$C$2:$C$112,"&gt;0"))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IF(C16="","",(COUNTIFS($D$2:$D$112,D16,$C$2:$C$112,"&gt;0",$C$2:$C$112,"&lt;"&amp;C16)+(COUNTIFS($D$2:$D$112,D16,$C$2:$C$112,C16)+1)/2)/COUNTIFS($D$2:$D$112,D16,$C$2:$C$112,"&gt;0"))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IF(C17="","",(COUNTIFS($D$2:$D$112,D17,$C$2:$C$112,"&gt;0",$C$2:$C$112,"&lt;"&amp;C17)+(COUNTIFS($D$2:$D$112,D17,$C$2:$C$112,C17)+1)/2)/COUNTIFS($D$2:$D$112,D17,$C$2:$C$112,"&gt;0"))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IF(C18="","",(COUNTIFS($D$2:$D$112,D18,$C$2:$C$112,"&gt;0",$C$2:$C$112,"&lt;"&amp;C18)+(COUNTIFS($D$2:$D$112,D18,$C$2:$C$112,C18)+1)/2)/COUNTIFS($D$2:$D$112,D18,$C$2:$C$112,"&gt;0"))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IF(C19="","",(COUNTIFS($D$2:$D$112,D19,$C$2:$C$112,"&gt;0",$C$2:$C$112,"&lt;"&amp;C19)+(COUNTIFS($D$2:$D$112,D19,$C$2:$C$112,C19)+1)/2)/COUNTIFS($D$2:$D$112,D19,$C$2:$C$112,"&gt;0"))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IF(C20="","",(COUNTIFS($D$2:$D$112,D20,$C$2:$C$112,"&gt;0",$C$2:$C$112,"&lt;"&amp;C20)+(COUNTIFS($D$2:$D$112,D20,$C$2:$C$112,C20)+1)/2)/COUNTIFS($D$2:$D$112,D20,$C$2:$C$112,"&gt;0"))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IF(C21="","",(COUNTIFS($D$2:$D$112,D21,$C$2:$C$112,"&gt;0",$C$2:$C$112,"&lt;"&amp;C21)+(COUNTIFS($D$2:$D$112,D21,$C$2:$C$112,C21)+1)/2)/COUNTIFS($D$2:$D$112,D21,$C$2:$C$112,"&gt;0"))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IF(C22="","",(COUNTIFS($D$2:$D$112,D22,$C$2:$C$112,"&gt;0",$C$2:$C$112,"&lt;"&amp;C22)+(COUNTIFS($D$2:$D$112,D22,$C$2:$C$112,C22)+1)/2)/COUNTIFS($D$2:$D$112,D22,$C$2:$C$112,"&gt;0"))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IF(C23="","",(COUNTIFS($D$2:$D$112,D23,$C$2:$C$112,"&gt;0",$C$2:$C$112,"&lt;"&amp;C23)+(COUNTIFS($D$2:$D$112,D23,$C$2:$C$112,C23)+1)/2)/COUNTIFS($D$2:$D$112,D23,$C$2:$C$112,"&gt;0"))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IF(C24="","",(COUNTIFS($D$2:$D$112,D24,$C$2:$C$112,"&gt;0",$C$2:$C$112,"&lt;"&amp;C24)+(COUNTIFS($D$2:$D$112,D24,$C$2:$C$112,C24)+1)/2)/COUNTIFS($D$2:$D$112,D24,$C$2:$C$112,"&gt;0"))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IF(C25="","",(COUNTIFS($D$2:$D$112,D25,$C$2:$C$112,"&gt;0",$C$2:$C$112,"&lt;"&amp;C25)+(COUNTIFS($D$2:$D$112,D25,$C$2:$C$112,C25)+1)/2)/COUNTIFS($D$2:$D$112,D25,$C$2:$C$112,"&gt;0"))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IF(C26="","",(COUNTIFS($D$2:$D$112,D26,$C$2:$C$112,"&gt;0",$C$2:$C$112,"&lt;"&amp;C26)+(COUNTIFS($D$2:$D$112,D26,$C$2:$C$112,C26)+1)/2)/COUNTIFS($D$2:$D$112,D26,$C$2:$C$112,"&gt;0"))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IF(C27="","",(COUNTIFS($D$2:$D$112,D27,$C$2:$C$112,"&gt;0",$C$2:$C$112,"&lt;"&amp;C27)+(COUNTIFS($D$2:$D$112,D27,$C$2:$C$112,C27)+1)/2)/COUNTIFS($D$2:$D$112,D27,$C$2:$C$112,"&gt;0"))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IF(C28="","",(COUNTIFS($D$2:$D$112,D28,$C$2:$C$112,"&gt;0",$C$2:$C$112,"&lt;"&amp;C28)+(COUNTIFS($D$2:$D$112,D28,$C$2:$C$112,C28)+1)/2)/COUNTIFS($D$2:$D$112,D28,$C$2:$C$112,"&gt;0"))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IF(C29="","",(COUNTIFS($D$2:$D$112,D29,$C$2:$C$112,"&gt;0",$C$2:$C$112,"&lt;"&amp;C29)+(COUNTIFS($D$2:$D$112,D29,$C$2:$C$112,C29)+1)/2)/COUNTIFS($D$2:$D$112,D29,$C$2:$C$112,"&gt;0"))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IF(C30="","",(COUNTIFS($D$2:$D$112,D30,$C$2:$C$112,"&gt;0",$C$2:$C$112,"&lt;"&amp;C30)+(COUNTIFS($D$2:$D$112,D30,$C$2:$C$112,C30)+1)/2)/COUNTIFS($D$2:$D$112,D30,$C$2:$C$112,"&gt;0"))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IF(C31="","",(COUNTIFS($D$2:$D$112,D31,$C$2:$C$112,"&gt;0",$C$2:$C$112,"&lt;"&amp;C31)+(COUNTIFS($D$2:$D$112,D31,$C$2:$C$112,C31)+1)/2)/COUNTIFS($D$2:$D$112,D31,$C$2:$C$112,"&gt;0"))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IF(C32="","",(COUNTIFS($D$2:$D$112,D32,$C$2:$C$112,"&gt;0",$C$2:$C$112,"&lt;"&amp;C32)+(COUNTIFS($D$2:$D$112,D32,$C$2:$C$112,C32)+1)/2)/COUNTIFS($D$2:$D$112,D32,$C$2:$C$112,"&gt;0"))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IF(C33="","",(COUNTIFS($D$2:$D$112,D33,$C$2:$C$112,"&gt;0",$C$2:$C$112,"&lt;"&amp;C33)+(COUNTIFS($D$2:$D$112,D33,$C$2:$C$112,C33)+1)/2)/COUNTIFS($D$2:$D$112,D33,$C$2:$C$112,"&gt;0"))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IF(C34="","",(COUNTIFS($D$2:$D$112,D34,$C$2:$C$112,"&gt;0",$C$2:$C$112,"&lt;"&amp;C34)+(COUNTIFS($D$2:$D$112,D34,$C$2:$C$112,C34)+1)/2)/COUNTIFS($D$2:$D$112,D34,$C$2:$C$112,"&gt;0"))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IF(C35="","",(COUNTIFS($D$2:$D$112,D35,$C$2:$C$112,"&gt;0",$C$2:$C$112,"&lt;"&amp;C35)+(COUNTIFS($D$2:$D$112,D35,$C$2:$C$112,C35)+1)/2)/COUNTIFS($D$2:$D$112,D35,$C$2:$C$112,"&gt;0"))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IF(C36="","",(COUNTIFS($D$2:$D$112,D36,$C$2:$C$112,"&gt;0",$C$2:$C$112,"&lt;"&amp;C36)+(COUNTIFS($D$2:$D$112,D36,$C$2:$C$112,C36)+1)/2)/COUNTIFS($D$2:$D$112,D36,$C$2:$C$112,"&gt;0"))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IF(C37="","",(COUNTIFS($D$2:$D$112,D37,$C$2:$C$112,"&gt;0",$C$2:$C$112,"&lt;"&amp;C37)+(COUNTIFS($D$2:$D$112,D37,$C$2:$C$112,C37)+1)/2)/COUNTIFS($D$2:$D$112,D37,$C$2:$C$112,"&gt;0"))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IF(C38="","",(COUNTIFS($D$2:$D$112,D38,$C$2:$C$112,"&gt;0",$C$2:$C$112,"&lt;"&amp;C38)+(COUNTIFS($D$2:$D$112,D38,$C$2:$C$112,C38)+1)/2)/COUNTIFS($D$2:$D$112,D38,$C$2:$C$112,"&gt;0"))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IF(C39="","",(COUNTIFS($D$2:$D$112,D39,$C$2:$C$112,"&gt;0",$C$2:$C$112,"&lt;"&amp;C39)+(COUNTIFS($D$2:$D$112,D39,$C$2:$C$112,C39)+1)/2)/COUNTIFS($D$2:$D$112,D39,$C$2:$C$112,"&gt;0"))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IF(C40="","",(COUNTIFS($D$2:$D$112,D40,$C$2:$C$112,"&gt;0",$C$2:$C$112,"&lt;"&amp;C40)+(COUNTIFS($D$2:$D$112,D40,$C$2:$C$112,C40)+1)/2)/COUNTIFS($D$2:$D$112,D40,$C$2:$C$112,"&gt;0"))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IF(C41="","",(COUNTIFS($D$2:$D$112,D41,$C$2:$C$112,"&gt;0",$C$2:$C$112,"&lt;"&amp;C41)+(COUNTIFS($D$2:$D$112,D41,$C$2:$C$112,C41)+1)/2)/COUNTIFS($D$2:$D$112,D41,$C$2:$C$112,"&gt;0"))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IF(C42="","",(COUNTIFS($D$2:$D$112,D42,$C$2:$C$112,"&gt;0",$C$2:$C$112,"&lt;"&amp;C42)+(COUNTIFS($D$2:$D$112,D42,$C$2:$C$112,C42)+1)/2)/COUNTIFS($D$2:$D$112,D42,$C$2:$C$112,"&gt;0"))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IF(C43="","",(COUNTIFS($D$2:$D$112,D43,$C$2:$C$112,"&gt;0",$C$2:$C$112,"&lt;"&amp;C43)+(COUNTIFS($D$2:$D$112,D43,$C$2:$C$112,C43)+1)/2)/COUNTIFS($D$2:$D$112,D43,$C$2:$C$112,"&gt;0"))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IF(C44="","",(COUNTIFS($D$2:$D$112,D44,$C$2:$C$112,"&gt;0",$C$2:$C$112,"&lt;"&amp;C44)+(COUNTIFS($D$2:$D$112,D44,$C$2:$C$112,C44)+1)/2)/COUNTIFS($D$2:$D$112,D44,$C$2:$C$112,"&gt;0"))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IF(C45="","",(COUNTIFS($D$2:$D$112,D45,$C$2:$C$112,"&gt;0",$C$2:$C$112,"&lt;"&amp;C45)+(COUNTIFS($D$2:$D$112,D45,$C$2:$C$112,C45)+1)/2)/COUNTIFS($D$2:$D$112,D45,$C$2:$C$112,"&gt;0"))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IF(C46="","",(COUNTIFS($D$2:$D$112,D46,$C$2:$C$112,"&gt;0",$C$2:$C$112,"&lt;"&amp;C46)+(COUNTIFS($D$2:$D$112,D46,$C$2:$C$112,C46)+1)/2)/COUNTIFS($D$2:$D$112,D46,$C$2:$C$112,"&gt;0"))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IF(C47="","",(COUNTIFS($D$2:$D$112,D47,$C$2:$C$112,"&gt;0",$C$2:$C$112,"&lt;"&amp;C47)+(COUNTIFS($D$2:$D$112,D47,$C$2:$C$112,C47)+1)/2)/COUNTIFS($D$2:$D$112,D47,$C$2:$C$112,"&gt;0"))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IF(C48="","",(COUNTIFS($D$2:$D$112,D48,$C$2:$C$112,"&gt;0",$C$2:$C$112,"&lt;"&amp;C48)+(COUNTIFS($D$2:$D$112,D48,$C$2:$C$112,C48)+1)/2)/COUNTIFS($D$2:$D$112,D48,$C$2:$C$112,"&gt;0"))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IF(C49="","",(COUNTIFS($D$2:$D$112,D49,$C$2:$C$112,"&gt;0",$C$2:$C$112,"&lt;"&amp;C49)+(COUNTIFS($D$2:$D$112,D49,$C$2:$C$112,C49)+1)/2)/COUNTIFS($D$2:$D$112,D49,$C$2:$C$112,"&gt;0"))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IF(C50="","",(COUNTIFS($D$2:$D$112,D50,$C$2:$C$112,"&gt;0",$C$2:$C$112,"&lt;"&amp;C50)+(COUNTIFS($D$2:$D$112,D50,$C$2:$C$112,C50)+1)/2)/COUNTIFS($D$2:$D$112,D50,$C$2:$C$112,"&gt;0"))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IF(C51="","",(COUNTIFS($D$2:$D$112,D51,$C$2:$C$112,"&gt;0",$C$2:$C$112,"&lt;"&amp;C51)+(COUNTIFS($D$2:$D$112,D51,$C$2:$C$112,C51)+1)/2)/COUNTIFS($D$2:$D$112,D51,$C$2:$C$112,"&gt;0"))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IF(C52="","",(COUNTIFS($D$2:$D$112,D52,$C$2:$C$112,"&gt;0",$C$2:$C$112,"&lt;"&amp;C52)+(COUNTIFS($D$2:$D$112,D52,$C$2:$C$112,C52)+1)/2)/COUNTIFS($D$2:$D$112,D52,$C$2:$C$112,"&gt;0"))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IF(C53="","",(COUNTIFS($D$2:$D$112,D53,$C$2:$C$112,"&gt;0",$C$2:$C$112,"&lt;"&amp;C53)+(COUNTIFS($D$2:$D$112,D53,$C$2:$C$112,C53)+1)/2)/COUNTIFS($D$2:$D$112,D53,$C$2:$C$112,"&gt;0"))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IF(C54="","",(COUNTIFS($D$2:$D$112,D54,$C$2:$C$112,"&gt;0",$C$2:$C$112,"&lt;"&amp;C54)+(COUNTIFS($D$2:$D$112,D54,$C$2:$C$112,C54)+1)/2)/COUNTIFS($D$2:$D$112,D54,$C$2:$C$112,"&gt;0"))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IF(C55="","",(COUNTIFS($D$2:$D$112,D55,$C$2:$C$112,"&gt;0",$C$2:$C$112,"&lt;"&amp;C55)+(COUNTIFS($D$2:$D$112,D55,$C$2:$C$112,C55)+1)/2)/COUNTIFS($D$2:$D$112,D55,$C$2:$C$112,"&gt;0"))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IF(C56="","",(COUNTIFS($D$2:$D$112,D56,$C$2:$C$112,"&gt;0",$C$2:$C$112,"&lt;"&amp;C56)+(COUNTIFS($D$2:$D$112,D56,$C$2:$C$112,C56)+1)/2)/COUNTIFS($D$2:$D$112,D56,$C$2:$C$112,"&gt;0"))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IF(C57="","",(COUNTIFS($D$2:$D$112,D57,$C$2:$C$112,"&gt;0",$C$2:$C$112,"&lt;"&amp;C57)+(COUNTIFS($D$2:$D$112,D57,$C$2:$C$112,C57)+1)/2)/COUNTIFS($D$2:$D$112,D57,$C$2:$C$112,"&gt;0"))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IF(C58="","",(COUNTIFS($D$2:$D$112,D58,$C$2:$C$112,"&gt;0",$C$2:$C$112,"&lt;"&amp;C58)+(COUNTIFS($D$2:$D$112,D58,$C$2:$C$112,C58)+1)/2)/COUNTIFS($D$2:$D$112,D58,$C$2:$C$112,"&gt;0"))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IF(C59="","",(COUNTIFS($D$2:$D$112,D59,$C$2:$C$112,"&gt;0",$C$2:$C$112,"&lt;"&amp;C59)+(COUNTIFS($D$2:$D$112,D59,$C$2:$C$112,C59)+1)/2)/COUNTIFS($D$2:$D$112,D59,$C$2:$C$112,"&gt;0"))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IF(C60="","",(COUNTIFS($D$2:$D$112,D60,$C$2:$C$112,"&gt;0",$C$2:$C$112,"&lt;"&amp;C60)+(COUNTIFS($D$2:$D$112,D60,$C$2:$C$112,C60)+1)/2)/COUNTIFS($D$2:$D$112,D60,$C$2:$C$112,"&gt;0"))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IF(C61="","",(COUNTIFS($D$2:$D$112,D61,$C$2:$C$112,"&gt;0",$C$2:$C$112,"&lt;"&amp;C61)+(COUNTIFS($D$2:$D$112,D61,$C$2:$C$112,C61)+1)/2)/COUNTIFS($D$2:$D$112,D61,$C$2:$C$112,"&gt;0"))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IF(C62="","",(COUNTIFS($D$2:$D$112,D62,$C$2:$C$112,"&gt;0",$C$2:$C$112,"&lt;"&amp;C62)+(COUNTIFS($D$2:$D$112,D62,$C$2:$C$112,C62)+1)/2)/COUNTIFS($D$2:$D$112,D62,$C$2:$C$112,"&gt;0"))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IF(C63="","",(COUNTIFS($D$2:$D$112,D63,$C$2:$C$112,"&gt;0",$C$2:$C$112,"&lt;"&amp;C63)+(COUNTIFS($D$2:$D$112,D63,$C$2:$C$112,C63)+1)/2)/COUNTIFS($D$2:$D$112,D63,$C$2:$C$112,"&gt;0"))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IF(C64="","",(COUNTIFS($D$2:$D$112,D64,$C$2:$C$112,"&gt;0",$C$2:$C$112,"&lt;"&amp;C64)+(COUNTIFS($D$2:$D$112,D64,$C$2:$C$112,C64)+1)/2)/COUNTIFS($D$2:$D$112,D64,$C$2:$C$112,"&gt;0"))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IF(C65="","",(COUNTIFS($D$2:$D$112,D65,$C$2:$C$112,"&gt;0",$C$2:$C$112,"&lt;"&amp;C65)+(COUNTIFS($D$2:$D$112,D65,$C$2:$C$112,C65)+1)/2)/COUNTIFS($D$2:$D$112,D65,$C$2:$C$112,"&gt;0"))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IF(C66="","",(COUNTIFS($D$2:$D$112,D66,$C$2:$C$112,"&gt;0",$C$2:$C$112,"&lt;"&amp;C66)+(COUNTIFS($D$2:$D$112,D66,$C$2:$C$112,C66)+1)/2)/COUNTIFS($D$2:$D$112,D66,$C$2:$C$112,"&gt;0"))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IF(C67="","",(COUNTIFS($D$2:$D$112,D67,$C$2:$C$112,"&gt;0",$C$2:$C$112,"&lt;"&amp;C67)+(COUNTIFS($D$2:$D$112,D67,$C$2:$C$112,C67)+1)/2)/COUNTIFS($D$2:$D$112,D67,$C$2:$C$112,"&gt;0"))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IF(C68="","",(COUNTIFS($D$2:$D$112,D68,$C$2:$C$112,"&gt;0",$C$2:$C$112,"&lt;"&amp;C68)+(COUNTIFS($D$2:$D$112,D68,$C$2:$C$112,C68)+1)/2)/COUNTIFS($D$2:$D$112,D68,$C$2:$C$112,"&gt;0"))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IF(C69="","",(COUNTIFS($D$2:$D$112,D69,$C$2:$C$112,"&gt;0",$C$2:$C$112,"&lt;"&amp;C69)+(COUNTIFS($D$2:$D$112,D69,$C$2:$C$112,C69)+1)/2)/COUNTIFS($D$2:$D$112,D69,$C$2:$C$112,"&gt;0"))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IF(C70="","",(COUNTIFS($D$2:$D$112,D70,$C$2:$C$112,"&gt;0",$C$2:$C$112,"&lt;"&amp;C70)+(COUNTIFS($D$2:$D$112,D70,$C$2:$C$112,C70)+1)/2)/COUNTIFS($D$2:$D$112,D70,$C$2:$C$112,"&gt;0"))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IF(C71="","",(COUNTIFS($D$2:$D$112,D71,$C$2:$C$112,"&gt;0",$C$2:$C$112,"&lt;"&amp;C71)+(COUNTIFS($D$2:$D$112,D71,$C$2:$C$112,C71)+1)/2)/COUNTIFS($D$2:$D$112,D71,$C$2:$C$112,"&gt;0"))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IF(C72="","",(COUNTIFS($D$2:$D$112,D72,$C$2:$C$112,"&gt;0",$C$2:$C$112,"&lt;"&amp;C72)+(COUNTIFS($D$2:$D$112,D72,$C$2:$C$112,C72)+1)/2)/COUNTIFS($D$2:$D$112,D72,$C$2:$C$112,"&gt;0"))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>
        <f>IFERROR((B112/B72)^(1/10)-1,"")</f>
        <v/>
      </c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IF(C73="","",(COUNTIFS($D$2:$D$112,D73,$C$2:$C$112,"&gt;0",$C$2:$C$112,"&lt;"&amp;C73)+(COUNTIFS($D$2:$D$112,D73,$C$2:$C$112,C73)+1)/2)/COUNTIFS($D$2:$D$112,D73,$C$2:$C$112,"&gt;0"))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IF(C74="","",(COUNTIFS($D$2:$D$112,D74,$C$2:$C$112,"&gt;0",$C$2:$C$112,"&lt;"&amp;C74)+(COUNTIFS($D$2:$D$112,D74,$C$2:$C$112,C74)+1)/2)/COUNTIFS($D$2:$D$112,D74,$C$2:$C$112,"&gt;0"))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IF(C75="","",(COUNTIFS($D$2:$D$112,D75,$C$2:$C$112,"&gt;0",$C$2:$C$112,"&lt;"&amp;C75)+(COUNTIFS($D$2:$D$112,D75,$C$2:$C$112,C75)+1)/2)/COUNTIFS($D$2:$D$112,D75,$C$2:$C$112,"&gt;0"))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IF(C76="","",(COUNTIFS($D$2:$D$112,D76,$C$2:$C$112,"&gt;0",$C$2:$C$112,"&lt;"&amp;C76)+(COUNTIFS($D$2:$D$112,D76,$C$2:$C$112,C76)+1)/2)/COUNTIFS($D$2:$D$112,D76,$C$2:$C$112,"&gt;0"))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IF(C77="","",(COUNTIFS($D$2:$D$112,D77,$C$2:$C$112,"&gt;0",$C$2:$C$112,"&lt;"&amp;C77)+(COUNTIFS($D$2:$D$112,D77,$C$2:$C$112,C77)+1)/2)/COUNTIFS($D$2:$D$112,D77,$C$2:$C$112,"&gt;0"))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IF(C78="","",(COUNTIFS($D$2:$D$112,D78,$C$2:$C$112,"&gt;0",$C$2:$C$112,"&lt;"&amp;C78)+(COUNTIFS($D$2:$D$112,D78,$C$2:$C$112,C78)+1)/2)/COUNTIFS($D$2:$D$112,D78,$C$2:$C$112,"&gt;0"))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IF(C79="","",(COUNTIFS($D$2:$D$112,D79,$C$2:$C$112,"&gt;0",$C$2:$C$112,"&lt;"&amp;C79)+(COUNTIFS($D$2:$D$112,D79,$C$2:$C$112,C79)+1)/2)/COUNTIFS($D$2:$D$112,D79,$C$2:$C$112,"&gt;0"))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IF(C80="","",(COUNTIFS($D$2:$D$112,D80,$C$2:$C$112,"&gt;0",$C$2:$C$112,"&lt;"&amp;C80)+(COUNTIFS($D$2:$D$112,D80,$C$2:$C$112,C80)+1)/2)/COUNTIFS($D$2:$D$112,D80,$C$2:$C$112,"&gt;0"))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IF(C81="","",(COUNTIFS($D$2:$D$112,D81,$C$2:$C$112,"&gt;0",$C$2:$C$112,"&lt;"&amp;C81)+(COUNTIFS($D$2:$D$112,D81,$C$2:$C$112,C81)+1)/2)/COUNTIFS($D$2:$D$112,D81,$C$2:$C$112,"&gt;0"))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IF(C82="","",(COUNTIFS($D$2:$D$112,D82,$C$2:$C$112,"&gt;0",$C$2:$C$112,"&lt;"&amp;C82)+(COUNTIFS($D$2:$D$112,D82,$C$2:$C$112,C82)+1)/2)/COUNTIFS($D$2:$D$112,D82,$C$2:$C$112,"&gt;0"))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IF(C83="","",(COUNTIFS($D$2:$D$112,D83,$C$2:$C$112,"&gt;0",$C$2:$C$112,"&lt;"&amp;C83)+(COUNTIFS($D$2:$D$112,D83,$C$2:$C$112,C83)+1)/2)/COUNTIFS($D$2:$D$112,D83,$C$2:$C$112,"&gt;0"))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IF(C84="","",(COUNTIFS($D$2:$D$112,D84,$C$2:$C$112,"&gt;0",$C$2:$C$112,"&lt;"&amp;C84)+(COUNTIFS($D$2:$D$112,D84,$C$2:$C$112,C84)+1)/2)/COUNTIFS($D$2:$D$112,D84,$C$2:$C$112,"&gt;0"))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IF(C85="","",(COUNTIFS($D$2:$D$112,D85,$C$2:$C$112,"&gt;0",$C$2:$C$112,"&lt;"&amp;C85)+(COUNTIFS($D$2:$D$112,D85,$C$2:$C$112,C85)+1)/2)/COUNTIFS($D$2:$D$112,D85,$C$2:$C$112,"&gt;0"))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IF(C86="","",(COUNTIFS($D$2:$D$112,D86,$C$2:$C$112,"&gt;0",$C$2:$C$112,"&lt;"&amp;C86)+(COUNTIFS($D$2:$D$112,D86,$C$2:$C$112,C86)+1)/2)/COUNTIFS($D$2:$D$112,D86,$C$2:$C$112,"&gt;0"))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IF(C87="","",(COUNTIFS($D$2:$D$112,D87,$C$2:$C$112,"&gt;0",$C$2:$C$112,"&lt;"&amp;C87)+(COUNTIFS($D$2:$D$112,D87,$C$2:$C$112,C87)+1)/2)/COUNTIFS($D$2:$D$112,D87,$C$2:$C$112,"&gt;0"))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IF(C88="","",(COUNTIFS($D$2:$D$112,D88,$C$2:$C$112,"&gt;0",$C$2:$C$112,"&lt;"&amp;C88)+(COUNTIFS($D$2:$D$112,D88,$C$2:$C$112,C88)+1)/2)/COUNTIFS($D$2:$D$112,D88,$C$2:$C$112,"&gt;0"))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IF(C89="","",(COUNTIFS($D$2:$D$112,D89,$C$2:$C$112,"&gt;0",$C$2:$C$112,"&lt;"&amp;C89)+(COUNTIFS($D$2:$D$112,D89,$C$2:$C$112,C89)+1)/2)/COUNTIFS($D$2:$D$112,D89,$C$2:$C$112,"&gt;0"))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IF(C90="","",(COUNTIFS($D$2:$D$112,D90,$C$2:$C$112,"&gt;0",$C$2:$C$112,"&lt;"&amp;C90)+(COUNTIFS($D$2:$D$112,D90,$C$2:$C$112,C90)+1)/2)/COUNTIFS($D$2:$D$112,D90,$C$2:$C$112,"&gt;0"))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IF(C91="","",(COUNTIFS($D$2:$D$112,D91,$C$2:$C$112,"&gt;0",$C$2:$C$112,"&lt;"&amp;C91)+(COUNTIFS($D$2:$D$112,D91,$C$2:$C$112,C91)+1)/2)/COUNTIFS($D$2:$D$112,D91,$C$2:$C$112,"&gt;0"))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IF(C92="","",(COUNTIFS($D$2:$D$112,D92,$C$2:$C$112,"&gt;0",$C$2:$C$112,"&lt;"&amp;C92)+(COUNTIFS($D$2:$D$112,D92,$C$2:$C$112,C92)+1)/2)/COUNTIFS($D$2:$D$112,D92,$C$2:$C$112,"&gt;0"))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>
        <f>IFERROR((B112/B92)^(1/5)-1,"")</f>
        <v/>
      </c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IF(C93="","",(COUNTIFS($D$2:$D$112,D93,$C$2:$C$112,"&gt;0",$C$2:$C$112,"&lt;"&amp;C93)+(COUNTIFS($D$2:$D$112,D93,$C$2:$C$112,C93)+1)/2)/COUNTIFS($D$2:$D$112,D93,$C$2:$C$112,"&gt;0"))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IF(C94="","",(COUNTIFS($D$2:$D$112,D94,$C$2:$C$112,"&gt;0",$C$2:$C$112,"&lt;"&amp;C94)+(COUNTIFS($D$2:$D$112,D94,$C$2:$C$112,C94)+1)/2)/COUNTIFS($D$2:$D$112,D94,$C$2:$C$112,"&gt;0"))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IF(C95="","",(COUNTIFS($D$2:$D$112,D95,$C$2:$C$112,"&gt;0",$C$2:$C$112,"&lt;"&amp;C95)+(COUNTIFS($D$2:$D$112,D95,$C$2:$C$112,C95)+1)/2)/COUNTIFS($D$2:$D$112,D95,$C$2:$C$112,"&gt;0"))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IF(C96="","",(COUNTIFS($D$2:$D$112,D96,$C$2:$C$112,"&gt;0",$C$2:$C$112,"&lt;"&amp;C96)+(COUNTIFS($D$2:$D$112,D96,$C$2:$C$112,C96)+1)/2)/COUNTIFS($D$2:$D$112,D96,$C$2:$C$112,"&gt;0"))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IF(C97="","",(COUNTIFS($D$2:$D$112,D97,$C$2:$C$112,"&gt;0",$C$2:$C$112,"&lt;"&amp;C97)+(COUNTIFS($D$2:$D$112,D97,$C$2:$C$112,C97)+1)/2)/COUNTIFS($D$2:$D$112,D97,$C$2:$C$112,"&gt;0"))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IF(C98="","",(COUNTIFS($D$2:$D$112,D98,$C$2:$C$112,"&gt;0",$C$2:$C$112,"&lt;"&amp;C98)+(COUNTIFS($D$2:$D$112,D98,$C$2:$C$112,C98)+1)/2)/COUNTIFS($D$2:$D$112,D98,$C$2:$C$112,"&gt;0"))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IF(C99="","",(COUNTIFS($D$2:$D$112,D99,$C$2:$C$112,"&gt;0",$C$2:$C$112,"&lt;"&amp;C99)+(COUNTIFS($D$2:$D$112,D99,$C$2:$C$112,C99)+1)/2)/COUNTIFS($D$2:$D$112,D99,$C$2:$C$112,"&gt;0"))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IF(C100="","",(COUNTIFS($D$2:$D$112,D100,$C$2:$C$112,"&gt;0",$C$2:$C$112,"&lt;"&amp;C100)+(COUNTIFS($D$2:$D$112,D100,$C$2:$C$112,C100)+1)/2)/COUNTIFS($D$2:$D$112,D100,$C$2:$C$112,"&gt;0"))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>
        <f>IFERROR((B112/B100)^(1/3)-1,"")</f>
        <v/>
      </c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IF(C101="","",(COUNTIFS($D$2:$D$112,D101,$C$2:$C$112,"&gt;0",$C$2:$C$112,"&lt;"&amp;C101)+(COUNTIFS($D$2:$D$112,D101,$C$2:$C$112,C101)+1)/2)/COUNTIFS($D$2:$D$112,D101,$C$2:$C$112,"&gt;0"))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IF(C102="","",(COUNTIFS($D$2:$D$112,D102,$C$2:$C$112,"&gt;0",$C$2:$C$112,"&lt;"&amp;C102)+(COUNTIFS($D$2:$D$112,D102,$C$2:$C$112,C102)+1)/2)/COUNTIFS($D$2:$D$112,D102,$C$2:$C$112,"&gt;0"))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IF(C103="","",(COUNTIFS($D$2:$D$112,D103,$C$2:$C$112,"&gt;0",$C$2:$C$112,"&lt;"&amp;C103)+(COUNTIFS($D$2:$D$112,D103,$C$2:$C$112,C103)+1)/2)/COUNTIFS($D$2:$D$112,D103,$C$2:$C$112,"&gt;0"))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IF(C104="","",(COUNTIFS($D$2:$D$112,D104,$C$2:$C$112,"&gt;0",$C$2:$C$112,"&lt;"&amp;C104)+(COUNTIFS($D$2:$D$112,D104,$C$2:$C$112,C104)+1)/2)/COUNTIFS($D$2:$D$112,D104,$C$2:$C$112,"&gt;0"))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IF(C105="","",(COUNTIFS($D$2:$D$112,D105,$C$2:$C$112,"&gt;0",$C$2:$C$112,"&lt;"&amp;C105)+(COUNTIFS($D$2:$D$112,D105,$C$2:$C$112,C105)+1)/2)/COUNTIFS($D$2:$D$112,D105,$C$2:$C$112,"&gt;0"))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IF(C106="","",(COUNTIFS($D$2:$D$112,D106,$C$2:$C$112,"&gt;0",$C$2:$C$112,"&lt;"&amp;C106)+(COUNTIFS($D$2:$D$112,D106,$C$2:$C$112,C106)+1)/2)/COUNTIFS($D$2:$D$112,D106,$C$2:$C$112,"&gt;0"))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IF(C107="","",(COUNTIFS($D$2:$D$112,D107,$C$2:$C$112,"&gt;0",$C$2:$C$112,"&lt;"&amp;C107)+(COUNTIFS($D$2:$D$112,D107,$C$2:$C$112,C107)+1)/2)/COUNTIFS($D$2:$D$112,D107,$C$2:$C$112,"&gt;0"))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IF(C108="","",(COUNTIFS($D$2:$D$112,D108,$C$2:$C$112,"&gt;0",$C$2:$C$112,"&lt;"&amp;C108)+(COUNTIFS($D$2:$D$112,D108,$C$2:$C$112,C108)+1)/2)/COUNTIFS($D$2:$D$112,D108,$C$2:$C$112,"&gt;0"))</f>
        <v/>
      </c>
      <c r="H108">
        <f>IF(G108="","",IF(G108&lt;=20%,"Q1 Cheapest",IF(G108&lt;=40%,"Q2",IF(G108&lt;=60%,"Q3",IF(G108&lt;=80%,"Q4","Q5 Most Expensive")))))</f>
        <v/>
      </c>
      <c r="I108" s="30">
        <f>IFERROR(B112/B108-1,"")</f>
        <v/>
      </c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IF(C109="","",(COUNTIFS($D$2:$D$112,D109,$C$2:$C$112,"&gt;0",$C$2:$C$112,"&lt;"&amp;C109)+(COUNTIFS($D$2:$D$112,D109,$C$2:$C$112,C109)+1)/2)/COUNTIFS($D$2:$D$112,D109,$C$2:$C$112,"&gt;0"))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IF(C110="","",(COUNTIFS($D$2:$D$112,D110,$C$2:$C$112,"&gt;0",$C$2:$C$112,"&lt;"&amp;C110)+(COUNTIFS($D$2:$D$112,D110,$C$2:$C$112,C110)+1)/2)/COUNTIFS($D$2:$D$112,D110,$C$2:$C$112,"&gt;0"))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IF(C111="","",(COUNTIFS($D$2:$D$112,D111,$C$2:$C$112,"&gt;0",$C$2:$C$112,"&lt;"&amp;C111)+(COUNTIFS($D$2:$D$112,D111,$C$2:$C$112,C111)+1)/2)/COUNTIFS($D$2:$D$112,D111,$C$2:$C$112,"&gt;0"))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  <row r="112">
      <c r="A112" s="31" t="n">
        <v>46295</v>
      </c>
      <c r="B112" s="24" t="n">
        <v>22620.45</v>
      </c>
      <c r="C112" s="25" t="n">
        <v>19.36</v>
      </c>
      <c r="D112" s="2" t="inlineStr">
        <is>
          <t>Consolidated</t>
        </is>
      </c>
      <c r="E112" s="33">
        <f>IFERROR(B112/C112,"")</f>
        <v/>
      </c>
      <c r="F112" s="30">
        <f>IF(AND(D112=D108,E108&lt;&gt;""),E112/E108-1,"")</f>
        <v/>
      </c>
      <c r="G112" s="30">
        <f>IF(C112="","",(COUNTIFS($D$2:$D$112,D112,$C$2:$C$112,"&gt;0",$C$2:$C$112,"&lt;"&amp;C112)+(COUNTIFS($D$2:$D$112,D112,$C$2:$C$112,C112)+1)/2)/COUNTIFS($D$2:$D$112,D112,$C$2:$C$112,"&gt;0"))</f>
        <v/>
      </c>
      <c r="H112">
        <f>IF(G112="","",IF(G112&lt;=20%,"Q1 Cheapest",IF(G112&lt;=40%,"Q2",IF(G112&lt;=60%,"Q3",IF(G112&lt;=80%,"Q4","Q5 Most Expensive")))))</f>
        <v/>
      </c>
      <c r="I112" s="30" t="n"/>
      <c r="J112" s="30" t="n"/>
      <c r="K112" s="30" t="n"/>
      <c r="L11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23446.8</v>
      </c>
      <c r="C5" s="25" t="n">
        <v>19.82</v>
      </c>
      <c r="D5" s="26" t="n">
        <v>0.0530303030303</v>
      </c>
      <c r="E5" s="26" t="n">
        <v>0.0391879043937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23063.1</v>
      </c>
      <c r="C6" s="25" t="n">
        <v>19.5</v>
      </c>
      <c r="D6" s="26" t="n">
        <v>0.0151515151515</v>
      </c>
      <c r="E6" s="26" t="n">
        <v>0.0389048494856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23140.5</v>
      </c>
      <c r="C7" s="25" t="n">
        <v>19.56</v>
      </c>
      <c r="D7" s="26" t="n">
        <v>0.0227272727273</v>
      </c>
      <c r="E7" s="26" t="n">
        <v>0.0389970587043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22780.25</v>
      </c>
      <c r="C8" s="25" t="n">
        <v>19.26</v>
      </c>
      <c r="D8" s="26" t="n">
        <v>0.00757575757576</v>
      </c>
      <c r="E8" s="26" t="n">
        <v>0.0391085852246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22716.2</v>
      </c>
      <c r="C9" s="25" t="n">
        <v>19.2</v>
      </c>
      <c r="D9" s="26" t="n">
        <v>0.00757575757576</v>
      </c>
      <c r="E9" s="26" t="n">
        <v>0.039299953183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22620.45</v>
      </c>
      <c r="C10" s="25" t="n">
        <v>19.36</v>
      </c>
      <c r="D10" s="26" t="n">
        <v>0.0149253731343</v>
      </c>
      <c r="E10" s="26" t="n">
        <v>0.0330557356855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22421.95</v>
      </c>
      <c r="C11" s="25" t="n">
        <v>19.19</v>
      </c>
      <c r="D11" s="26" t="n">
        <v>0.00746268656716</v>
      </c>
      <c r="E11" s="26" t="n">
        <v>0.0331035258267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22555.75</v>
      </c>
      <c r="C12" s="25" t="n">
        <v>19.3</v>
      </c>
      <c r="D12" s="26" t="n">
        <v>0.00746268656716</v>
      </c>
      <c r="E12" s="26" t="n">
        <v>0.0332869852949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22776.1</v>
      </c>
      <c r="C13" s="25" t="n">
        <v>19.49</v>
      </c>
      <c r="D13" s="26" t="n">
        <v>0.0223880597015</v>
      </c>
      <c r="E13" s="26" t="n">
        <v>0.0335755491315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22603.05</v>
      </c>
      <c r="C14" s="25" t="n">
        <v>19.34</v>
      </c>
      <c r="D14" s="26" t="n">
        <v>0.00746268656716</v>
      </c>
      <c r="E14" s="26" t="n">
        <v>0.0333471389531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22231.8</v>
      </c>
      <c r="C15" s="25" t="n">
        <v>19.02</v>
      </c>
      <c r="D15" s="26" t="n">
        <v>0.00746268656716</v>
      </c>
      <c r="E15" s="26" t="n">
        <v>0.0337055965036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22520.45</v>
      </c>
      <c r="C16" s="25" t="n">
        <v>19.27</v>
      </c>
      <c r="D16" s="26" t="n">
        <v>0.00746268656716</v>
      </c>
      <c r="E16" s="26" t="n">
        <v>0.0335435863488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22363.35</v>
      </c>
      <c r="C17" s="25" t="n">
        <v>19.12</v>
      </c>
      <c r="D17" s="26" t="n">
        <v>0.00746268656716</v>
      </c>
      <c r="E17" s="26" t="n">
        <v>0.0343125697184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22721.95</v>
      </c>
      <c r="C18" s="25" t="n">
        <v>19.41</v>
      </c>
      <c r="D18" s="26" t="n">
        <v>0.0223880597015</v>
      </c>
      <c r="E18" s="26" t="n">
        <v>0.03525658629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0.5227000000000001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0.1038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0.09050000000000001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0.07580000000000001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0.051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0.042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0.0379</v>
      </c>
    </row>
    <row r="12">
      <c r="A12" t="n">
        <v>7</v>
      </c>
      <c r="B12" t="inlineStr">
        <is>
          <t>Axis Bank Ltd.</t>
        </is>
      </c>
      <c r="C12" t="inlineStr">
        <is>
          <t>AXISBANK</t>
        </is>
      </c>
      <c r="D12" t="inlineStr">
        <is>
          <t>Financial Services</t>
        </is>
      </c>
      <c r="E12" s="37" t="n">
        <v>0.0337</v>
      </c>
    </row>
    <row r="13">
      <c r="A13" t="n">
        <v>8</v>
      </c>
      <c r="B13" t="inlineStr">
        <is>
          <t>Infosys Ltd.</t>
        </is>
      </c>
      <c r="C13" t="inlineStr">
        <is>
          <t>INFY</t>
        </is>
      </c>
      <c r="D13" t="inlineStr">
        <is>
          <t>Information Technology</t>
        </is>
      </c>
      <c r="E13" s="37" t="n">
        <v>0.0335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0.0293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0.0252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0.0242</v>
      </c>
    </row>
    <row r="18">
      <c r="A18" t="n">
        <v>13</v>
      </c>
      <c r="B18" t="inlineStr">
        <is>
          <t>Eternal Ltd.</t>
        </is>
      </c>
      <c r="C18" t="inlineStr">
        <is>
          <t>ETERNAL</t>
        </is>
      </c>
      <c r="D18" t="inlineStr">
        <is>
          <t>Consumer Services</t>
        </is>
      </c>
      <c r="E18" s="37" t="n">
        <v>0.0222</v>
      </c>
    </row>
    <row r="19">
      <c r="A19" t="n">
        <v>14</v>
      </c>
      <c r="B19" t="inlineStr">
        <is>
          <t>Tata Consultancy Services Ltd.</t>
        </is>
      </c>
      <c r="C19" t="inlineStr">
        <is>
          <t>TCS</t>
        </is>
      </c>
      <c r="D19" t="inlineStr">
        <is>
          <t>Information Technology</t>
        </is>
      </c>
      <c r="E19" s="37" t="n">
        <v>0.02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0.0184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0.0181</v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  <c r="E22" s="37" t="n">
        <v>0.0159</v>
      </c>
    </row>
    <row r="23">
      <c r="A23" t="n">
        <v>18</v>
      </c>
      <c r="B23" t="inlineStr">
        <is>
          <t>Maruti Suzuki India Ltd.</t>
        </is>
      </c>
      <c r="C23" t="inlineStr">
        <is>
          <t>MARUTI</t>
        </is>
      </c>
      <c r="D23" t="inlineStr">
        <is>
          <t>Automobile and Auto Components</t>
        </is>
      </c>
      <c r="E23" s="37" t="n">
        <v>0.0149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0.0147</v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  <c r="E25" s="37" t="n">
        <v>0.0146</v>
      </c>
    </row>
    <row r="26">
      <c r="A26" t="n">
        <v>21</v>
      </c>
      <c r="B26" t="inlineStr">
        <is>
          <t>Adani Ports and Special Economic Zone Ltd.</t>
        </is>
      </c>
      <c r="C26" t="inlineStr">
        <is>
          <t>ADANIPORTS</t>
        </is>
      </c>
      <c r="D26" t="inlineStr">
        <is>
          <t>Services</t>
        </is>
      </c>
      <c r="E26" s="37" t="n">
        <v>0.0135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0.0133</v>
      </c>
    </row>
    <row r="28">
      <c r="A28" t="n">
        <v>23</v>
      </c>
      <c r="B28" t="inlineStr">
        <is>
          <t>Shriram Finance Ltd.</t>
        </is>
      </c>
      <c r="C28" t="inlineStr">
        <is>
          <t>SHRIRAMFIN</t>
        </is>
      </c>
      <c r="D28" t="inlineStr">
        <is>
          <t>Financial Services</t>
        </is>
      </c>
      <c r="E28" s="37" t="n">
        <v>0.0132</v>
      </c>
    </row>
    <row r="29">
      <c r="A29" t="n">
        <v>24</v>
      </c>
      <c r="B29" t="inlineStr">
        <is>
          <t>Hindalco Industries Ltd.</t>
        </is>
      </c>
      <c r="C29" t="inlineStr">
        <is>
          <t>HINDALCO</t>
        </is>
      </c>
      <c r="D29" t="inlineStr">
        <is>
          <t>Metals &amp; Mining</t>
        </is>
      </c>
      <c r="E29" s="37" t="n">
        <v>0.013</v>
      </c>
    </row>
    <row r="30">
      <c r="A30" t="n">
        <v>25</v>
      </c>
      <c r="B30" t="inlineStr">
        <is>
          <t>HCL Technologies Ltd.</t>
        </is>
      </c>
      <c r="C30" t="inlineStr">
        <is>
          <t>HCLTECH</t>
        </is>
      </c>
      <c r="D30" t="inlineStr">
        <is>
          <t>Information Technology</t>
        </is>
      </c>
      <c r="E30" s="37" t="n">
        <v>0.0124</v>
      </c>
    </row>
    <row r="31">
      <c r="A31" t="n">
        <v>26</v>
      </c>
      <c r="B31" t="inlineStr">
        <is>
          <t>UltraTech Cement Ltd.</t>
        </is>
      </c>
      <c r="C31" t="inlineStr">
        <is>
          <t>ULTRACEMCO</t>
        </is>
      </c>
      <c r="D31" t="inlineStr">
        <is>
          <t>Construction Materials</t>
        </is>
      </c>
      <c r="E31" s="37" t="n">
        <v>0.0124</v>
      </c>
    </row>
    <row r="32">
      <c r="A32" t="n">
        <v>27</v>
      </c>
      <c r="B32" t="inlineStr">
        <is>
          <t>BSE Ltd.</t>
        </is>
      </c>
      <c r="C32" t="inlineStr">
        <is>
          <t>BSE</t>
        </is>
      </c>
      <c r="D32" t="inlineStr">
        <is>
          <t>Financial Services</t>
        </is>
      </c>
      <c r="E32" s="37" t="n">
        <v>0.0121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0.0115</v>
      </c>
    </row>
    <row r="34">
      <c r="A34" t="n">
        <v>29</v>
      </c>
      <c r="B34" t="inlineStr">
        <is>
          <t>Bajaj Auto Ltd.</t>
        </is>
      </c>
      <c r="C34" t="inlineStr">
        <is>
          <t>BAJAJ-AUTO</t>
        </is>
      </c>
      <c r="D34" t="inlineStr">
        <is>
          <t>Automobile and Auto Components</t>
        </is>
      </c>
      <c r="E34" s="37" t="n">
        <v>0.0113</v>
      </c>
    </row>
    <row r="35">
      <c r="A35" t="n">
        <v>30</v>
      </c>
      <c r="B35" t="inlineStr">
        <is>
          <t>Power Grid Corporation of India Ltd.</t>
        </is>
      </c>
      <c r="C35" t="inlineStr">
        <is>
          <t>POWERGRID</t>
        </is>
      </c>
      <c r="D35" t="inlineStr">
        <is>
          <t>Power</t>
        </is>
      </c>
      <c r="E35" s="37" t="n">
        <v>0.0113</v>
      </c>
    </row>
    <row r="36">
      <c r="A36" t="n">
        <v>31</v>
      </c>
      <c r="B36" t="inlineStr">
        <is>
          <t>Grasim Industries Ltd.</t>
        </is>
      </c>
      <c r="C36" t="inlineStr">
        <is>
          <t>GRASIM</t>
        </is>
      </c>
      <c r="D36" t="inlineStr">
        <is>
          <t>Construction Materials</t>
        </is>
      </c>
      <c r="E36" s="37" t="n">
        <v>0.011</v>
      </c>
    </row>
    <row r="37">
      <c r="A37" t="n">
        <v>32</v>
      </c>
      <c r="B37" t="inlineStr">
        <is>
          <t>InterGlobe Aviation Ltd.</t>
        </is>
      </c>
      <c r="C37" t="inlineStr">
        <is>
          <t>INDIGO</t>
        </is>
      </c>
      <c r="D37" t="inlineStr">
        <is>
          <t>Services</t>
        </is>
      </c>
      <c r="E37" s="37" t="n">
        <v>0.0108</v>
      </c>
    </row>
    <row r="38">
      <c r="A38" t="n">
        <v>33</v>
      </c>
      <c r="B38" t="inlineStr">
        <is>
          <t>Asian Paints Ltd.</t>
        </is>
      </c>
      <c r="C38" t="inlineStr">
        <is>
          <t>ASIANPAINT</t>
        </is>
      </c>
      <c r="D38" t="inlineStr">
        <is>
          <t>Consumer Durables</t>
        </is>
      </c>
      <c r="E38" s="37" t="n">
        <v>0.0104</v>
      </c>
    </row>
    <row r="39">
      <c r="A39" t="n">
        <v>34</v>
      </c>
      <c r="B39" t="inlineStr">
        <is>
          <t>Coal India Ltd.</t>
        </is>
      </c>
      <c r="C39" t="inlineStr">
        <is>
          <t>COALINDIA</t>
        </is>
      </c>
      <c r="D39" t="inlineStr">
        <is>
          <t>Oil, Gas &amp; Consumable Fuels</t>
        </is>
      </c>
      <c r="E39" s="37" t="n">
        <v>0.0097</v>
      </c>
    </row>
    <row r="40">
      <c r="A40" t="n">
        <v>35</v>
      </c>
      <c r="B40" t="inlineStr">
        <is>
          <t>Bajaj Finserv Ltd.</t>
        </is>
      </c>
      <c r="C40" t="inlineStr">
        <is>
          <t>BAJAJFINSV</t>
        </is>
      </c>
      <c r="D40" t="inlineStr">
        <is>
          <t>Financial Services</t>
        </is>
      </c>
      <c r="E40" s="37" t="n">
        <v>0.009599999999999999</v>
      </c>
    </row>
    <row r="41">
      <c r="A41" t="n">
        <v>36</v>
      </c>
      <c r="B41" t="inlineStr">
        <is>
          <t>Adani Enterprises Ltd.</t>
        </is>
      </c>
      <c r="C41" t="inlineStr">
        <is>
          <t>ADANIENT</t>
        </is>
      </c>
      <c r="D41" t="inlineStr">
        <is>
          <t>Metals &amp; Mining</t>
        </is>
      </c>
      <c r="E41" s="37" t="n">
        <v>0.009399999999999999</v>
      </c>
    </row>
    <row r="42">
      <c r="A42" t="n">
        <v>37</v>
      </c>
      <c r="B42" t="inlineStr">
        <is>
          <t>Eicher Motors Ltd.</t>
        </is>
      </c>
      <c r="C42" t="inlineStr">
        <is>
          <t>EICHERMOT</t>
        </is>
      </c>
      <c r="D42" t="inlineStr">
        <is>
          <t>Automobile and Auto Components</t>
        </is>
      </c>
      <c r="E42" s="37" t="n">
        <v>0.009399999999999999</v>
      </c>
    </row>
    <row r="43">
      <c r="A43" t="n">
        <v>38</v>
      </c>
      <c r="B43" t="inlineStr">
        <is>
          <t>Tech Mahindra Ltd.</t>
        </is>
      </c>
      <c r="C43" t="inlineStr">
        <is>
          <t>TECHM</t>
        </is>
      </c>
      <c r="D43" t="inlineStr">
        <is>
          <t>Information Technology</t>
        </is>
      </c>
      <c r="E43" s="37" t="n">
        <v>0.0092</v>
      </c>
    </row>
    <row r="44">
      <c r="A44" t="n">
        <v>39</v>
      </c>
      <c r="B44" t="inlineStr">
        <is>
          <t>Nestle India Ltd.</t>
        </is>
      </c>
      <c r="C44" t="inlineStr">
        <is>
          <t>NESTLEIND</t>
        </is>
      </c>
      <c r="D44" t="inlineStr">
        <is>
          <t>Fast Moving Consumer Goods</t>
        </is>
      </c>
      <c r="E44" s="37" t="n">
        <v>0.009000000000000001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0.008399999999999999</v>
      </c>
    </row>
    <row r="46">
      <c r="A46" t="n">
        <v>41</v>
      </c>
      <c r="B46" t="inlineStr">
        <is>
          <t>Trent Ltd.</t>
        </is>
      </c>
      <c r="C46" t="inlineStr">
        <is>
          <t>TRENT</t>
        </is>
      </c>
      <c r="D46" t="inlineStr">
        <is>
          <t>Consumer Services</t>
        </is>
      </c>
      <c r="E46" s="37" t="n">
        <v>0.0083</v>
      </c>
    </row>
    <row r="47">
      <c r="A47" t="n">
        <v>42</v>
      </c>
      <c r="B47" t="inlineStr">
        <is>
          <t>Apollo Hospitals Enterprise Ltd.</t>
        </is>
      </c>
      <c r="C47" t="inlineStr">
        <is>
          <t>APOLLOHOSP</t>
        </is>
      </c>
      <c r="D47" t="inlineStr">
        <is>
          <t>Healthcare</t>
        </is>
      </c>
      <c r="E47" s="37" t="n">
        <v>0.008</v>
      </c>
    </row>
    <row r="48">
      <c r="A48" t="n">
        <v>43</v>
      </c>
      <c r="B48" t="inlineStr">
        <is>
          <t>SBI Life Insurance Company Ltd.</t>
        </is>
      </c>
      <c r="C48" t="inlineStr">
        <is>
          <t>SBILIFE</t>
        </is>
      </c>
      <c r="D48" t="inlineStr">
        <is>
          <t>Financial Services</t>
        </is>
      </c>
      <c r="E48" s="37" t="n">
        <v>0.0073</v>
      </c>
    </row>
    <row r="49">
      <c r="A49" t="n">
        <v>44</v>
      </c>
      <c r="B49" t="inlineStr">
        <is>
          <t>Cipla Ltd.</t>
        </is>
      </c>
      <c r="C49" t="inlineStr">
        <is>
          <t>CIPLA</t>
        </is>
      </c>
      <c r="D49" t="inlineStr">
        <is>
          <t>Healthcare</t>
        </is>
      </c>
      <c r="E49" s="37" t="n">
        <v>0.0072</v>
      </c>
    </row>
    <row r="50">
      <c r="A50" t="n">
        <v>45</v>
      </c>
      <c r="B50" t="inlineStr">
        <is>
          <t>Dr. Reddy's Laboratories Ltd.</t>
        </is>
      </c>
      <c r="C50" t="inlineStr">
        <is>
          <t>DRREDDY</t>
        </is>
      </c>
      <c r="D50" t="inlineStr">
        <is>
          <t>Healthcare</t>
        </is>
      </c>
      <c r="E50" s="37" t="n">
        <v>0.0072</v>
      </c>
    </row>
    <row r="51">
      <c r="A51" t="n">
        <v>46</v>
      </c>
      <c r="B51" t="inlineStr">
        <is>
          <t>Jio Financial Services Ltd.</t>
        </is>
      </c>
      <c r="C51" t="inlineStr">
        <is>
          <t>JIOFIN</t>
        </is>
      </c>
      <c r="D51" t="inlineStr">
        <is>
          <t>Financial Services</t>
        </is>
      </c>
      <c r="E51" s="37" t="n">
        <v>0.0068</v>
      </c>
    </row>
    <row r="52">
      <c r="A52" t="n">
        <v>47</v>
      </c>
      <c r="B52" t="inlineStr">
        <is>
          <t>Max Healthcare Institute Ltd.</t>
        </is>
      </c>
      <c r="C52" t="inlineStr">
        <is>
          <t>MAXHEALTH</t>
        </is>
      </c>
      <c r="D52" t="inlineStr">
        <is>
          <t>Healthcare</t>
        </is>
      </c>
      <c r="E52" s="37" t="n">
        <v>0.0066</v>
      </c>
    </row>
    <row r="53">
      <c r="A53" t="n">
        <v>48</v>
      </c>
      <c r="B53" t="inlineStr">
        <is>
          <t>Tata Consumer Products Ltd.</t>
        </is>
      </c>
      <c r="C53" t="inlineStr">
        <is>
          <t>TATACONSUM</t>
        </is>
      </c>
      <c r="D53" t="inlineStr">
        <is>
          <t>Fast Moving Consumer Goods</t>
        </is>
      </c>
      <c r="E53" s="37" t="n">
        <v>0.0059</v>
      </c>
    </row>
    <row r="54">
      <c r="A54" t="n">
        <v>49</v>
      </c>
      <c r="B54" t="inlineStr">
        <is>
          <t>Tata Motors Passenger Vehicles Ltd.</t>
        </is>
      </c>
      <c r="C54" t="inlineStr">
        <is>
          <t>TMPV</t>
        </is>
      </c>
      <c r="D54" t="inlineStr">
        <is>
          <t>Automobile and Auto Components</t>
        </is>
      </c>
      <c r="E54" s="37" t="n">
        <v>0.005699999999999999</v>
      </c>
    </row>
    <row r="55">
      <c r="A55" t="n">
        <v>50</v>
      </c>
      <c r="B55" t="inlineStr">
        <is>
          <t>HDFC Life Insurance Company Ltd.</t>
        </is>
      </c>
      <c r="C55" t="inlineStr">
        <is>
          <t>HDFCLIFE</t>
        </is>
      </c>
      <c r="D55" t="inlineStr">
        <is>
          <t>Financial Services</t>
        </is>
      </c>
      <c r="E55" s="37" t="n">
        <v>0.0054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2026-10-13T19:32:50Z</dcterms:created>
  <dcterms:modified xsi:type="dcterms:W3CDTF">2026-10-13T19:33:15Z</dcterms:modified>
</cp:coreProperties>
</file>