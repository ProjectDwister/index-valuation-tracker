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  <xf numFmtId="1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ices_-_Market_Capitalisation_and_Weightage/indices_dataSep2026.zip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26" customHeight="1">
      <c r="A1" s="1" t="inlineStr">
        <is>
          <t>NIFTY 50 Valuation Tracker</t>
        </is>
      </c>
    </row>
    <row r="2">
      <c r="A2" s="2" t="inlineStr">
        <is>
          <t>As of</t>
        </is>
      </c>
      <c r="B2" s="23" t="n">
        <v>46318</v>
      </c>
      <c r="D2" s="2" t="inlineStr">
        <is>
          <t>Group</t>
        </is>
      </c>
      <c r="E2" s="4" t="inlineStr">
        <is>
          <t>Broad Market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22600</v>
      </c>
      <c r="D5" s="2" t="inlineStr">
        <is>
          <t>P/E</t>
        </is>
      </c>
      <c r="E5" s="25" t="n">
        <v>19.05</v>
      </c>
    </row>
    <row r="6">
      <c r="A6" s="2" t="inlineStr">
        <is>
          <t>P/E percentile</t>
        </is>
      </c>
      <c r="B6" s="26" t="n">
        <v>0.007462686567164179</v>
      </c>
      <c r="D6" s="2" t="inlineStr">
        <is>
          <t>Implied EPS</t>
        </is>
      </c>
      <c r="E6" s="27" t="n">
        <v>1186.351706036745</v>
      </c>
    </row>
    <row r="7">
      <c r="A7" s="2" t="inlineStr">
        <is>
          <t>YoY implied EPS growth</t>
        </is>
      </c>
      <c r="B7" s="26" t="n">
        <v>0.04287001975159033</v>
      </c>
      <c r="D7" s="2" t="inlineStr">
        <is>
          <t>Earnings yield</t>
        </is>
      </c>
      <c r="E7" s="10" t="n">
        <v>0.05249343832020997</v>
      </c>
    </row>
    <row r="8">
      <c r="A8" s="2" t="inlineStr">
        <is>
          <t>Valuation score</t>
        </is>
      </c>
      <c r="B8" s="28" t="n">
        <v>99.25373134328358</v>
      </c>
      <c r="D8" s="2" t="inlineStr">
        <is>
          <t>Growth score</t>
        </is>
      </c>
      <c r="E8" s="28" t="n">
        <v>37.14800790063613</v>
      </c>
    </row>
    <row r="9">
      <c r="A9" s="2" t="inlineStr">
        <is>
          <t>Composite score</t>
        </is>
      </c>
      <c r="B9" s="28" t="n">
        <v>80.62201431048933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20.5159853190891</v>
      </c>
      <c r="C13" s="15" t="n">
        <v>24339.17418432618</v>
      </c>
      <c r="D13" s="30" t="n">
        <v>0.07695460992593728</v>
      </c>
    </row>
    <row r="14">
      <c r="A14" t="inlineStr">
        <is>
          <t>HOLD → SELL</t>
        </is>
      </c>
      <c r="B14" s="29" t="n">
        <v>22.29726230296551</v>
      </c>
      <c r="C14" s="15" t="n">
        <v>26452.39517307194</v>
      </c>
      <c r="D14" s="30" t="n">
        <v>0.1704599634102628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21</v>
      </c>
      <c r="C18" s="30" t="n">
        <v>0.379411086338</v>
      </c>
      <c r="D18" s="30" t="n">
        <v>0.280429262872</v>
      </c>
      <c r="E18" s="30" t="n">
        <v>0.233024783443</v>
      </c>
      <c r="F18" s="30" t="n">
        <v>0.163926355181</v>
      </c>
      <c r="G18" s="30" t="n">
        <v>0</v>
      </c>
    </row>
    <row r="19">
      <c r="A19" t="inlineStr">
        <is>
          <t>Q2</t>
        </is>
      </c>
      <c r="B19" t="n">
        <v>24</v>
      </c>
      <c r="C19" s="30" t="n">
        <v>0.179797624285</v>
      </c>
      <c r="D19" s="30" t="n">
        <v>0.120847432659</v>
      </c>
      <c r="E19" s="30" t="n">
        <v>0.121601648656</v>
      </c>
      <c r="F19" s="30" t="n">
        <v>0.1224198770705</v>
      </c>
      <c r="G19" s="30" t="n">
        <v>0.05</v>
      </c>
    </row>
    <row r="20">
      <c r="A20" t="inlineStr">
        <is>
          <t>Q3</t>
        </is>
      </c>
      <c r="B20" t="n">
        <v>20</v>
      </c>
      <c r="C20" s="30" t="n">
        <v>0.10682555727</v>
      </c>
      <c r="D20" s="30" t="n">
        <v>0.0833084895083</v>
      </c>
      <c r="E20" s="30" t="n">
        <v>0.112600954557</v>
      </c>
      <c r="F20" s="30" t="n">
        <v>0.1144515211675</v>
      </c>
      <c r="G20" s="30" t="n">
        <v>0.05263157894736842</v>
      </c>
    </row>
    <row r="21">
      <c r="A21" t="inlineStr">
        <is>
          <t>Q4</t>
        </is>
      </c>
      <c r="B21" t="n">
        <v>23</v>
      </c>
      <c r="C21" s="30" t="n">
        <v>0.06274103937430001</v>
      </c>
      <c r="D21" s="30" t="n">
        <v>0.0600273614172</v>
      </c>
      <c r="E21" s="30" t="n">
        <v>0.08987020932285</v>
      </c>
      <c r="F21" s="30" t="n">
        <v>0.104325192957</v>
      </c>
      <c r="G21" s="30" t="n">
        <v>0.2105263157894737</v>
      </c>
    </row>
    <row r="22">
      <c r="A22" t="inlineStr">
        <is>
          <t>Q5 Most Expensive</t>
        </is>
      </c>
      <c r="B22" t="n">
        <v>23</v>
      </c>
      <c r="C22" s="30" t="n">
        <v>0.0432896067489</v>
      </c>
      <c r="D22" s="30" t="n">
        <v>0.13787542514</v>
      </c>
      <c r="E22" s="30" t="n">
        <v>0.117960352541</v>
      </c>
      <c r="F22" s="30" t="n">
        <v>0.07509863754169999</v>
      </c>
      <c r="G22" s="30" t="n">
        <v>0.1363636363636364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111</v>
      </c>
    </row>
    <row r="27">
      <c r="A27" s="2" t="inlineStr">
        <is>
          <t>Backtest start</t>
        </is>
      </c>
      <c r="B27" t="inlineStr">
        <is>
          <t>1999-03-31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14631.1</v>
      </c>
      <c r="C2" s="25" t="n">
        <v>32.21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15582.8</v>
      </c>
      <c r="C3" s="25" t="n">
        <v>29.22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15721.5</v>
      </c>
      <c r="C4" s="25" t="n">
        <v>28.33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15763.05</v>
      </c>
      <c r="C5" s="25" t="n">
        <v>27.01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17132.2</v>
      </c>
      <c r="C6" s="25" t="n">
        <v>26.25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17618.15</v>
      </c>
      <c r="C7" s="25" t="n">
        <v>26.98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17671.65</v>
      </c>
      <c r="C8" s="25" t="n">
        <v>25.71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16983.2</v>
      </c>
      <c r="C9" s="25" t="n">
        <v>23.43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17354.05</v>
      </c>
      <c r="C10" s="25" t="n">
        <v>24.11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17339.85</v>
      </c>
      <c r="C11" s="25" t="n">
        <v>23.42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16793.9</v>
      </c>
      <c r="C12" s="25" t="n">
        <v>21.59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17464.75</v>
      </c>
      <c r="C13" s="25" t="n">
        <v>22.92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17102.55</v>
      </c>
      <c r="C14" s="25" t="n">
        <v>22.01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16584.55</v>
      </c>
      <c r="C15" s="25" t="n">
        <v>20.44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15780.25</v>
      </c>
      <c r="C16" s="25" t="n">
        <v>19.5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17158.25</v>
      </c>
      <c r="C17" s="25" t="n">
        <v>20.73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17759.3</v>
      </c>
      <c r="C18" s="25" t="n">
        <v>21.2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17094.35</v>
      </c>
      <c r="C19" s="25" t="n">
        <v>20.64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18012.2</v>
      </c>
      <c r="C20" s="25" t="n">
        <v>21.42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18758.35</v>
      </c>
      <c r="C21" s="25" t="n">
        <v>22.54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18105.3</v>
      </c>
      <c r="C22" s="25" t="n">
        <v>21.79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17662.15</v>
      </c>
      <c r="C23" s="25" t="n">
        <v>20.73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17303.95</v>
      </c>
      <c r="C24" s="25" t="n">
        <v>20.39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17359.75</v>
      </c>
      <c r="C25" s="25" t="n">
        <v>20.44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18065</v>
      </c>
      <c r="C26" s="25" t="n">
        <v>20.87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18534.4</v>
      </c>
      <c r="C27" s="25" t="n">
        <v>21.59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19189.05</v>
      </c>
      <c r="C28" s="25" t="n">
        <v>22.36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19753.8</v>
      </c>
      <c r="C29" s="25" t="n">
        <v>23.01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19253.8</v>
      </c>
      <c r="C30" s="25" t="n">
        <v>21.97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19638.3</v>
      </c>
      <c r="C31" s="25" t="n">
        <v>22.21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19079.6</v>
      </c>
      <c r="C32" s="25" t="n">
        <v>20.45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20133.15</v>
      </c>
      <c r="C33" s="25" t="n">
        <v>21.52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21731.4</v>
      </c>
      <c r="C34" s="25" t="n">
        <v>23.17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21725.7</v>
      </c>
      <c r="C35" s="25" t="n">
        <v>22.46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21982.8</v>
      </c>
      <c r="C36" s="25" t="n">
        <v>22.7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22326.9</v>
      </c>
      <c r="C37" s="25" t="n">
        <v>22.88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22604.85</v>
      </c>
      <c r="C38" s="25" t="n">
        <v>22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22530.7</v>
      </c>
      <c r="C39" s="25" t="n">
        <v>21.4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24010.6</v>
      </c>
      <c r="C40" s="25" t="n">
        <v>22.85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24951.15</v>
      </c>
      <c r="C41" s="25" t="n">
        <v>23.4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25235.9</v>
      </c>
      <c r="C42" s="25" t="n">
        <v>23.47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25810.85</v>
      </c>
      <c r="C43" s="25" t="n">
        <v>24.26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24205.35</v>
      </c>
      <c r="C44" s="25" t="n">
        <v>22.58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24131.1</v>
      </c>
      <c r="C45" s="25" t="n">
        <v>22.21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23644.8</v>
      </c>
      <c r="C46" s="25" t="n">
        <v>21.79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23508.4</v>
      </c>
      <c r="C47" s="25" t="n">
        <v>21.33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22124.7</v>
      </c>
      <c r="C48" s="25" t="n">
        <v>19.67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23519.35</v>
      </c>
      <c r="C49" s="25" t="n">
        <v>21.37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24334.2</v>
      </c>
      <c r="C50" s="25" t="n">
        <v>21.94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24750.7</v>
      </c>
      <c r="C51" s="25" t="n">
        <v>22.32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25517.05</v>
      </c>
      <c r="C52" s="25" t="n">
        <v>22.97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24768.35</v>
      </c>
      <c r="C53" s="25" t="n">
        <v>21.93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24426.85</v>
      </c>
      <c r="C54" s="25" t="n">
        <v>21.46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24611.1</v>
      </c>
      <c r="C55" s="25" t="n">
        <v>21.76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25722.1</v>
      </c>
      <c r="C56" s="25" t="n">
        <v>22.64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26202.95</v>
      </c>
      <c r="C57" s="25" t="n">
        <v>22.81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26129.6</v>
      </c>
      <c r="C58" s="25" t="n">
        <v>22.75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25320.65</v>
      </c>
      <c r="C59" s="25" t="n">
        <v>22.04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25178.65</v>
      </c>
      <c r="C60" s="25" t="n">
        <v>22.03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22331.4</v>
      </c>
      <c r="C61" s="25" t="n">
        <v>19.62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23997.55</v>
      </c>
      <c r="C62" s="25" t="n">
        <v>20.94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23547.75</v>
      </c>
      <c r="C63" s="25" t="n">
        <v>20.27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23865.75</v>
      </c>
      <c r="C64" s="25" t="n">
        <v>20.58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24383.6</v>
      </c>
      <c r="C65" s="25" t="n">
        <v>20.78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24080.4</v>
      </c>
      <c r="C66" s="25" t="n">
        <v>20.36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22620.45</v>
      </c>
      <c r="C67" s="25" t="n">
        <v>19.36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4" customWidth="1" min="5" max="5"/>
    <col width="34" customWidth="1" min="6" max="6"/>
    <col width="34" customWidth="1" min="7" max="7"/>
    <col width="34" customWidth="1" min="8" max="8"/>
    <col width="26" customWidth="1" min="9" max="9"/>
    <col width="34" customWidth="1" min="10" max="10"/>
    <col width="33" customWidth="1" min="11" max="11"/>
    <col width="3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36250</v>
      </c>
      <c r="B2" s="24" t="n">
        <v>1078</v>
      </c>
      <c r="C2" s="25" t="n">
        <v>16.5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IF(C2="","",(COUNTIFS($D$2:$D$112,D2,$C$2:$C$112,"&gt;0",$C$2:$C$112,"&lt;"&amp;C2)+(COUNTIFS($D$2:$D$112,D2,$C$2:$C$112,C2)+1)/2)/COUNTIFS($D$2:$D$112,D2,$C$2:$C$112,"&gt;0"))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36341</v>
      </c>
      <c r="B3" s="24" t="n">
        <v>1187.7</v>
      </c>
      <c r="C3" s="25" t="n">
        <v>17.9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IF(C3="","",(COUNTIFS($D$2:$D$112,D3,$C$2:$C$112,"&gt;0",$C$2:$C$112,"&lt;"&amp;C3)+(COUNTIFS($D$2:$D$112,D3,$C$2:$C$112,C3)+1)/2)/COUNTIFS($D$2:$D$112,D3,$C$2:$C$112,"&gt;0"))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36433</v>
      </c>
      <c r="B4" s="24" t="n">
        <v>1413.1</v>
      </c>
      <c r="C4" s="25" t="n">
        <v>22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IF(C4="","",(COUNTIFS($D$2:$D$112,D4,$C$2:$C$112,"&gt;0",$C$2:$C$112,"&lt;"&amp;C4)+(COUNTIFS($D$2:$D$112,D4,$C$2:$C$112,C4)+1)/2)/COUNTIFS($D$2:$D$112,D4,$C$2:$C$112,"&gt;0"))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36525</v>
      </c>
      <c r="B5" s="24" t="n">
        <v>1480.4</v>
      </c>
      <c r="C5" s="25" t="n">
        <v>24.1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IF(C5="","",(COUNTIFS($D$2:$D$112,D5,$C$2:$C$112,"&gt;0",$C$2:$C$112,"&lt;"&amp;C5)+(COUNTIFS($D$2:$D$112,D5,$C$2:$C$112,C5)+1)/2)/COUNTIFS($D$2:$D$112,D5,$C$2:$C$112,"&gt;0"))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36616</v>
      </c>
      <c r="B6" s="24" t="n">
        <v>1528.4</v>
      </c>
      <c r="C6" s="25" t="n">
        <v>24.6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IF(C6="","",(COUNTIFS($D$2:$D$112,D6,$C$2:$C$112,"&gt;0",$C$2:$C$112,"&lt;"&amp;C6)+(COUNTIFS($D$2:$D$112,D6,$C$2:$C$112,C6)+1)/2)/COUNTIFS($D$2:$D$112,D6,$C$2:$C$112,"&gt;0"))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>
        <f>IFERROR((B46/B6)^(1/10)-1,"")</f>
        <v/>
      </c>
    </row>
    <row r="7">
      <c r="A7" s="31" t="n">
        <v>36707</v>
      </c>
      <c r="B7" s="24" t="n">
        <v>1471.4</v>
      </c>
      <c r="C7" s="25" t="n">
        <v>22.9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IF(C7="","",(COUNTIFS($D$2:$D$112,D7,$C$2:$C$112,"&gt;0",$C$2:$C$112,"&lt;"&amp;C7)+(COUNTIFS($D$2:$D$112,D7,$C$2:$C$112,C7)+1)/2)/COUNTIFS($D$2:$D$112,D7,$C$2:$C$112,"&gt;0"))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>
        <f>IFERROR((B47/B7)^(1/10)-1,"")</f>
        <v/>
      </c>
    </row>
    <row r="8">
      <c r="A8" s="31" t="n">
        <v>36799</v>
      </c>
      <c r="B8" s="24" t="n">
        <v>1271.6</v>
      </c>
      <c r="C8" s="25" t="n">
        <v>19.3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IF(C8="","",(COUNTIFS($D$2:$D$112,D8,$C$2:$C$112,"&gt;0",$C$2:$C$112,"&lt;"&amp;C8)+(COUNTIFS($D$2:$D$112,D8,$C$2:$C$112,C8)+1)/2)/COUNTIFS($D$2:$D$112,D8,$C$2:$C$112,"&gt;0"))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>
        <f>IFERROR((B48/B8)^(1/10)-1,"")</f>
        <v/>
      </c>
    </row>
    <row r="9">
      <c r="A9" s="31" t="n">
        <v>36891</v>
      </c>
      <c r="B9" s="24" t="n">
        <v>1263.5</v>
      </c>
      <c r="C9" s="25" t="n">
        <v>19.2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IF(C9="","",(COUNTIFS($D$2:$D$112,D9,$C$2:$C$112,"&gt;0",$C$2:$C$112,"&lt;"&amp;C9)+(COUNTIFS($D$2:$D$112,D9,$C$2:$C$112,C9)+1)/2)/COUNTIFS($D$2:$D$112,D9,$C$2:$C$112,"&gt;0"))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>
        <f>IFERROR((B49/B9)^(1/10)-1,"")</f>
        <v/>
      </c>
    </row>
    <row r="10">
      <c r="A10" s="31" t="n">
        <v>36981</v>
      </c>
      <c r="B10" s="24" t="n">
        <v>1148.2</v>
      </c>
      <c r="C10" s="25" t="n">
        <v>17.2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IF(C10="","",(COUNTIFS($D$2:$D$112,D10,$C$2:$C$112,"&gt;0",$C$2:$C$112,"&lt;"&amp;C10)+(COUNTIFS($D$2:$D$112,D10,$C$2:$C$112,C10)+1)/2)/COUNTIFS($D$2:$D$112,D10,$C$2:$C$112,"&gt;0"))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>
        <f>IFERROR((B50/B10)^(1/10)-1,"")</f>
        <v/>
      </c>
    </row>
    <row r="11">
      <c r="A11" s="31" t="n">
        <v>37072</v>
      </c>
      <c r="B11" s="24" t="n">
        <v>1107.9</v>
      </c>
      <c r="C11" s="25" t="n">
        <v>15.8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IF(C11="","",(COUNTIFS($D$2:$D$112,D11,$C$2:$C$112,"&gt;0",$C$2:$C$112,"&lt;"&amp;C11)+(COUNTIFS($D$2:$D$112,D11,$C$2:$C$112,C11)+1)/2)/COUNTIFS($D$2:$D$112,D11,$C$2:$C$112,"&gt;0"))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>
        <f>IFERROR((B51/B11)^(1/10)-1,"")</f>
        <v/>
      </c>
    </row>
    <row r="12">
      <c r="A12" s="31" t="n">
        <v>37164</v>
      </c>
      <c r="B12" s="24" t="n">
        <v>913.85</v>
      </c>
      <c r="C12" s="25" t="n">
        <v>13.2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IF(C12="","",(COUNTIFS($D$2:$D$112,D12,$C$2:$C$112,"&gt;0",$C$2:$C$112,"&lt;"&amp;C12)+(COUNTIFS($D$2:$D$112,D12,$C$2:$C$112,C12)+1)/2)/COUNTIFS($D$2:$D$112,D12,$C$2:$C$112,"&gt;0"))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>
        <f>IFERROR((B52/B12)^(1/10)-1,"")</f>
        <v/>
      </c>
    </row>
    <row r="13">
      <c r="A13" s="31" t="n">
        <v>37256</v>
      </c>
      <c r="B13" s="24" t="n">
        <v>1059</v>
      </c>
      <c r="C13" s="25" t="n">
        <v>15.3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IF(C13="","",(COUNTIFS($D$2:$D$112,D13,$C$2:$C$112,"&gt;0",$C$2:$C$112,"&lt;"&amp;C13)+(COUNTIFS($D$2:$D$112,D13,$C$2:$C$112,C13)+1)/2)/COUNTIFS($D$2:$D$112,D13,$C$2:$C$112,"&gt;0"))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>
        <f>IFERROR((B53/B13)^(1/10)-1,"")</f>
        <v/>
      </c>
    </row>
    <row r="14">
      <c r="A14" s="31" t="n">
        <v>37346</v>
      </c>
      <c r="B14" s="24" t="n">
        <v>1129.5</v>
      </c>
      <c r="C14" s="25" t="n">
        <v>18.1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IF(C14="","",(COUNTIFS($D$2:$D$112,D14,$C$2:$C$112,"&gt;0",$C$2:$C$112,"&lt;"&amp;C14)+(COUNTIFS($D$2:$D$112,D14,$C$2:$C$112,C14)+1)/2)/COUNTIFS($D$2:$D$112,D14,$C$2:$C$112,"&gt;0"))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>
        <f>IFERROR((B54/B14)^(1/10)-1,"")</f>
        <v/>
      </c>
    </row>
    <row r="15">
      <c r="A15" s="31" t="n">
        <v>37437</v>
      </c>
      <c r="B15" s="24" t="n">
        <v>1057.8</v>
      </c>
      <c r="C15" s="25" t="n">
        <v>15.7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IF(C15="","",(COUNTIFS($D$2:$D$112,D15,$C$2:$C$112,"&gt;0",$C$2:$C$112,"&lt;"&amp;C15)+(COUNTIFS($D$2:$D$112,D15,$C$2:$C$112,C15)+1)/2)/COUNTIFS($D$2:$D$112,D15,$C$2:$C$112,"&gt;0"))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>
        <f>IFERROR((B55/B15)^(1/10)-1,"")</f>
        <v/>
      </c>
    </row>
    <row r="16">
      <c r="A16" s="31" t="n">
        <v>37529</v>
      </c>
      <c r="B16" s="24" t="n">
        <v>963.15</v>
      </c>
      <c r="C16" s="25" t="n">
        <v>14.3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IF(C16="","",(COUNTIFS($D$2:$D$112,D16,$C$2:$C$112,"&gt;0",$C$2:$C$112,"&lt;"&amp;C16)+(COUNTIFS($D$2:$D$112,D16,$C$2:$C$112,C16)+1)/2)/COUNTIFS($D$2:$D$112,D16,$C$2:$C$112,"&gt;0"))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>
        <f>IFERROR((B56/B16)^(1/10)-1,"")</f>
        <v/>
      </c>
    </row>
    <row r="17">
      <c r="A17" s="31" t="n">
        <v>37621</v>
      </c>
      <c r="B17" s="24" t="n">
        <v>1093.5</v>
      </c>
      <c r="C17" s="25" t="n">
        <v>14.8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IF(C17="","",(COUNTIFS($D$2:$D$112,D17,$C$2:$C$112,"&gt;0",$C$2:$C$112,"&lt;"&amp;C17)+(COUNTIFS($D$2:$D$112,D17,$C$2:$C$112,C17)+1)/2)/COUNTIFS($D$2:$D$112,D17,$C$2:$C$112,"&gt;0"))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>
        <f>IFERROR((B57/B17)^(1/10)-1,"")</f>
        <v/>
      </c>
    </row>
    <row r="18">
      <c r="A18" s="31" t="n">
        <v>37711</v>
      </c>
      <c r="B18" s="24" t="n">
        <v>978.2</v>
      </c>
      <c r="C18" s="25" t="n">
        <v>13.4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IF(C18="","",(COUNTIFS($D$2:$D$112,D18,$C$2:$C$112,"&gt;0",$C$2:$C$112,"&lt;"&amp;C18)+(COUNTIFS($D$2:$D$112,D18,$C$2:$C$112,C18)+1)/2)/COUNTIFS($D$2:$D$112,D18,$C$2:$C$112,"&gt;0"))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>
        <f>IFERROR((B58/B18)^(1/10)-1,"")</f>
        <v/>
      </c>
    </row>
    <row r="19">
      <c r="A19" s="31" t="n">
        <v>37802</v>
      </c>
      <c r="B19" s="24" t="n">
        <v>1134.1</v>
      </c>
      <c r="C19" s="25" t="n">
        <v>12.9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IF(C19="","",(COUNTIFS($D$2:$D$112,D19,$C$2:$C$112,"&gt;0",$C$2:$C$112,"&lt;"&amp;C19)+(COUNTIFS($D$2:$D$112,D19,$C$2:$C$112,C19)+1)/2)/COUNTIFS($D$2:$D$112,D19,$C$2:$C$112,"&gt;0"))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>
        <f>IFERROR((B59/B19)^(1/10)-1,"")</f>
        <v/>
      </c>
    </row>
    <row r="20">
      <c r="A20" s="31" t="n">
        <v>37894</v>
      </c>
      <c r="B20" s="24" t="n">
        <v>1417.1</v>
      </c>
      <c r="C20" s="25" t="n">
        <v>15.6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IF(C20="","",(COUNTIFS($D$2:$D$112,D20,$C$2:$C$112,"&gt;0",$C$2:$C$112,"&lt;"&amp;C20)+(COUNTIFS($D$2:$D$112,D20,$C$2:$C$112,C20)+1)/2)/COUNTIFS($D$2:$D$112,D20,$C$2:$C$112,"&gt;0"))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>
        <f>IFERROR((B60/B20)^(1/10)-1,"")</f>
        <v/>
      </c>
    </row>
    <row r="21">
      <c r="A21" s="31" t="n">
        <v>37986</v>
      </c>
      <c r="B21" s="24" t="n">
        <v>1879.7</v>
      </c>
      <c r="C21" s="25" t="n">
        <v>20.7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IF(C21="","",(COUNTIFS($D$2:$D$112,D21,$C$2:$C$112,"&gt;0",$C$2:$C$112,"&lt;"&amp;C21)+(COUNTIFS($D$2:$D$112,D21,$C$2:$C$112,C21)+1)/2)/COUNTIFS($D$2:$D$112,D21,$C$2:$C$112,"&gt;0"))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>
        <f>IFERROR((B61/B21)^(1/10)-1,"")</f>
        <v/>
      </c>
    </row>
    <row r="22">
      <c r="A22" s="31" t="n">
        <v>38077</v>
      </c>
      <c r="B22" s="24" t="n">
        <v>1771.9</v>
      </c>
      <c r="C22" s="25" t="n">
        <v>20.7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IF(C22="","",(COUNTIFS($D$2:$D$112,D22,$C$2:$C$112,"&gt;0",$C$2:$C$112,"&lt;"&amp;C22)+(COUNTIFS($D$2:$D$112,D22,$C$2:$C$112,C22)+1)/2)/COUNTIFS($D$2:$D$112,D22,$C$2:$C$112,"&gt;0"))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>
        <f>IFERROR((B62/B22)^(1/10)-1,"")</f>
        <v/>
      </c>
    </row>
    <row r="23">
      <c r="A23" s="31" t="n">
        <v>38168</v>
      </c>
      <c r="B23" s="24" t="n">
        <v>1505.6</v>
      </c>
      <c r="C23" s="25" t="n">
        <v>12.6</v>
      </c>
      <c r="D23" s="2" t="inlineStr">
        <is>
          <t>Standalone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IF(C23="","",(COUNTIFS($D$2:$D$112,D23,$C$2:$C$112,"&gt;0",$C$2:$C$112,"&lt;"&amp;C23)+(COUNTIFS($D$2:$D$112,D23,$C$2:$C$112,C23)+1)/2)/COUNTIFS($D$2:$D$112,D23,$C$2:$C$112,"&gt;0"))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>
        <f>IFERROR((B63/B23)^(1/10)-1,"")</f>
        <v/>
      </c>
    </row>
    <row r="24">
      <c r="A24" s="31" t="n">
        <v>38260</v>
      </c>
      <c r="B24" s="24" t="n">
        <v>1745.5</v>
      </c>
      <c r="C24" s="25" t="n">
        <v>14.6</v>
      </c>
      <c r="D24" s="2" t="inlineStr">
        <is>
          <t>Standalone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IF(C24="","",(COUNTIFS($D$2:$D$112,D24,$C$2:$C$112,"&gt;0",$C$2:$C$112,"&lt;"&amp;C24)+(COUNTIFS($D$2:$D$112,D24,$C$2:$C$112,C24)+1)/2)/COUNTIFS($D$2:$D$112,D24,$C$2:$C$112,"&gt;0"))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>
        <f>IFERROR((B64/B24)^(1/10)-1,"")</f>
        <v/>
      </c>
    </row>
    <row r="25">
      <c r="A25" s="31" t="n">
        <v>38352</v>
      </c>
      <c r="B25" s="24" t="n">
        <v>2080.5</v>
      </c>
      <c r="C25" s="25" t="n">
        <v>15.3</v>
      </c>
      <c r="D25" s="2" t="inlineStr">
        <is>
          <t>Standalone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IF(C25="","",(COUNTIFS($D$2:$D$112,D25,$C$2:$C$112,"&gt;0",$C$2:$C$112,"&lt;"&amp;C25)+(COUNTIFS($D$2:$D$112,D25,$C$2:$C$112,C25)+1)/2)/COUNTIFS($D$2:$D$112,D25,$C$2:$C$112,"&gt;0"))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>
        <f>IFERROR((B65/B25)^(1/10)-1,"")</f>
        <v/>
      </c>
    </row>
    <row r="26">
      <c r="A26" s="31" t="n">
        <v>38442</v>
      </c>
      <c r="B26" s="24" t="n">
        <v>2035.6</v>
      </c>
      <c r="C26" s="25" t="n">
        <v>14.6</v>
      </c>
      <c r="D26" s="2" t="inlineStr">
        <is>
          <t>Standalone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IF(C26="","",(COUNTIFS($D$2:$D$112,D26,$C$2:$C$112,"&gt;0",$C$2:$C$112,"&lt;"&amp;C26)+(COUNTIFS($D$2:$D$112,D26,$C$2:$C$112,C26)+1)/2)/COUNTIFS($D$2:$D$112,D26,$C$2:$C$112,"&gt;0"))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>
        <f>IFERROR((B46/B26)^(1/5)-1,"")</f>
        <v/>
      </c>
      <c r="L26" s="30">
        <f>IFERROR((B66/B26)^(1/10)-1,"")</f>
        <v/>
      </c>
    </row>
    <row r="27">
      <c r="A27" s="31" t="n">
        <v>38533</v>
      </c>
      <c r="B27" s="24" t="n">
        <v>2220.6</v>
      </c>
      <c r="C27" s="25" t="n">
        <v>14.3</v>
      </c>
      <c r="D27" s="2" t="inlineStr">
        <is>
          <t>Standalone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IF(C27="","",(COUNTIFS($D$2:$D$112,D27,$C$2:$C$112,"&gt;0",$C$2:$C$112,"&lt;"&amp;C27)+(COUNTIFS($D$2:$D$112,D27,$C$2:$C$112,C27)+1)/2)/COUNTIFS($D$2:$D$112,D27,$C$2:$C$112,"&gt;0"))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>
        <f>IFERROR((B47/B27)^(1/5)-1,"")</f>
        <v/>
      </c>
      <c r="L27" s="30">
        <f>IFERROR((B67/B27)^(1/10)-1,"")</f>
        <v/>
      </c>
    </row>
    <row r="28">
      <c r="A28" s="31" t="n">
        <v>38625</v>
      </c>
      <c r="B28" s="24" t="n">
        <v>2601.4</v>
      </c>
      <c r="C28" s="25" t="n">
        <v>16.1</v>
      </c>
      <c r="D28" s="2" t="inlineStr">
        <is>
          <t>Standalone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IF(C28="","",(COUNTIFS($D$2:$D$112,D28,$C$2:$C$112,"&gt;0",$C$2:$C$112,"&lt;"&amp;C28)+(COUNTIFS($D$2:$D$112,D28,$C$2:$C$112,C28)+1)/2)/COUNTIFS($D$2:$D$112,D28,$C$2:$C$112,"&gt;0"))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>
        <f>IFERROR((B48/B28)^(1/5)-1,"")</f>
        <v/>
      </c>
      <c r="L28" s="30">
        <f>IFERROR((B68/B28)^(1/10)-1,"")</f>
        <v/>
      </c>
    </row>
    <row r="29">
      <c r="A29" s="31" t="n">
        <v>38717</v>
      </c>
      <c r="B29" s="24" t="n">
        <v>2836.5</v>
      </c>
      <c r="C29" s="25" t="n">
        <v>17.2</v>
      </c>
      <c r="D29" s="2" t="inlineStr">
        <is>
          <t>Standalone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IF(C29="","",(COUNTIFS($D$2:$D$112,D29,$C$2:$C$112,"&gt;0",$C$2:$C$112,"&lt;"&amp;C29)+(COUNTIFS($D$2:$D$112,D29,$C$2:$C$112,C29)+1)/2)/COUNTIFS($D$2:$D$112,D29,$C$2:$C$112,"&gt;0"))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>
        <f>IFERROR((B49/B29)^(1/5)-1,"")</f>
        <v/>
      </c>
      <c r="L29" s="30">
        <f>IFERROR((B69/B29)^(1/10)-1,"")</f>
        <v/>
      </c>
    </row>
    <row r="30">
      <c r="A30" s="31" t="n">
        <v>38807</v>
      </c>
      <c r="B30" s="24" t="n">
        <v>3402.5</v>
      </c>
      <c r="C30" s="25" t="n">
        <v>20.3</v>
      </c>
      <c r="D30" s="2" t="inlineStr">
        <is>
          <t>Standalone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IF(C30="","",(COUNTIFS($D$2:$D$112,D30,$C$2:$C$112,"&gt;0",$C$2:$C$112,"&lt;"&amp;C30)+(COUNTIFS($D$2:$D$112,D30,$C$2:$C$112,C30)+1)/2)/COUNTIFS($D$2:$D$112,D30,$C$2:$C$112,"&gt;0"))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>
        <f>IFERROR((B50/B30)^(1/5)-1,"")</f>
        <v/>
      </c>
      <c r="L30" s="30">
        <f>IFERROR((B70/B30)^(1/10)-1,"")</f>
        <v/>
      </c>
    </row>
    <row r="31">
      <c r="A31" s="31" t="n">
        <v>38898</v>
      </c>
      <c r="B31" s="24" t="n">
        <v>3128.2</v>
      </c>
      <c r="C31" s="25" t="n">
        <v>18.4</v>
      </c>
      <c r="D31" s="2" t="inlineStr">
        <is>
          <t>Standalone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IF(C31="","",(COUNTIFS($D$2:$D$112,D31,$C$2:$C$112,"&gt;0",$C$2:$C$112,"&lt;"&amp;C31)+(COUNTIFS($D$2:$D$112,D31,$C$2:$C$112,C31)+1)/2)/COUNTIFS($D$2:$D$112,D31,$C$2:$C$112,"&gt;0"))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>
        <f>IFERROR((B51/B31)^(1/5)-1,"")</f>
        <v/>
      </c>
      <c r="L31" s="30">
        <f>IFERROR((B71/B31)^(1/10)-1,"")</f>
        <v/>
      </c>
    </row>
    <row r="32">
      <c r="A32" s="31" t="n">
        <v>38990</v>
      </c>
      <c r="B32" s="24" t="n">
        <v>3588.4</v>
      </c>
      <c r="C32" s="25" t="n">
        <v>20.9</v>
      </c>
      <c r="D32" s="2" t="inlineStr">
        <is>
          <t>Standalone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IF(C32="","",(COUNTIFS($D$2:$D$112,D32,$C$2:$C$112,"&gt;0",$C$2:$C$112,"&lt;"&amp;C32)+(COUNTIFS($D$2:$D$112,D32,$C$2:$C$112,C32)+1)/2)/COUNTIFS($D$2:$D$112,D32,$C$2:$C$112,"&gt;0"))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>
        <f>IFERROR((B52/B32)^(1/5)-1,"")</f>
        <v/>
      </c>
      <c r="L32" s="30">
        <f>IFERROR((B72/B32)^(1/10)-1,"")</f>
        <v/>
      </c>
    </row>
    <row r="33">
      <c r="A33" s="31" t="n">
        <v>39082</v>
      </c>
      <c r="B33" s="24" t="n">
        <v>3966.4</v>
      </c>
      <c r="C33" s="25" t="n">
        <v>21.3</v>
      </c>
      <c r="D33" s="2" t="inlineStr">
        <is>
          <t>Standalone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IF(C33="","",(COUNTIFS($D$2:$D$112,D33,$C$2:$C$112,"&gt;0",$C$2:$C$112,"&lt;"&amp;C33)+(COUNTIFS($D$2:$D$112,D33,$C$2:$C$112,C33)+1)/2)/COUNTIFS($D$2:$D$112,D33,$C$2:$C$112,"&gt;0"))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>
        <f>IFERROR((B53/B33)^(1/5)-1,"")</f>
        <v/>
      </c>
      <c r="L33" s="30">
        <f>IFERROR((B73/B33)^(1/10)-1,"")</f>
        <v/>
      </c>
    </row>
    <row r="34">
      <c r="A34" s="31" t="n">
        <v>39172</v>
      </c>
      <c r="B34" s="24" t="n">
        <v>3821.5</v>
      </c>
      <c r="C34" s="25" t="n">
        <v>18.4</v>
      </c>
      <c r="D34" s="2" t="inlineStr">
        <is>
          <t>Standalone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IF(C34="","",(COUNTIFS($D$2:$D$112,D34,$C$2:$C$112,"&gt;0",$C$2:$C$112,"&lt;"&amp;C34)+(COUNTIFS($D$2:$D$112,D34,$C$2:$C$112,C34)+1)/2)/COUNTIFS($D$2:$D$112,D34,$C$2:$C$112,"&gt;0"))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>
        <f>IFERROR((B46/B34)^(1/3)-1,"")</f>
        <v/>
      </c>
      <c r="K34" s="30">
        <f>IFERROR((B54/B34)^(1/5)-1,"")</f>
        <v/>
      </c>
      <c r="L34" s="30">
        <f>IFERROR((B74/B34)^(1/10)-1,"")</f>
        <v/>
      </c>
    </row>
    <row r="35">
      <c r="A35" s="31" t="n">
        <v>39263</v>
      </c>
      <c r="B35" s="24" t="n">
        <v>4318.3</v>
      </c>
      <c r="C35" s="25" t="n">
        <v>20.6</v>
      </c>
      <c r="D35" s="2" t="inlineStr">
        <is>
          <t>Standalone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IF(C35="","",(COUNTIFS($D$2:$D$112,D35,$C$2:$C$112,"&gt;0",$C$2:$C$112,"&lt;"&amp;C35)+(COUNTIFS($D$2:$D$112,D35,$C$2:$C$112,C35)+1)/2)/COUNTIFS($D$2:$D$112,D35,$C$2:$C$112,"&gt;0"))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>
        <f>IFERROR((B47/B35)^(1/3)-1,"")</f>
        <v/>
      </c>
      <c r="K35" s="30">
        <f>IFERROR((B55/B35)^(1/5)-1,"")</f>
        <v/>
      </c>
      <c r="L35" s="30">
        <f>IFERROR((B75/B35)^(1/10)-1,"")</f>
        <v/>
      </c>
    </row>
    <row r="36">
      <c r="A36" s="31" t="n">
        <v>39355</v>
      </c>
      <c r="B36" s="24" t="n">
        <v>5021.3</v>
      </c>
      <c r="C36" s="25" t="n">
        <v>22.6</v>
      </c>
      <c r="D36" s="2" t="inlineStr">
        <is>
          <t>Standalone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IF(C36="","",(COUNTIFS($D$2:$D$112,D36,$C$2:$C$112,"&gt;0",$C$2:$C$112,"&lt;"&amp;C36)+(COUNTIFS($D$2:$D$112,D36,$C$2:$C$112,C36)+1)/2)/COUNTIFS($D$2:$D$112,D36,$C$2:$C$112,"&gt;0"))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>
        <f>IFERROR((B48/B36)^(1/3)-1,"")</f>
        <v/>
      </c>
      <c r="K36" s="30">
        <f>IFERROR((B56/B36)^(1/5)-1,"")</f>
        <v/>
      </c>
      <c r="L36" s="30">
        <f>IFERROR((B76/B36)^(1/10)-1,"")</f>
        <v/>
      </c>
    </row>
    <row r="37">
      <c r="A37" s="31" t="n">
        <v>39447</v>
      </c>
      <c r="B37" s="24" t="n">
        <v>6138.6</v>
      </c>
      <c r="C37" s="25" t="n">
        <v>27.6</v>
      </c>
      <c r="D37" s="2" t="inlineStr">
        <is>
          <t>Standalone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IF(C37="","",(COUNTIFS($D$2:$D$112,D37,$C$2:$C$112,"&gt;0",$C$2:$C$112,"&lt;"&amp;C37)+(COUNTIFS($D$2:$D$112,D37,$C$2:$C$112,C37)+1)/2)/COUNTIFS($D$2:$D$112,D37,$C$2:$C$112,"&gt;0"))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>
        <f>IFERROR((B49/B37)^(1/3)-1,"")</f>
        <v/>
      </c>
      <c r="K37" s="30">
        <f>IFERROR((B57/B37)^(1/5)-1,"")</f>
        <v/>
      </c>
      <c r="L37" s="30">
        <f>IFERROR((B77/B37)^(1/10)-1,"")</f>
        <v/>
      </c>
    </row>
    <row r="38">
      <c r="A38" s="31" t="n">
        <v>39538</v>
      </c>
      <c r="B38" s="24" t="n">
        <v>4734.5</v>
      </c>
      <c r="C38" s="25" t="n">
        <v>20.6</v>
      </c>
      <c r="D38" s="2" t="inlineStr">
        <is>
          <t>Standalone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IF(C38="","",(COUNTIFS($D$2:$D$112,D38,$C$2:$C$112,"&gt;0",$C$2:$C$112,"&lt;"&amp;C38)+(COUNTIFS($D$2:$D$112,D38,$C$2:$C$112,C38)+1)/2)/COUNTIFS($D$2:$D$112,D38,$C$2:$C$112,"&gt;0"))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>
        <f>IFERROR((B50/B38)^(1/3)-1,"")</f>
        <v/>
      </c>
      <c r="K38" s="30">
        <f>IFERROR((B58/B38)^(1/5)-1,"")</f>
        <v/>
      </c>
      <c r="L38" s="30">
        <f>IFERROR((B78/B38)^(1/10)-1,"")</f>
        <v/>
      </c>
    </row>
    <row r="39">
      <c r="A39" s="31" t="n">
        <v>39629</v>
      </c>
      <c r="B39" s="24" t="n">
        <v>4040.5</v>
      </c>
      <c r="C39" s="25" t="n">
        <v>17.3</v>
      </c>
      <c r="D39" s="2" t="inlineStr">
        <is>
          <t>Standalone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IF(C39="","",(COUNTIFS($D$2:$D$112,D39,$C$2:$C$112,"&gt;0",$C$2:$C$112,"&lt;"&amp;C39)+(COUNTIFS($D$2:$D$112,D39,$C$2:$C$112,C39)+1)/2)/COUNTIFS($D$2:$D$112,D39,$C$2:$C$112,"&gt;0"))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>
        <f>IFERROR((B51/B39)^(1/3)-1,"")</f>
        <v/>
      </c>
      <c r="K39" s="30">
        <f>IFERROR((B59/B39)^(1/5)-1,"")</f>
        <v/>
      </c>
      <c r="L39" s="30">
        <f>IFERROR((B79/B39)^(1/10)-1,"")</f>
        <v/>
      </c>
    </row>
    <row r="40">
      <c r="A40" s="31" t="n">
        <v>39721</v>
      </c>
      <c r="B40" s="24" t="n">
        <v>3921.2</v>
      </c>
      <c r="C40" s="25" t="n">
        <v>16.9</v>
      </c>
      <c r="D40" s="2" t="inlineStr">
        <is>
          <t>Standalone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IF(C40="","",(COUNTIFS($D$2:$D$112,D40,$C$2:$C$112,"&gt;0",$C$2:$C$112,"&lt;"&amp;C40)+(COUNTIFS($D$2:$D$112,D40,$C$2:$C$112,C40)+1)/2)/COUNTIFS($D$2:$D$112,D40,$C$2:$C$112,"&gt;0"))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>
        <f>IFERROR((B52/B40)^(1/3)-1,"")</f>
        <v/>
      </c>
      <c r="K40" s="30">
        <f>IFERROR((B60/B40)^(1/5)-1,"")</f>
        <v/>
      </c>
      <c r="L40" s="30">
        <f>IFERROR((B80/B40)^(1/10)-1,"")</f>
        <v/>
      </c>
    </row>
    <row r="41">
      <c r="A41" s="31" t="n">
        <v>39813</v>
      </c>
      <c r="B41" s="24" t="n">
        <v>2959.1</v>
      </c>
      <c r="C41" s="25" t="n">
        <v>13</v>
      </c>
      <c r="D41" s="2" t="inlineStr">
        <is>
          <t>Standalone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IF(C41="","",(COUNTIFS($D$2:$D$112,D41,$C$2:$C$112,"&gt;0",$C$2:$C$112,"&lt;"&amp;C41)+(COUNTIFS($D$2:$D$112,D41,$C$2:$C$112,C41)+1)/2)/COUNTIFS($D$2:$D$112,D41,$C$2:$C$112,"&gt;0"))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>
        <f>IFERROR((B53/B41)^(1/3)-1,"")</f>
        <v/>
      </c>
      <c r="K41" s="30">
        <f>IFERROR((B61/B41)^(1/5)-1,"")</f>
        <v/>
      </c>
      <c r="L41" s="30">
        <f>IFERROR((B81/B41)^(1/10)-1,"")</f>
        <v/>
      </c>
    </row>
    <row r="42">
      <c r="A42" s="31" t="n">
        <v>39903</v>
      </c>
      <c r="B42" s="24" t="n">
        <v>3020.9</v>
      </c>
      <c r="C42" s="25" t="n">
        <v>14.3</v>
      </c>
      <c r="D42" s="2" t="inlineStr">
        <is>
          <t>Standalone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IF(C42="","",(COUNTIFS($D$2:$D$112,D42,$C$2:$C$112,"&gt;0",$C$2:$C$112,"&lt;"&amp;C42)+(COUNTIFS($D$2:$D$112,D42,$C$2:$C$112,C42)+1)/2)/COUNTIFS($D$2:$D$112,D42,$C$2:$C$112,"&gt;0"))</f>
        <v/>
      </c>
      <c r="H42">
        <f>IF(G42="","",IF(G42&lt;=20%,"Q1 Cheapest",IF(G42&lt;=40%,"Q2",IF(G42&lt;=60%,"Q3",IF(G42&lt;=80%,"Q4","Q5 Most Expensive")))))</f>
        <v/>
      </c>
      <c r="I42" s="30">
        <f>IFERROR(B46/B42-1,"")</f>
        <v/>
      </c>
      <c r="J42" s="30">
        <f>IFERROR((B54/B42)^(1/3)-1,"")</f>
        <v/>
      </c>
      <c r="K42" s="30">
        <f>IFERROR((B62/B42)^(1/5)-1,"")</f>
        <v/>
      </c>
      <c r="L42" s="30">
        <f>IFERROR((B82/B42)^(1/10)-1,"")</f>
        <v/>
      </c>
    </row>
    <row r="43">
      <c r="A43" s="31" t="n">
        <v>39994</v>
      </c>
      <c r="B43" s="24" t="n">
        <v>4291.1</v>
      </c>
      <c r="C43" s="25" t="n">
        <v>20</v>
      </c>
      <c r="D43" s="2" t="inlineStr">
        <is>
          <t>Standalone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IF(C43="","",(COUNTIFS($D$2:$D$112,D43,$C$2:$C$112,"&gt;0",$C$2:$C$112,"&lt;"&amp;C43)+(COUNTIFS($D$2:$D$112,D43,$C$2:$C$112,C43)+1)/2)/COUNTIFS($D$2:$D$112,D43,$C$2:$C$112,"&gt;0"))</f>
        <v/>
      </c>
      <c r="H43">
        <f>IF(G43="","",IF(G43&lt;=20%,"Q1 Cheapest",IF(G43&lt;=40%,"Q2",IF(G43&lt;=60%,"Q3",IF(G43&lt;=80%,"Q4","Q5 Most Expensive")))))</f>
        <v/>
      </c>
      <c r="I43" s="30">
        <f>IFERROR(B47/B43-1,"")</f>
        <v/>
      </c>
      <c r="J43" s="30">
        <f>IFERROR((B55/B43)^(1/3)-1,"")</f>
        <v/>
      </c>
      <c r="K43" s="30">
        <f>IFERROR((B63/B43)^(1/5)-1,"")</f>
        <v/>
      </c>
      <c r="L43" s="30">
        <f>IFERROR((B83/B43)^(1/10)-1,"")</f>
        <v/>
      </c>
    </row>
    <row r="44">
      <c r="A44" s="31" t="n">
        <v>40086</v>
      </c>
      <c r="B44" s="24" t="n">
        <v>5083.9</v>
      </c>
      <c r="C44" s="25" t="n">
        <v>22.9</v>
      </c>
      <c r="D44" s="2" t="inlineStr">
        <is>
          <t>Standalone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IF(C44="","",(COUNTIFS($D$2:$D$112,D44,$C$2:$C$112,"&gt;0",$C$2:$C$112,"&lt;"&amp;C44)+(COUNTIFS($D$2:$D$112,D44,$C$2:$C$112,C44)+1)/2)/COUNTIFS($D$2:$D$112,D44,$C$2:$C$112,"&gt;0"))</f>
        <v/>
      </c>
      <c r="H44">
        <f>IF(G44="","",IF(G44&lt;=20%,"Q1 Cheapest",IF(G44&lt;=40%,"Q2",IF(G44&lt;=60%,"Q3",IF(G44&lt;=80%,"Q4","Q5 Most Expensive")))))</f>
        <v/>
      </c>
      <c r="I44" s="30">
        <f>IFERROR(B48/B44-1,"")</f>
        <v/>
      </c>
      <c r="J44" s="30">
        <f>IFERROR((B56/B44)^(1/3)-1,"")</f>
        <v/>
      </c>
      <c r="K44" s="30">
        <f>IFERROR((B64/B44)^(1/5)-1,"")</f>
        <v/>
      </c>
      <c r="L44" s="30">
        <f>IFERROR((B84/B44)^(1/10)-1,"")</f>
        <v/>
      </c>
    </row>
    <row r="45">
      <c r="A45" s="31" t="n">
        <v>40178</v>
      </c>
      <c r="B45" s="24" t="n">
        <v>5201</v>
      </c>
      <c r="C45" s="25" t="n">
        <v>23.2</v>
      </c>
      <c r="D45" s="2" t="inlineStr">
        <is>
          <t>Standalone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IF(C45="","",(COUNTIFS($D$2:$D$112,D45,$C$2:$C$112,"&gt;0",$C$2:$C$112,"&lt;"&amp;C45)+(COUNTIFS($D$2:$D$112,D45,$C$2:$C$112,C45)+1)/2)/COUNTIFS($D$2:$D$112,D45,$C$2:$C$112,"&gt;0"))</f>
        <v/>
      </c>
      <c r="H45">
        <f>IF(G45="","",IF(G45&lt;=20%,"Q1 Cheapest",IF(G45&lt;=40%,"Q2",IF(G45&lt;=60%,"Q3",IF(G45&lt;=80%,"Q4","Q5 Most Expensive")))))</f>
        <v/>
      </c>
      <c r="I45" s="30">
        <f>IFERROR(B49/B45-1,"")</f>
        <v/>
      </c>
      <c r="J45" s="30">
        <f>IFERROR((B57/B45)^(1/3)-1,"")</f>
        <v/>
      </c>
      <c r="K45" s="30">
        <f>IFERROR((B65/B45)^(1/5)-1,"")</f>
        <v/>
      </c>
      <c r="L45" s="30">
        <f>IFERROR((B85/B45)^(1/10)-1,"")</f>
        <v/>
      </c>
    </row>
    <row r="46">
      <c r="A46" s="31" t="n">
        <v>40268</v>
      </c>
      <c r="B46" s="24" t="n">
        <v>5249.1</v>
      </c>
      <c r="C46" s="25" t="n">
        <v>22.3</v>
      </c>
      <c r="D46" s="2" t="inlineStr">
        <is>
          <t>Standalone</t>
        </is>
      </c>
      <c r="E46" s="33">
        <f>IFERROR(B46/C46,"")</f>
        <v/>
      </c>
      <c r="F46" s="30">
        <f>IF(AND(D46=D42,E42&lt;&gt;""),E46/E42-1,"")</f>
        <v/>
      </c>
      <c r="G46" s="30">
        <f>IF(C46="","",(COUNTIFS($D$2:$D$112,D46,$C$2:$C$112,"&gt;0",$C$2:$C$112,"&lt;"&amp;C46)+(COUNTIFS($D$2:$D$112,D46,$C$2:$C$112,C46)+1)/2)/COUNTIFS($D$2:$D$112,D46,$C$2:$C$112,"&gt;0"))</f>
        <v/>
      </c>
      <c r="H46">
        <f>IF(G46="","",IF(G46&lt;=20%,"Q1 Cheapest",IF(G46&lt;=40%,"Q2",IF(G46&lt;=60%,"Q3",IF(G46&lt;=80%,"Q4","Q5 Most Expensive")))))</f>
        <v/>
      </c>
      <c r="I46" s="30">
        <f>IFERROR(B50/B46-1,"")</f>
        <v/>
      </c>
      <c r="J46" s="30">
        <f>IFERROR((B58/B46)^(1/3)-1,"")</f>
        <v/>
      </c>
      <c r="K46" s="30">
        <f>IFERROR((B66/B46)^(1/5)-1,"")</f>
        <v/>
      </c>
      <c r="L46" s="30">
        <f>IFERROR((B86/B46)^(1/10)-1,"")</f>
        <v/>
      </c>
    </row>
    <row r="47">
      <c r="A47" s="31" t="n">
        <v>40359</v>
      </c>
      <c r="B47" s="24" t="n">
        <v>5312.5</v>
      </c>
      <c r="C47" s="25" t="n">
        <v>22.3</v>
      </c>
      <c r="D47" s="2" t="inlineStr">
        <is>
          <t>Standalone</t>
        </is>
      </c>
      <c r="E47" s="33">
        <f>IFERROR(B47/C47,"")</f>
        <v/>
      </c>
      <c r="F47" s="30">
        <f>IF(AND(D47=D43,E43&lt;&gt;""),E47/E43-1,"")</f>
        <v/>
      </c>
      <c r="G47" s="30">
        <f>IF(C47="","",(COUNTIFS($D$2:$D$112,D47,$C$2:$C$112,"&gt;0",$C$2:$C$112,"&lt;"&amp;C47)+(COUNTIFS($D$2:$D$112,D47,$C$2:$C$112,C47)+1)/2)/COUNTIFS($D$2:$D$112,D47,$C$2:$C$112,"&gt;0"))</f>
        <v/>
      </c>
      <c r="H47">
        <f>IF(G47="","",IF(G47&lt;=20%,"Q1 Cheapest",IF(G47&lt;=40%,"Q2",IF(G47&lt;=60%,"Q3",IF(G47&lt;=80%,"Q4","Q5 Most Expensive")))))</f>
        <v/>
      </c>
      <c r="I47" s="30">
        <f>IFERROR(B51/B47-1,"")</f>
        <v/>
      </c>
      <c r="J47" s="30">
        <f>IFERROR((B59/B47)^(1/3)-1,"")</f>
        <v/>
      </c>
      <c r="K47" s="30">
        <f>IFERROR((B67/B47)^(1/5)-1,"")</f>
        <v/>
      </c>
      <c r="L47" s="30">
        <f>IFERROR((B87/B47)^(1/10)-1,"")</f>
        <v/>
      </c>
    </row>
    <row r="48">
      <c r="A48" s="31" t="n">
        <v>40451</v>
      </c>
      <c r="B48" s="24" t="n">
        <v>6029.9</v>
      </c>
      <c r="C48" s="25" t="n">
        <v>25.5</v>
      </c>
      <c r="D48" s="2" t="inlineStr">
        <is>
          <t>Standalone</t>
        </is>
      </c>
      <c r="E48" s="33">
        <f>IFERROR(B48/C48,"")</f>
        <v/>
      </c>
      <c r="F48" s="30">
        <f>IF(AND(D48=D44,E44&lt;&gt;""),E48/E44-1,"")</f>
        <v/>
      </c>
      <c r="G48" s="30">
        <f>IF(C48="","",(COUNTIFS($D$2:$D$112,D48,$C$2:$C$112,"&gt;0",$C$2:$C$112,"&lt;"&amp;C48)+(COUNTIFS($D$2:$D$112,D48,$C$2:$C$112,C48)+1)/2)/COUNTIFS($D$2:$D$112,D48,$C$2:$C$112,"&gt;0"))</f>
        <v/>
      </c>
      <c r="H48">
        <f>IF(G48="","",IF(G48&lt;=20%,"Q1 Cheapest",IF(G48&lt;=40%,"Q2",IF(G48&lt;=60%,"Q3",IF(G48&lt;=80%,"Q4","Q5 Most Expensive")))))</f>
        <v/>
      </c>
      <c r="I48" s="30">
        <f>IFERROR(B52/B48-1,"")</f>
        <v/>
      </c>
      <c r="J48" s="30">
        <f>IFERROR((B60/B48)^(1/3)-1,"")</f>
        <v/>
      </c>
      <c r="K48" s="30">
        <f>IFERROR((B68/B48)^(1/5)-1,"")</f>
        <v/>
      </c>
      <c r="L48" s="30">
        <f>IFERROR((B88/B48)^(1/10)-1,"")</f>
        <v/>
      </c>
    </row>
    <row r="49">
      <c r="A49" s="31" t="n">
        <v>40543</v>
      </c>
      <c r="B49" s="24" t="n">
        <v>6134.5</v>
      </c>
      <c r="C49" s="25" t="n">
        <v>24.5</v>
      </c>
      <c r="D49" s="2" t="inlineStr">
        <is>
          <t>Standalone</t>
        </is>
      </c>
      <c r="E49" s="33">
        <f>IFERROR(B49/C49,"")</f>
        <v/>
      </c>
      <c r="F49" s="30">
        <f>IF(AND(D49=D45,E45&lt;&gt;""),E49/E45-1,"")</f>
        <v/>
      </c>
      <c r="G49" s="30">
        <f>IF(C49="","",(COUNTIFS($D$2:$D$112,D49,$C$2:$C$112,"&gt;0",$C$2:$C$112,"&lt;"&amp;C49)+(COUNTIFS($D$2:$D$112,D49,$C$2:$C$112,C49)+1)/2)/COUNTIFS($D$2:$D$112,D49,$C$2:$C$112,"&gt;0"))</f>
        <v/>
      </c>
      <c r="H49">
        <f>IF(G49="","",IF(G49&lt;=20%,"Q1 Cheapest",IF(G49&lt;=40%,"Q2",IF(G49&lt;=60%,"Q3",IF(G49&lt;=80%,"Q4","Q5 Most Expensive")))))</f>
        <v/>
      </c>
      <c r="I49" s="30">
        <f>IFERROR(B53/B49-1,"")</f>
        <v/>
      </c>
      <c r="J49" s="30">
        <f>IFERROR((B61/B49)^(1/3)-1,"")</f>
        <v/>
      </c>
      <c r="K49" s="30">
        <f>IFERROR((B69/B49)^(1/5)-1,"")</f>
        <v/>
      </c>
      <c r="L49" s="30">
        <f>IFERROR((B89/B49)^(1/10)-1,"")</f>
        <v/>
      </c>
    </row>
    <row r="50">
      <c r="A50" s="31" t="n">
        <v>40633</v>
      </c>
      <c r="B50" s="24" t="n">
        <v>5833.7</v>
      </c>
      <c r="C50" s="25" t="n">
        <v>22.1</v>
      </c>
      <c r="D50" s="2" t="inlineStr">
        <is>
          <t>Standalone</t>
        </is>
      </c>
      <c r="E50" s="33">
        <f>IFERROR(B50/C50,"")</f>
        <v/>
      </c>
      <c r="F50" s="30">
        <f>IF(AND(D50=D46,E46&lt;&gt;""),E50/E46-1,"")</f>
        <v/>
      </c>
      <c r="G50" s="30">
        <f>IF(C50="","",(COUNTIFS($D$2:$D$112,D50,$C$2:$C$112,"&gt;0",$C$2:$C$112,"&lt;"&amp;C50)+(COUNTIFS($D$2:$D$112,D50,$C$2:$C$112,C50)+1)/2)/COUNTIFS($D$2:$D$112,D50,$C$2:$C$112,"&gt;0"))</f>
        <v/>
      </c>
      <c r="H50">
        <f>IF(G50="","",IF(G50&lt;=20%,"Q1 Cheapest",IF(G50&lt;=40%,"Q2",IF(G50&lt;=60%,"Q3",IF(G50&lt;=80%,"Q4","Q5 Most Expensive")))))</f>
        <v/>
      </c>
      <c r="I50" s="30">
        <f>IFERROR(B54/B50-1,"")</f>
        <v/>
      </c>
      <c r="J50" s="30">
        <f>IFERROR((B62/B50)^(1/3)-1,"")</f>
        <v/>
      </c>
      <c r="K50" s="30">
        <f>IFERROR((B70/B50)^(1/5)-1,"")</f>
        <v/>
      </c>
      <c r="L50" s="30">
        <f>IFERROR((B90/B50)^(1/10)-1,"")</f>
        <v/>
      </c>
    </row>
    <row r="51">
      <c r="A51" s="31" t="n">
        <v>40724</v>
      </c>
      <c r="B51" s="24" t="n">
        <v>5647.4</v>
      </c>
      <c r="C51" s="25" t="n">
        <v>20.8</v>
      </c>
      <c r="D51" s="2" t="inlineStr">
        <is>
          <t>Standalone</t>
        </is>
      </c>
      <c r="E51" s="33">
        <f>IFERROR(B51/C51,"")</f>
        <v/>
      </c>
      <c r="F51" s="30">
        <f>IF(AND(D51=D47,E47&lt;&gt;""),E51/E47-1,"")</f>
        <v/>
      </c>
      <c r="G51" s="30">
        <f>IF(C51="","",(COUNTIFS($D$2:$D$112,D51,$C$2:$C$112,"&gt;0",$C$2:$C$112,"&lt;"&amp;C51)+(COUNTIFS($D$2:$D$112,D51,$C$2:$C$112,C51)+1)/2)/COUNTIFS($D$2:$D$112,D51,$C$2:$C$112,"&gt;0"))</f>
        <v/>
      </c>
      <c r="H51">
        <f>IF(G51="","",IF(G51&lt;=20%,"Q1 Cheapest",IF(G51&lt;=40%,"Q2",IF(G51&lt;=60%,"Q3",IF(G51&lt;=80%,"Q4","Q5 Most Expensive")))))</f>
        <v/>
      </c>
      <c r="I51" s="30">
        <f>IFERROR(B55/B51-1,"")</f>
        <v/>
      </c>
      <c r="J51" s="30">
        <f>IFERROR((B63/B51)^(1/3)-1,"")</f>
        <v/>
      </c>
      <c r="K51" s="30">
        <f>IFERROR((B71/B51)^(1/5)-1,"")</f>
        <v/>
      </c>
      <c r="L51" s="30">
        <f>IFERROR((B91/B51)^(1/10)-1,"")</f>
        <v/>
      </c>
    </row>
    <row r="52">
      <c r="A52" s="31" t="n">
        <v>40816</v>
      </c>
      <c r="B52" s="24" t="n">
        <v>4943.2</v>
      </c>
      <c r="C52" s="25" t="n">
        <v>17.9</v>
      </c>
      <c r="D52" s="2" t="inlineStr">
        <is>
          <t>Standalone</t>
        </is>
      </c>
      <c r="E52" s="33">
        <f>IFERROR(B52/C52,"")</f>
        <v/>
      </c>
      <c r="F52" s="30">
        <f>IF(AND(D52=D48,E48&lt;&gt;""),E52/E48-1,"")</f>
        <v/>
      </c>
      <c r="G52" s="30">
        <f>IF(C52="","",(COUNTIFS($D$2:$D$112,D52,$C$2:$C$112,"&gt;0",$C$2:$C$112,"&lt;"&amp;C52)+(COUNTIFS($D$2:$D$112,D52,$C$2:$C$112,C52)+1)/2)/COUNTIFS($D$2:$D$112,D52,$C$2:$C$112,"&gt;0"))</f>
        <v/>
      </c>
      <c r="H52">
        <f>IF(G52="","",IF(G52&lt;=20%,"Q1 Cheapest",IF(G52&lt;=40%,"Q2",IF(G52&lt;=60%,"Q3",IF(G52&lt;=80%,"Q4","Q5 Most Expensive")))))</f>
        <v/>
      </c>
      <c r="I52" s="30">
        <f>IFERROR(B56/B52-1,"")</f>
        <v/>
      </c>
      <c r="J52" s="30">
        <f>IFERROR((B64/B52)^(1/3)-1,"")</f>
        <v/>
      </c>
      <c r="K52" s="30">
        <f>IFERROR((B72/B52)^(1/5)-1,"")</f>
        <v/>
      </c>
      <c r="L52" s="30">
        <f>IFERROR((B92/B52)^(1/10)-1,"")</f>
        <v/>
      </c>
    </row>
    <row r="53">
      <c r="A53" s="31" t="n">
        <v>40908</v>
      </c>
      <c r="B53" s="24" t="n">
        <v>4624.3</v>
      </c>
      <c r="C53" s="25" t="n">
        <v>16.8</v>
      </c>
      <c r="D53" s="2" t="inlineStr">
        <is>
          <t>Standalone</t>
        </is>
      </c>
      <c r="E53" s="33">
        <f>IFERROR(B53/C53,"")</f>
        <v/>
      </c>
      <c r="F53" s="30">
        <f>IF(AND(D53=D49,E49&lt;&gt;""),E53/E49-1,"")</f>
        <v/>
      </c>
      <c r="G53" s="30">
        <f>IF(C53="","",(COUNTIFS($D$2:$D$112,D53,$C$2:$C$112,"&gt;0",$C$2:$C$112,"&lt;"&amp;C53)+(COUNTIFS($D$2:$D$112,D53,$C$2:$C$112,C53)+1)/2)/COUNTIFS($D$2:$D$112,D53,$C$2:$C$112,"&gt;0"))</f>
        <v/>
      </c>
      <c r="H53">
        <f>IF(G53="","",IF(G53&lt;=20%,"Q1 Cheapest",IF(G53&lt;=40%,"Q2",IF(G53&lt;=60%,"Q3",IF(G53&lt;=80%,"Q4","Q5 Most Expensive")))))</f>
        <v/>
      </c>
      <c r="I53" s="30">
        <f>IFERROR(B57/B53-1,"")</f>
        <v/>
      </c>
      <c r="J53" s="30">
        <f>IFERROR((B65/B53)^(1/3)-1,"")</f>
        <v/>
      </c>
      <c r="K53" s="30">
        <f>IFERROR((B73/B53)^(1/5)-1,"")</f>
        <v/>
      </c>
      <c r="L53" s="30">
        <f>IFERROR((B93/B53)^(1/10)-1,"")</f>
        <v/>
      </c>
    </row>
    <row r="54">
      <c r="A54" s="31" t="n">
        <v>40999</v>
      </c>
      <c r="B54" s="24" t="n">
        <v>5295.5</v>
      </c>
      <c r="C54" s="25" t="n">
        <v>18.7</v>
      </c>
      <c r="D54" s="2" t="inlineStr">
        <is>
          <t>Standalone</t>
        </is>
      </c>
      <c r="E54" s="33">
        <f>IFERROR(B54/C54,"")</f>
        <v/>
      </c>
      <c r="F54" s="30">
        <f>IF(AND(D54=D50,E50&lt;&gt;""),E54/E50-1,"")</f>
        <v/>
      </c>
      <c r="G54" s="30">
        <f>IF(C54="","",(COUNTIFS($D$2:$D$112,D54,$C$2:$C$112,"&gt;0",$C$2:$C$112,"&lt;"&amp;C54)+(COUNTIFS($D$2:$D$112,D54,$C$2:$C$112,C54)+1)/2)/COUNTIFS($D$2:$D$112,D54,$C$2:$C$112,"&gt;0"))</f>
        <v/>
      </c>
      <c r="H54">
        <f>IF(G54="","",IF(G54&lt;=20%,"Q1 Cheapest",IF(G54&lt;=40%,"Q2",IF(G54&lt;=60%,"Q3",IF(G54&lt;=80%,"Q4","Q5 Most Expensive")))))</f>
        <v/>
      </c>
      <c r="I54" s="30">
        <f>IFERROR(B58/B54-1,"")</f>
        <v/>
      </c>
      <c r="J54" s="30">
        <f>IFERROR((B66/B54)^(1/3)-1,"")</f>
        <v/>
      </c>
      <c r="K54" s="30">
        <f>IFERROR((B74/B54)^(1/5)-1,"")</f>
        <v/>
      </c>
      <c r="L54" s="30">
        <f>IFERROR((B94/B54)^(1/10)-1,"")</f>
        <v/>
      </c>
    </row>
    <row r="55">
      <c r="A55" s="31" t="n">
        <v>41090</v>
      </c>
      <c r="B55" s="24" t="n">
        <v>5278.9</v>
      </c>
      <c r="C55" s="25" t="n">
        <v>17.5</v>
      </c>
      <c r="D55" s="2" t="inlineStr">
        <is>
          <t>Standalone</t>
        </is>
      </c>
      <c r="E55" s="33">
        <f>IFERROR(B55/C55,"")</f>
        <v/>
      </c>
      <c r="F55" s="30">
        <f>IF(AND(D55=D51,E51&lt;&gt;""),E55/E51-1,"")</f>
        <v/>
      </c>
      <c r="G55" s="30">
        <f>IF(C55="","",(COUNTIFS($D$2:$D$112,D55,$C$2:$C$112,"&gt;0",$C$2:$C$112,"&lt;"&amp;C55)+(COUNTIFS($D$2:$D$112,D55,$C$2:$C$112,C55)+1)/2)/COUNTIFS($D$2:$D$112,D55,$C$2:$C$112,"&gt;0"))</f>
        <v/>
      </c>
      <c r="H55">
        <f>IF(G55="","",IF(G55&lt;=20%,"Q1 Cheapest",IF(G55&lt;=40%,"Q2",IF(G55&lt;=60%,"Q3",IF(G55&lt;=80%,"Q4","Q5 Most Expensive")))))</f>
        <v/>
      </c>
      <c r="I55" s="30">
        <f>IFERROR(B59/B55-1,"")</f>
        <v/>
      </c>
      <c r="J55" s="30">
        <f>IFERROR((B67/B55)^(1/3)-1,"")</f>
        <v/>
      </c>
      <c r="K55" s="30">
        <f>IFERROR((B75/B55)^(1/5)-1,"")</f>
        <v/>
      </c>
      <c r="L55" s="30">
        <f>IFERROR((B95/B55)^(1/10)-1,"")</f>
        <v/>
      </c>
    </row>
    <row r="56">
      <c r="A56" s="31" t="n">
        <v>41182</v>
      </c>
      <c r="B56" s="24" t="n">
        <v>5703.3</v>
      </c>
      <c r="C56" s="25" t="n">
        <v>19.2</v>
      </c>
      <c r="D56" s="2" t="inlineStr">
        <is>
          <t>Standalone</t>
        </is>
      </c>
      <c r="E56" s="33">
        <f>IFERROR(B56/C56,"")</f>
        <v/>
      </c>
      <c r="F56" s="30">
        <f>IF(AND(D56=D52,E52&lt;&gt;""),E56/E52-1,"")</f>
        <v/>
      </c>
      <c r="G56" s="30">
        <f>IF(C56="","",(COUNTIFS($D$2:$D$112,D56,$C$2:$C$112,"&gt;0",$C$2:$C$112,"&lt;"&amp;C56)+(COUNTIFS($D$2:$D$112,D56,$C$2:$C$112,C56)+1)/2)/COUNTIFS($D$2:$D$112,D56,$C$2:$C$112,"&gt;0"))</f>
        <v/>
      </c>
      <c r="H56">
        <f>IF(G56="","",IF(G56&lt;=20%,"Q1 Cheapest",IF(G56&lt;=40%,"Q2",IF(G56&lt;=60%,"Q3",IF(G56&lt;=80%,"Q4","Q5 Most Expensive")))))</f>
        <v/>
      </c>
      <c r="I56" s="30">
        <f>IFERROR(B60/B56-1,"")</f>
        <v/>
      </c>
      <c r="J56" s="30">
        <f>IFERROR((B68/B56)^(1/3)-1,"")</f>
        <v/>
      </c>
      <c r="K56" s="30">
        <f>IFERROR((B76/B56)^(1/5)-1,"")</f>
        <v/>
      </c>
      <c r="L56" s="30">
        <f>IFERROR((B96/B56)^(1/10)-1,"")</f>
        <v/>
      </c>
    </row>
    <row r="57">
      <c r="A57" s="31" t="n">
        <v>41274</v>
      </c>
      <c r="B57" s="24" t="n">
        <v>5905.1</v>
      </c>
      <c r="C57" s="25" t="n">
        <v>18.7</v>
      </c>
      <c r="D57" s="2" t="inlineStr">
        <is>
          <t>Standalone</t>
        </is>
      </c>
      <c r="E57" s="33">
        <f>IFERROR(B57/C57,"")</f>
        <v/>
      </c>
      <c r="F57" s="30">
        <f>IF(AND(D57=D53,E53&lt;&gt;""),E57/E53-1,"")</f>
        <v/>
      </c>
      <c r="G57" s="30">
        <f>IF(C57="","",(COUNTIFS($D$2:$D$112,D57,$C$2:$C$112,"&gt;0",$C$2:$C$112,"&lt;"&amp;C57)+(COUNTIFS($D$2:$D$112,D57,$C$2:$C$112,C57)+1)/2)/COUNTIFS($D$2:$D$112,D57,$C$2:$C$112,"&gt;0"))</f>
        <v/>
      </c>
      <c r="H57">
        <f>IF(G57="","",IF(G57&lt;=20%,"Q1 Cheapest",IF(G57&lt;=40%,"Q2",IF(G57&lt;=60%,"Q3",IF(G57&lt;=80%,"Q4","Q5 Most Expensive")))))</f>
        <v/>
      </c>
      <c r="I57" s="30">
        <f>IFERROR(B61/B57-1,"")</f>
        <v/>
      </c>
      <c r="J57" s="30">
        <f>IFERROR((B69/B57)^(1/3)-1,"")</f>
        <v/>
      </c>
      <c r="K57" s="30">
        <f>IFERROR((B77/B57)^(1/5)-1,"")</f>
        <v/>
      </c>
      <c r="L57" s="30">
        <f>IFERROR((B97/B57)^(1/10)-1,"")</f>
        <v/>
      </c>
    </row>
    <row r="58">
      <c r="A58" s="31" t="n">
        <v>41364</v>
      </c>
      <c r="B58" s="24" t="n">
        <v>5682.5</v>
      </c>
      <c r="C58" s="25" t="n">
        <v>17.6</v>
      </c>
      <c r="D58" s="2" t="inlineStr">
        <is>
          <t>Standalone</t>
        </is>
      </c>
      <c r="E58" s="33">
        <f>IFERROR(B58/C58,"")</f>
        <v/>
      </c>
      <c r="F58" s="30">
        <f>IF(AND(D58=D54,E54&lt;&gt;""),E58/E54-1,"")</f>
        <v/>
      </c>
      <c r="G58" s="30">
        <f>IF(C58="","",(COUNTIFS($D$2:$D$112,D58,$C$2:$C$112,"&gt;0",$C$2:$C$112,"&lt;"&amp;C58)+(COUNTIFS($D$2:$D$112,D58,$C$2:$C$112,C58)+1)/2)/COUNTIFS($D$2:$D$112,D58,$C$2:$C$112,"&gt;0"))</f>
        <v/>
      </c>
      <c r="H58">
        <f>IF(G58="","",IF(G58&lt;=20%,"Q1 Cheapest",IF(G58&lt;=40%,"Q2",IF(G58&lt;=60%,"Q3",IF(G58&lt;=80%,"Q4","Q5 Most Expensive")))))</f>
        <v/>
      </c>
      <c r="I58" s="30">
        <f>IFERROR(B62/B58-1,"")</f>
        <v/>
      </c>
      <c r="J58" s="30">
        <f>IFERROR((B70/B58)^(1/3)-1,"")</f>
        <v/>
      </c>
      <c r="K58" s="30">
        <f>IFERROR((B78/B58)^(1/5)-1,"")</f>
        <v/>
      </c>
      <c r="L58" s="30">
        <f>IFERROR((B98/B58)^(1/10)-1,"")</f>
        <v/>
      </c>
    </row>
    <row r="59">
      <c r="A59" s="31" t="n">
        <v>41455</v>
      </c>
      <c r="B59" s="24" t="n">
        <v>5842.2</v>
      </c>
      <c r="C59" s="25" t="n">
        <v>17.8</v>
      </c>
      <c r="D59" s="2" t="inlineStr">
        <is>
          <t>Standalone</t>
        </is>
      </c>
      <c r="E59" s="33">
        <f>IFERROR(B59/C59,"")</f>
        <v/>
      </c>
      <c r="F59" s="30">
        <f>IF(AND(D59=D55,E55&lt;&gt;""),E59/E55-1,"")</f>
        <v/>
      </c>
      <c r="G59" s="30">
        <f>IF(C59="","",(COUNTIFS($D$2:$D$112,D59,$C$2:$C$112,"&gt;0",$C$2:$C$112,"&lt;"&amp;C59)+(COUNTIFS($D$2:$D$112,D59,$C$2:$C$112,C59)+1)/2)/COUNTIFS($D$2:$D$112,D59,$C$2:$C$112,"&gt;0"))</f>
        <v/>
      </c>
      <c r="H59">
        <f>IF(G59="","",IF(G59&lt;=20%,"Q1 Cheapest",IF(G59&lt;=40%,"Q2",IF(G59&lt;=60%,"Q3",IF(G59&lt;=80%,"Q4","Q5 Most Expensive")))))</f>
        <v/>
      </c>
      <c r="I59" s="30">
        <f>IFERROR(B63/B59-1,"")</f>
        <v/>
      </c>
      <c r="J59" s="30">
        <f>IFERROR((B71/B59)^(1/3)-1,"")</f>
        <v/>
      </c>
      <c r="K59" s="30">
        <f>IFERROR((B79/B59)^(1/5)-1,"")</f>
        <v/>
      </c>
      <c r="L59" s="30">
        <f>IFERROR((B99/B59)^(1/10)-1,"")</f>
        <v/>
      </c>
    </row>
    <row r="60">
      <c r="A60" s="31" t="n">
        <v>41547</v>
      </c>
      <c r="B60" s="24" t="n">
        <v>5735.3</v>
      </c>
      <c r="C60" s="25" t="n">
        <v>16.8</v>
      </c>
      <c r="D60" s="2" t="inlineStr">
        <is>
          <t>Standalone</t>
        </is>
      </c>
      <c r="E60" s="33">
        <f>IFERROR(B60/C60,"")</f>
        <v/>
      </c>
      <c r="F60" s="30">
        <f>IF(AND(D60=D56,E56&lt;&gt;""),E60/E56-1,"")</f>
        <v/>
      </c>
      <c r="G60" s="30">
        <f>IF(C60="","",(COUNTIFS($D$2:$D$112,D60,$C$2:$C$112,"&gt;0",$C$2:$C$112,"&lt;"&amp;C60)+(COUNTIFS($D$2:$D$112,D60,$C$2:$C$112,C60)+1)/2)/COUNTIFS($D$2:$D$112,D60,$C$2:$C$112,"&gt;0"))</f>
        <v/>
      </c>
      <c r="H60">
        <f>IF(G60="","",IF(G60&lt;=20%,"Q1 Cheapest",IF(G60&lt;=40%,"Q2",IF(G60&lt;=60%,"Q3",IF(G60&lt;=80%,"Q4","Q5 Most Expensive")))))</f>
        <v/>
      </c>
      <c r="I60" s="30">
        <f>IFERROR(B64/B60-1,"")</f>
        <v/>
      </c>
      <c r="J60" s="30">
        <f>IFERROR((B72/B60)^(1/3)-1,"")</f>
        <v/>
      </c>
      <c r="K60" s="30">
        <f>IFERROR((B80/B60)^(1/5)-1,"")</f>
        <v/>
      </c>
      <c r="L60" s="30">
        <f>IFERROR((B100/B60)^(1/10)-1,"")</f>
        <v/>
      </c>
    </row>
    <row r="61">
      <c r="A61" s="31" t="n">
        <v>41639</v>
      </c>
      <c r="B61" s="24" t="n">
        <v>6304</v>
      </c>
      <c r="C61" s="25" t="n">
        <v>18.7</v>
      </c>
      <c r="D61" s="2" t="inlineStr">
        <is>
          <t>Standalone</t>
        </is>
      </c>
      <c r="E61" s="33">
        <f>IFERROR(B61/C61,"")</f>
        <v/>
      </c>
      <c r="F61" s="30">
        <f>IF(AND(D61=D57,E57&lt;&gt;""),E61/E57-1,"")</f>
        <v/>
      </c>
      <c r="G61" s="30">
        <f>IF(C61="","",(COUNTIFS($D$2:$D$112,D61,$C$2:$C$112,"&gt;0",$C$2:$C$112,"&lt;"&amp;C61)+(COUNTIFS($D$2:$D$112,D61,$C$2:$C$112,C61)+1)/2)/COUNTIFS($D$2:$D$112,D61,$C$2:$C$112,"&gt;0"))</f>
        <v/>
      </c>
      <c r="H61">
        <f>IF(G61="","",IF(G61&lt;=20%,"Q1 Cheapest",IF(G61&lt;=40%,"Q2",IF(G61&lt;=60%,"Q3",IF(G61&lt;=80%,"Q4","Q5 Most Expensive")))))</f>
        <v/>
      </c>
      <c r="I61" s="30">
        <f>IFERROR(B65/B61-1,"")</f>
        <v/>
      </c>
      <c r="J61" s="30">
        <f>IFERROR((B73/B61)^(1/3)-1,"")</f>
        <v/>
      </c>
      <c r="K61" s="30">
        <f>IFERROR((B81/B61)^(1/5)-1,"")</f>
        <v/>
      </c>
      <c r="L61" s="30">
        <f>IFERROR((B101/B61)^(1/10)-1,"")</f>
        <v/>
      </c>
    </row>
    <row r="62">
      <c r="A62" s="31" t="n">
        <v>41729</v>
      </c>
      <c r="B62" s="24" t="n">
        <v>6704.2</v>
      </c>
      <c r="C62" s="25" t="n">
        <v>18.9</v>
      </c>
      <c r="D62" s="2" t="inlineStr">
        <is>
          <t>Standalone</t>
        </is>
      </c>
      <c r="E62" s="33">
        <f>IFERROR(B62/C62,"")</f>
        <v/>
      </c>
      <c r="F62" s="30">
        <f>IF(AND(D62=D58,E58&lt;&gt;""),E62/E58-1,"")</f>
        <v/>
      </c>
      <c r="G62" s="30">
        <f>IF(C62="","",(COUNTIFS($D$2:$D$112,D62,$C$2:$C$112,"&gt;0",$C$2:$C$112,"&lt;"&amp;C62)+(COUNTIFS($D$2:$D$112,D62,$C$2:$C$112,C62)+1)/2)/COUNTIFS($D$2:$D$112,D62,$C$2:$C$112,"&gt;0"))</f>
        <v/>
      </c>
      <c r="H62">
        <f>IF(G62="","",IF(G62&lt;=20%,"Q1 Cheapest",IF(G62&lt;=40%,"Q2",IF(G62&lt;=60%,"Q3",IF(G62&lt;=80%,"Q4","Q5 Most Expensive")))))</f>
        <v/>
      </c>
      <c r="I62" s="30">
        <f>IFERROR(B66/B62-1,"")</f>
        <v/>
      </c>
      <c r="J62" s="30">
        <f>IFERROR((B74/B62)^(1/3)-1,"")</f>
        <v/>
      </c>
      <c r="K62" s="30">
        <f>IFERROR((B82/B62)^(1/5)-1,"")</f>
        <v/>
      </c>
      <c r="L62" s="30">
        <f>IFERROR((B102/B62)^(1/10)-1,"")</f>
        <v/>
      </c>
    </row>
    <row r="63">
      <c r="A63" s="31" t="n">
        <v>41820</v>
      </c>
      <c r="B63" s="24" t="n">
        <v>7611.3</v>
      </c>
      <c r="C63" s="25" t="n">
        <v>20.6</v>
      </c>
      <c r="D63" s="2" t="inlineStr">
        <is>
          <t>Standalone</t>
        </is>
      </c>
      <c r="E63" s="33">
        <f>IFERROR(B63/C63,"")</f>
        <v/>
      </c>
      <c r="F63" s="30">
        <f>IF(AND(D63=D59,E59&lt;&gt;""),E63/E59-1,"")</f>
        <v/>
      </c>
      <c r="G63" s="30">
        <f>IF(C63="","",(COUNTIFS($D$2:$D$112,D63,$C$2:$C$112,"&gt;0",$C$2:$C$112,"&lt;"&amp;C63)+(COUNTIFS($D$2:$D$112,D63,$C$2:$C$112,C63)+1)/2)/COUNTIFS($D$2:$D$112,D63,$C$2:$C$112,"&gt;0"))</f>
        <v/>
      </c>
      <c r="H63">
        <f>IF(G63="","",IF(G63&lt;=20%,"Q1 Cheapest",IF(G63&lt;=40%,"Q2",IF(G63&lt;=60%,"Q3",IF(G63&lt;=80%,"Q4","Q5 Most Expensive")))))</f>
        <v/>
      </c>
      <c r="I63" s="30">
        <f>IFERROR(B67/B63-1,"")</f>
        <v/>
      </c>
      <c r="J63" s="30">
        <f>IFERROR((B75/B63)^(1/3)-1,"")</f>
        <v/>
      </c>
      <c r="K63" s="30">
        <f>IFERROR((B83/B63)^(1/5)-1,"")</f>
        <v/>
      </c>
      <c r="L63" s="30">
        <f>IFERROR((B103/B63)^(1/10)-1,"")</f>
        <v/>
      </c>
    </row>
    <row r="64">
      <c r="A64" s="31" t="n">
        <v>41912</v>
      </c>
      <c r="B64" s="24" t="n">
        <v>7964.8</v>
      </c>
      <c r="C64" s="25" t="n">
        <v>20.8</v>
      </c>
      <c r="D64" s="2" t="inlineStr">
        <is>
          <t>Standalone</t>
        </is>
      </c>
      <c r="E64" s="33">
        <f>IFERROR(B64/C64,"")</f>
        <v/>
      </c>
      <c r="F64" s="30">
        <f>IF(AND(D64=D60,E60&lt;&gt;""),E64/E60-1,"")</f>
        <v/>
      </c>
      <c r="G64" s="30">
        <f>IF(C64="","",(COUNTIFS($D$2:$D$112,D64,$C$2:$C$112,"&gt;0",$C$2:$C$112,"&lt;"&amp;C64)+(COUNTIFS($D$2:$D$112,D64,$C$2:$C$112,C64)+1)/2)/COUNTIFS($D$2:$D$112,D64,$C$2:$C$112,"&gt;0"))</f>
        <v/>
      </c>
      <c r="H64">
        <f>IF(G64="","",IF(G64&lt;=20%,"Q1 Cheapest",IF(G64&lt;=40%,"Q2",IF(G64&lt;=60%,"Q3",IF(G64&lt;=80%,"Q4","Q5 Most Expensive")))))</f>
        <v/>
      </c>
      <c r="I64" s="30">
        <f>IFERROR(B68/B64-1,"")</f>
        <v/>
      </c>
      <c r="J64" s="30">
        <f>IFERROR((B76/B64)^(1/3)-1,"")</f>
        <v/>
      </c>
      <c r="K64" s="30">
        <f>IFERROR((B84/B64)^(1/5)-1,"")</f>
        <v/>
      </c>
      <c r="L64" s="30">
        <f>IFERROR((B104/B64)^(1/10)-1,"")</f>
        <v/>
      </c>
    </row>
    <row r="65">
      <c r="A65" s="31" t="n">
        <v>42004</v>
      </c>
      <c r="B65" s="24" t="n">
        <v>8282.700000000001</v>
      </c>
      <c r="C65" s="25" t="n">
        <v>21.2</v>
      </c>
      <c r="D65" s="2" t="inlineStr">
        <is>
          <t>Standalone</t>
        </is>
      </c>
      <c r="E65" s="33">
        <f>IFERROR(B65/C65,"")</f>
        <v/>
      </c>
      <c r="F65" s="30">
        <f>IF(AND(D65=D61,E61&lt;&gt;""),E65/E61-1,"")</f>
        <v/>
      </c>
      <c r="G65" s="30">
        <f>IF(C65="","",(COUNTIFS($D$2:$D$112,D65,$C$2:$C$112,"&gt;0",$C$2:$C$112,"&lt;"&amp;C65)+(COUNTIFS($D$2:$D$112,D65,$C$2:$C$112,C65)+1)/2)/COUNTIFS($D$2:$D$112,D65,$C$2:$C$112,"&gt;0"))</f>
        <v/>
      </c>
      <c r="H65">
        <f>IF(G65="","",IF(G65&lt;=20%,"Q1 Cheapest",IF(G65&lt;=40%,"Q2",IF(G65&lt;=60%,"Q3",IF(G65&lt;=80%,"Q4","Q5 Most Expensive")))))</f>
        <v/>
      </c>
      <c r="I65" s="30">
        <f>IFERROR(B69/B65-1,"")</f>
        <v/>
      </c>
      <c r="J65" s="30">
        <f>IFERROR((B77/B65)^(1/3)-1,"")</f>
        <v/>
      </c>
      <c r="K65" s="30">
        <f>IFERROR((B85/B65)^(1/5)-1,"")</f>
        <v/>
      </c>
      <c r="L65" s="30">
        <f>IFERROR((B105/B65)^(1/10)-1,"")</f>
        <v/>
      </c>
    </row>
    <row r="66">
      <c r="A66" s="31" t="n">
        <v>42094</v>
      </c>
      <c r="B66" s="24" t="n">
        <v>8491</v>
      </c>
      <c r="C66" s="25" t="n">
        <v>22.7</v>
      </c>
      <c r="D66" s="2" t="inlineStr">
        <is>
          <t>Standalone</t>
        </is>
      </c>
      <c r="E66" s="33">
        <f>IFERROR(B66/C66,"")</f>
        <v/>
      </c>
      <c r="F66" s="30">
        <f>IF(AND(D66=D62,E62&lt;&gt;""),E66/E62-1,"")</f>
        <v/>
      </c>
      <c r="G66" s="30">
        <f>IF(C66="","",(COUNTIFS($D$2:$D$112,D66,$C$2:$C$112,"&gt;0",$C$2:$C$112,"&lt;"&amp;C66)+(COUNTIFS($D$2:$D$112,D66,$C$2:$C$112,C66)+1)/2)/COUNTIFS($D$2:$D$112,D66,$C$2:$C$112,"&gt;0"))</f>
        <v/>
      </c>
      <c r="H66">
        <f>IF(G66="","",IF(G66&lt;=20%,"Q1 Cheapest",IF(G66&lt;=40%,"Q2",IF(G66&lt;=60%,"Q3",IF(G66&lt;=80%,"Q4","Q5 Most Expensive")))))</f>
        <v/>
      </c>
      <c r="I66" s="30">
        <f>IFERROR(B70/B66-1,"")</f>
        <v/>
      </c>
      <c r="J66" s="30">
        <f>IFERROR((B78/B66)^(1/3)-1,"")</f>
        <v/>
      </c>
      <c r="K66" s="30">
        <f>IFERROR((B86/B66)^(1/5)-1,"")</f>
        <v/>
      </c>
      <c r="L66" s="30">
        <f>IFERROR((B106/B66)^(1/10)-1,"")</f>
        <v/>
      </c>
    </row>
    <row r="67">
      <c r="A67" s="31" t="n">
        <v>42185</v>
      </c>
      <c r="B67" s="24" t="n">
        <v>8368.5</v>
      </c>
      <c r="C67" s="25" t="n">
        <v>23.2</v>
      </c>
      <c r="D67" s="2" t="inlineStr">
        <is>
          <t>Standalone</t>
        </is>
      </c>
      <c r="E67" s="33">
        <f>IFERROR(B67/C67,"")</f>
        <v/>
      </c>
      <c r="F67" s="30">
        <f>IF(AND(D67=D63,E63&lt;&gt;""),E67/E63-1,"")</f>
        <v/>
      </c>
      <c r="G67" s="30">
        <f>IF(C67="","",(COUNTIFS($D$2:$D$112,D67,$C$2:$C$112,"&gt;0",$C$2:$C$112,"&lt;"&amp;C67)+(COUNTIFS($D$2:$D$112,D67,$C$2:$C$112,C67)+1)/2)/COUNTIFS($D$2:$D$112,D67,$C$2:$C$112,"&gt;0"))</f>
        <v/>
      </c>
      <c r="H67">
        <f>IF(G67="","",IF(G67&lt;=20%,"Q1 Cheapest",IF(G67&lt;=40%,"Q2",IF(G67&lt;=60%,"Q3",IF(G67&lt;=80%,"Q4","Q5 Most Expensive")))))</f>
        <v/>
      </c>
      <c r="I67" s="30">
        <f>IFERROR(B71/B67-1,"")</f>
        <v/>
      </c>
      <c r="J67" s="30">
        <f>IFERROR((B79/B67)^(1/3)-1,"")</f>
        <v/>
      </c>
      <c r="K67" s="30">
        <f>IFERROR((B87/B67)^(1/5)-1,"")</f>
        <v/>
      </c>
      <c r="L67" s="30">
        <f>IFERROR((B107/B67)^(1/10)-1,"")</f>
        <v/>
      </c>
    </row>
    <row r="68">
      <c r="A68" s="31" t="n">
        <v>42277</v>
      </c>
      <c r="B68" s="24" t="n">
        <v>7948.9</v>
      </c>
      <c r="C68" s="25" t="n">
        <v>22.2</v>
      </c>
      <c r="D68" s="2" t="inlineStr">
        <is>
          <t>Standalone</t>
        </is>
      </c>
      <c r="E68" s="33">
        <f>IFERROR(B68/C68,"")</f>
        <v/>
      </c>
      <c r="F68" s="30">
        <f>IF(AND(D68=D64,E64&lt;&gt;""),E68/E64-1,"")</f>
        <v/>
      </c>
      <c r="G68" s="30">
        <f>IF(C68="","",(COUNTIFS($D$2:$D$112,D68,$C$2:$C$112,"&gt;0",$C$2:$C$112,"&lt;"&amp;C68)+(COUNTIFS($D$2:$D$112,D68,$C$2:$C$112,C68)+1)/2)/COUNTIFS($D$2:$D$112,D68,$C$2:$C$112,"&gt;0"))</f>
        <v/>
      </c>
      <c r="H68">
        <f>IF(G68="","",IF(G68&lt;=20%,"Q1 Cheapest",IF(G68&lt;=40%,"Q2",IF(G68&lt;=60%,"Q3",IF(G68&lt;=80%,"Q4","Q5 Most Expensive")))))</f>
        <v/>
      </c>
      <c r="I68" s="30">
        <f>IFERROR(B72/B68-1,"")</f>
        <v/>
      </c>
      <c r="J68" s="30">
        <f>IFERROR((B80/B68)^(1/3)-1,"")</f>
        <v/>
      </c>
      <c r="K68" s="30">
        <f>IFERROR((B88/B68)^(1/5)-1,"")</f>
        <v/>
      </c>
      <c r="L68" s="30">
        <f>IFERROR((B108/B68)^(1/10)-1,"")</f>
        <v/>
      </c>
    </row>
    <row r="69">
      <c r="A69" s="31" t="n">
        <v>42369</v>
      </c>
      <c r="B69" s="24" t="n">
        <v>7946.3</v>
      </c>
      <c r="C69" s="25" t="n">
        <v>21.5</v>
      </c>
      <c r="D69" s="2" t="inlineStr">
        <is>
          <t>Standalone</t>
        </is>
      </c>
      <c r="E69" s="33">
        <f>IFERROR(B69/C69,"")</f>
        <v/>
      </c>
      <c r="F69" s="30">
        <f>IF(AND(D69=D65,E65&lt;&gt;""),E69/E65-1,"")</f>
        <v/>
      </c>
      <c r="G69" s="30">
        <f>IF(C69="","",(COUNTIFS($D$2:$D$112,D69,$C$2:$C$112,"&gt;0",$C$2:$C$112,"&lt;"&amp;C69)+(COUNTIFS($D$2:$D$112,D69,$C$2:$C$112,C69)+1)/2)/COUNTIFS($D$2:$D$112,D69,$C$2:$C$112,"&gt;0"))</f>
        <v/>
      </c>
      <c r="H69">
        <f>IF(G69="","",IF(G69&lt;=20%,"Q1 Cheapest",IF(G69&lt;=40%,"Q2",IF(G69&lt;=60%,"Q3",IF(G69&lt;=80%,"Q4","Q5 Most Expensive")))))</f>
        <v/>
      </c>
      <c r="I69" s="30">
        <f>IFERROR(B73/B69-1,"")</f>
        <v/>
      </c>
      <c r="J69" s="30">
        <f>IFERROR((B81/B69)^(1/3)-1,"")</f>
        <v/>
      </c>
      <c r="K69" s="30">
        <f>IFERROR((B89/B69)^(1/5)-1,"")</f>
        <v/>
      </c>
      <c r="L69" s="30">
        <f>IFERROR((B109/B69)^(1/10)-1,"")</f>
        <v/>
      </c>
    </row>
    <row r="70">
      <c r="A70" s="31" t="n">
        <v>42460</v>
      </c>
      <c r="B70" s="24" t="n">
        <v>7738.4</v>
      </c>
      <c r="C70" s="25" t="n">
        <v>20.9</v>
      </c>
      <c r="D70" s="2" t="inlineStr">
        <is>
          <t>Standalone</t>
        </is>
      </c>
      <c r="E70" s="33">
        <f>IFERROR(B70/C70,"")</f>
        <v/>
      </c>
      <c r="F70" s="30">
        <f>IF(AND(D70=D66,E66&lt;&gt;""),E70/E66-1,"")</f>
        <v/>
      </c>
      <c r="G70" s="30">
        <f>IF(C70="","",(COUNTIFS($D$2:$D$112,D70,$C$2:$C$112,"&gt;0",$C$2:$C$112,"&lt;"&amp;C70)+(COUNTIFS($D$2:$D$112,D70,$C$2:$C$112,C70)+1)/2)/COUNTIFS($D$2:$D$112,D70,$C$2:$C$112,"&gt;0"))</f>
        <v/>
      </c>
      <c r="H70">
        <f>IF(G70="","",IF(G70&lt;=20%,"Q1 Cheapest",IF(G70&lt;=40%,"Q2",IF(G70&lt;=60%,"Q3",IF(G70&lt;=80%,"Q4","Q5 Most Expensive")))))</f>
        <v/>
      </c>
      <c r="I70" s="30">
        <f>IFERROR(B74/B70-1,"")</f>
        <v/>
      </c>
      <c r="J70" s="30">
        <f>IFERROR((B82/B70)^(1/3)-1,"")</f>
        <v/>
      </c>
      <c r="K70" s="30">
        <f>IFERROR((B90/B70)^(1/5)-1,"")</f>
        <v/>
      </c>
      <c r="L70" s="30">
        <f>IFERROR((B110/B70)^(1/10)-1,"")</f>
        <v/>
      </c>
    </row>
    <row r="71">
      <c r="A71" s="31" t="n">
        <v>42551</v>
      </c>
      <c r="B71" s="24" t="n">
        <v>8287.700000000001</v>
      </c>
      <c r="C71" s="25" t="n">
        <v>22.8</v>
      </c>
      <c r="D71" s="2" t="inlineStr">
        <is>
          <t>Standalone</t>
        </is>
      </c>
      <c r="E71" s="33">
        <f>IFERROR(B71/C71,"")</f>
        <v/>
      </c>
      <c r="F71" s="30">
        <f>IF(AND(D71=D67,E67&lt;&gt;""),E71/E67-1,"")</f>
        <v/>
      </c>
      <c r="G71" s="30">
        <f>IF(C71="","",(COUNTIFS($D$2:$D$112,D71,$C$2:$C$112,"&gt;0",$C$2:$C$112,"&lt;"&amp;C71)+(COUNTIFS($D$2:$D$112,D71,$C$2:$C$112,C71)+1)/2)/COUNTIFS($D$2:$D$112,D71,$C$2:$C$112,"&gt;0"))</f>
        <v/>
      </c>
      <c r="H71">
        <f>IF(G71="","",IF(G71&lt;=20%,"Q1 Cheapest",IF(G71&lt;=40%,"Q2",IF(G71&lt;=60%,"Q3",IF(G71&lt;=80%,"Q4","Q5 Most Expensive")))))</f>
        <v/>
      </c>
      <c r="I71" s="30">
        <f>IFERROR(B75/B71-1,"")</f>
        <v/>
      </c>
      <c r="J71" s="30">
        <f>IFERROR((B83/B71)^(1/3)-1,"")</f>
        <v/>
      </c>
      <c r="K71" s="30">
        <f>IFERROR((B91/B71)^(1/5)-1,"")</f>
        <v/>
      </c>
      <c r="L71" s="30">
        <f>IFERROR((B111/B71)^(1/10)-1,"")</f>
        <v/>
      </c>
    </row>
    <row r="72">
      <c r="A72" s="31" t="n">
        <v>42643</v>
      </c>
      <c r="B72" s="24" t="n">
        <v>8611.1</v>
      </c>
      <c r="C72" s="25" t="n">
        <v>23.4</v>
      </c>
      <c r="D72" s="2" t="inlineStr">
        <is>
          <t>Standalone</t>
        </is>
      </c>
      <c r="E72" s="33">
        <f>IFERROR(B72/C72,"")</f>
        <v/>
      </c>
      <c r="F72" s="30">
        <f>IF(AND(D72=D68,E68&lt;&gt;""),E72/E68-1,"")</f>
        <v/>
      </c>
      <c r="G72" s="30">
        <f>IF(C72="","",(COUNTIFS($D$2:$D$112,D72,$C$2:$C$112,"&gt;0",$C$2:$C$112,"&lt;"&amp;C72)+(COUNTIFS($D$2:$D$112,D72,$C$2:$C$112,C72)+1)/2)/COUNTIFS($D$2:$D$112,D72,$C$2:$C$112,"&gt;0"))</f>
        <v/>
      </c>
      <c r="H72">
        <f>IF(G72="","",IF(G72&lt;=20%,"Q1 Cheapest",IF(G72&lt;=40%,"Q2",IF(G72&lt;=60%,"Q3",IF(G72&lt;=80%,"Q4","Q5 Most Expensive")))))</f>
        <v/>
      </c>
      <c r="I72" s="30">
        <f>IFERROR(B76/B72-1,"")</f>
        <v/>
      </c>
      <c r="J72" s="30">
        <f>IFERROR((B84/B72)^(1/3)-1,"")</f>
        <v/>
      </c>
      <c r="K72" s="30">
        <f>IFERROR((B92/B72)^(1/5)-1,"")</f>
        <v/>
      </c>
      <c r="L72" s="30">
        <f>IFERROR((B112/B72)^(1/10)-1,"")</f>
        <v/>
      </c>
    </row>
    <row r="73">
      <c r="A73" s="31" t="n">
        <v>42735</v>
      </c>
      <c r="B73" s="24" t="n">
        <v>8185.8</v>
      </c>
      <c r="C73" s="25" t="n">
        <v>21.9</v>
      </c>
      <c r="D73" s="2" t="inlineStr">
        <is>
          <t>Standalone</t>
        </is>
      </c>
      <c r="E73" s="33">
        <f>IFERROR(B73/C73,"")</f>
        <v/>
      </c>
      <c r="F73" s="30">
        <f>IF(AND(D73=D69,E69&lt;&gt;""),E73/E69-1,"")</f>
        <v/>
      </c>
      <c r="G73" s="30">
        <f>IF(C73="","",(COUNTIFS($D$2:$D$112,D73,$C$2:$C$112,"&gt;0",$C$2:$C$112,"&lt;"&amp;C73)+(COUNTIFS($D$2:$D$112,D73,$C$2:$C$112,C73)+1)/2)/COUNTIFS($D$2:$D$112,D73,$C$2:$C$112,"&gt;0"))</f>
        <v/>
      </c>
      <c r="H73">
        <f>IF(G73="","",IF(G73&lt;=20%,"Q1 Cheapest",IF(G73&lt;=40%,"Q2",IF(G73&lt;=60%,"Q3",IF(G73&lt;=80%,"Q4","Q5 Most Expensive")))))</f>
        <v/>
      </c>
      <c r="I73" s="30">
        <f>IFERROR(B77/B73-1,"")</f>
        <v/>
      </c>
      <c r="J73" s="30">
        <f>IFERROR((B85/B73)^(1/3)-1,"")</f>
        <v/>
      </c>
      <c r="K73" s="30">
        <f>IFERROR((B93/B73)^(1/5)-1,"")</f>
        <v/>
      </c>
      <c r="L73" s="30" t="n"/>
    </row>
    <row r="74">
      <c r="A74" s="31" t="n">
        <v>42825</v>
      </c>
      <c r="B74" s="24" t="n">
        <v>9173.700000000001</v>
      </c>
      <c r="C74" s="25" t="n">
        <v>23.3</v>
      </c>
      <c r="D74" s="2" t="inlineStr">
        <is>
          <t>Standalone</t>
        </is>
      </c>
      <c r="E74" s="33">
        <f>IFERROR(B74/C74,"")</f>
        <v/>
      </c>
      <c r="F74" s="30">
        <f>IF(AND(D74=D70,E70&lt;&gt;""),E74/E70-1,"")</f>
        <v/>
      </c>
      <c r="G74" s="30">
        <f>IF(C74="","",(COUNTIFS($D$2:$D$112,D74,$C$2:$C$112,"&gt;0",$C$2:$C$112,"&lt;"&amp;C74)+(COUNTIFS($D$2:$D$112,D74,$C$2:$C$112,C74)+1)/2)/COUNTIFS($D$2:$D$112,D74,$C$2:$C$112,"&gt;0"))</f>
        <v/>
      </c>
      <c r="H74">
        <f>IF(G74="","",IF(G74&lt;=20%,"Q1 Cheapest",IF(G74&lt;=40%,"Q2",IF(G74&lt;=60%,"Q3",IF(G74&lt;=80%,"Q4","Q5 Most Expensive")))))</f>
        <v/>
      </c>
      <c r="I74" s="30">
        <f>IFERROR(B78/B74-1,"")</f>
        <v/>
      </c>
      <c r="J74" s="30">
        <f>IFERROR((B86/B74)^(1/3)-1,"")</f>
        <v/>
      </c>
      <c r="K74" s="30">
        <f>IFERROR((B94/B74)^(1/5)-1,"")</f>
        <v/>
      </c>
      <c r="L74" s="30" t="n"/>
    </row>
    <row r="75">
      <c r="A75" s="31" t="n">
        <v>42916</v>
      </c>
      <c r="B75" s="24" t="n">
        <v>9520.9</v>
      </c>
      <c r="C75" s="25" t="n">
        <v>24.2</v>
      </c>
      <c r="D75" s="2" t="inlineStr">
        <is>
          <t>Standalone</t>
        </is>
      </c>
      <c r="E75" s="33">
        <f>IFERROR(B75/C75,"")</f>
        <v/>
      </c>
      <c r="F75" s="30">
        <f>IF(AND(D75=D71,E71&lt;&gt;""),E75/E71-1,"")</f>
        <v/>
      </c>
      <c r="G75" s="30">
        <f>IF(C75="","",(COUNTIFS($D$2:$D$112,D75,$C$2:$C$112,"&gt;0",$C$2:$C$112,"&lt;"&amp;C75)+(COUNTIFS($D$2:$D$112,D75,$C$2:$C$112,C75)+1)/2)/COUNTIFS($D$2:$D$112,D75,$C$2:$C$112,"&gt;0"))</f>
        <v/>
      </c>
      <c r="H75">
        <f>IF(G75="","",IF(G75&lt;=20%,"Q1 Cheapest",IF(G75&lt;=40%,"Q2",IF(G75&lt;=60%,"Q3",IF(G75&lt;=80%,"Q4","Q5 Most Expensive")))))</f>
        <v/>
      </c>
      <c r="I75" s="30">
        <f>IFERROR(B79/B75-1,"")</f>
        <v/>
      </c>
      <c r="J75" s="30">
        <f>IFERROR((B87/B75)^(1/3)-1,"")</f>
        <v/>
      </c>
      <c r="K75" s="30">
        <f>IFERROR((B95/B75)^(1/5)-1,"")</f>
        <v/>
      </c>
      <c r="L75" s="30" t="n"/>
    </row>
    <row r="76">
      <c r="A76" s="31" t="n">
        <v>43008</v>
      </c>
      <c r="B76" s="24" t="n">
        <v>9788.6</v>
      </c>
      <c r="C76" s="25" t="n">
        <v>25.4</v>
      </c>
      <c r="D76" s="2" t="inlineStr">
        <is>
          <t>Standalone</t>
        </is>
      </c>
      <c r="E76" s="33">
        <f>IFERROR(B76/C76,"")</f>
        <v/>
      </c>
      <c r="F76" s="30">
        <f>IF(AND(D76=D72,E72&lt;&gt;""),E76/E72-1,"")</f>
        <v/>
      </c>
      <c r="G76" s="30">
        <f>IF(C76="","",(COUNTIFS($D$2:$D$112,D76,$C$2:$C$112,"&gt;0",$C$2:$C$112,"&lt;"&amp;C76)+(COUNTIFS($D$2:$D$112,D76,$C$2:$C$112,C76)+1)/2)/COUNTIFS($D$2:$D$112,D76,$C$2:$C$112,"&gt;0"))</f>
        <v/>
      </c>
      <c r="H76">
        <f>IF(G76="","",IF(G76&lt;=20%,"Q1 Cheapest",IF(G76&lt;=40%,"Q2",IF(G76&lt;=60%,"Q3",IF(G76&lt;=80%,"Q4","Q5 Most Expensive")))))</f>
        <v/>
      </c>
      <c r="I76" s="30">
        <f>IFERROR(B80/B76-1,"")</f>
        <v/>
      </c>
      <c r="J76" s="30">
        <f>IFERROR((B88/B76)^(1/3)-1,"")</f>
        <v/>
      </c>
      <c r="K76" s="30">
        <f>IFERROR((B96/B76)^(1/5)-1,"")</f>
        <v/>
      </c>
      <c r="L76" s="30" t="n"/>
    </row>
    <row r="77">
      <c r="A77" s="31" t="n">
        <v>43100</v>
      </c>
      <c r="B77" s="24" t="n">
        <v>10530</v>
      </c>
      <c r="C77" s="25" t="n">
        <v>26.9</v>
      </c>
      <c r="D77" s="2" t="inlineStr">
        <is>
          <t>Standalone</t>
        </is>
      </c>
      <c r="E77" s="33">
        <f>IFERROR(B77/C77,"")</f>
        <v/>
      </c>
      <c r="F77" s="30">
        <f>IF(AND(D77=D73,E73&lt;&gt;""),E77/E73-1,"")</f>
        <v/>
      </c>
      <c r="G77" s="30">
        <f>IF(C77="","",(COUNTIFS($D$2:$D$112,D77,$C$2:$C$112,"&gt;0",$C$2:$C$112,"&lt;"&amp;C77)+(COUNTIFS($D$2:$D$112,D77,$C$2:$C$112,C77)+1)/2)/COUNTIFS($D$2:$D$112,D77,$C$2:$C$112,"&gt;0"))</f>
        <v/>
      </c>
      <c r="H77">
        <f>IF(G77="","",IF(G77&lt;=20%,"Q1 Cheapest",IF(G77&lt;=40%,"Q2",IF(G77&lt;=60%,"Q3",IF(G77&lt;=80%,"Q4","Q5 Most Expensive")))))</f>
        <v/>
      </c>
      <c r="I77" s="30">
        <f>IFERROR(B81/B77-1,"")</f>
        <v/>
      </c>
      <c r="J77" s="30">
        <f>IFERROR((B89/B77)^(1/3)-1,"")</f>
        <v/>
      </c>
      <c r="K77" s="30">
        <f>IFERROR((B97/B77)^(1/5)-1,"")</f>
        <v/>
      </c>
      <c r="L77" s="30" t="n"/>
    </row>
    <row r="78">
      <c r="A78" s="31" t="n">
        <v>43190</v>
      </c>
      <c r="B78" s="24" t="n">
        <v>10113.7</v>
      </c>
      <c r="C78" s="25" t="n">
        <v>24.7</v>
      </c>
      <c r="D78" s="2" t="inlineStr">
        <is>
          <t>Standalone</t>
        </is>
      </c>
      <c r="E78" s="33">
        <f>IFERROR(B78/C78,"")</f>
        <v/>
      </c>
      <c r="F78" s="30">
        <f>IF(AND(D78=D74,E74&lt;&gt;""),E78/E74-1,"")</f>
        <v/>
      </c>
      <c r="G78" s="30">
        <f>IF(C78="","",(COUNTIFS($D$2:$D$112,D78,$C$2:$C$112,"&gt;0",$C$2:$C$112,"&lt;"&amp;C78)+(COUNTIFS($D$2:$D$112,D78,$C$2:$C$112,C78)+1)/2)/COUNTIFS($D$2:$D$112,D78,$C$2:$C$112,"&gt;0"))</f>
        <v/>
      </c>
      <c r="H78">
        <f>IF(G78="","",IF(G78&lt;=20%,"Q1 Cheapest",IF(G78&lt;=40%,"Q2",IF(G78&lt;=60%,"Q3",IF(G78&lt;=80%,"Q4","Q5 Most Expensive")))))</f>
        <v/>
      </c>
      <c r="I78" s="30">
        <f>IFERROR(B82/B78-1,"")</f>
        <v/>
      </c>
      <c r="J78" s="30">
        <f>IFERROR((B90/B78)^(1/3)-1,"")</f>
        <v/>
      </c>
      <c r="K78" s="30">
        <f>IFERROR((B98/B78)^(1/5)-1,"")</f>
        <v/>
      </c>
      <c r="L78" s="30" t="n"/>
    </row>
    <row r="79">
      <c r="A79" s="31" t="n">
        <v>43281</v>
      </c>
      <c r="B79" s="24" t="n">
        <v>10714.3</v>
      </c>
      <c r="C79" s="25" t="n">
        <v>25.9</v>
      </c>
      <c r="D79" s="2" t="inlineStr">
        <is>
          <t>Standalone</t>
        </is>
      </c>
      <c r="E79" s="33">
        <f>IFERROR(B79/C79,"")</f>
        <v/>
      </c>
      <c r="F79" s="30">
        <f>IF(AND(D79=D75,E75&lt;&gt;""),E79/E75-1,"")</f>
        <v/>
      </c>
      <c r="G79" s="30">
        <f>IF(C79="","",(COUNTIFS($D$2:$D$112,D79,$C$2:$C$112,"&gt;0",$C$2:$C$112,"&lt;"&amp;C79)+(COUNTIFS($D$2:$D$112,D79,$C$2:$C$112,C79)+1)/2)/COUNTIFS($D$2:$D$112,D79,$C$2:$C$112,"&gt;0"))</f>
        <v/>
      </c>
      <c r="H79">
        <f>IF(G79="","",IF(G79&lt;=20%,"Q1 Cheapest",IF(G79&lt;=40%,"Q2",IF(G79&lt;=60%,"Q3",IF(G79&lt;=80%,"Q4","Q5 Most Expensive")))))</f>
        <v/>
      </c>
      <c r="I79" s="30">
        <f>IFERROR(B83/B79-1,"")</f>
        <v/>
      </c>
      <c r="J79" s="30">
        <f>IFERROR((B91/B79)^(1/3)-1,"")</f>
        <v/>
      </c>
      <c r="K79" s="30">
        <f>IFERROR((B99/B79)^(1/5)-1,"")</f>
        <v/>
      </c>
      <c r="L79" s="30" t="n"/>
    </row>
    <row r="80">
      <c r="A80" s="31" t="n">
        <v>43373</v>
      </c>
      <c r="B80" s="24" t="n">
        <v>10930.45</v>
      </c>
      <c r="C80" s="25" t="n">
        <v>26.4</v>
      </c>
      <c r="D80" s="2" t="inlineStr">
        <is>
          <t>Standalone</t>
        </is>
      </c>
      <c r="E80" s="33">
        <f>IFERROR(B80/C80,"")</f>
        <v/>
      </c>
      <c r="F80" s="30">
        <f>IF(AND(D80=D76,E76&lt;&gt;""),E80/E76-1,"")</f>
        <v/>
      </c>
      <c r="G80" s="30">
        <f>IF(C80="","",(COUNTIFS($D$2:$D$112,D80,$C$2:$C$112,"&gt;0",$C$2:$C$112,"&lt;"&amp;C80)+(COUNTIFS($D$2:$D$112,D80,$C$2:$C$112,C80)+1)/2)/COUNTIFS($D$2:$D$112,D80,$C$2:$C$112,"&gt;0"))</f>
        <v/>
      </c>
      <c r="H80">
        <f>IF(G80="","",IF(G80&lt;=20%,"Q1 Cheapest",IF(G80&lt;=40%,"Q2",IF(G80&lt;=60%,"Q3",IF(G80&lt;=80%,"Q4","Q5 Most Expensive")))))</f>
        <v/>
      </c>
      <c r="I80" s="30">
        <f>IFERROR(B84/B80-1,"")</f>
        <v/>
      </c>
      <c r="J80" s="30">
        <f>IFERROR((B92/B80)^(1/3)-1,"")</f>
        <v/>
      </c>
      <c r="K80" s="30">
        <f>IFERROR((B100/B80)^(1/5)-1,"")</f>
        <v/>
      </c>
      <c r="L80" s="30" t="n"/>
    </row>
    <row r="81">
      <c r="A81" s="31" t="n">
        <v>43465</v>
      </c>
      <c r="B81" s="24" t="n">
        <v>10862.55</v>
      </c>
      <c r="C81" s="25" t="n">
        <v>26.2</v>
      </c>
      <c r="D81" s="2" t="inlineStr">
        <is>
          <t>Standalone</t>
        </is>
      </c>
      <c r="E81" s="33">
        <f>IFERROR(B81/C81,"")</f>
        <v/>
      </c>
      <c r="F81" s="30">
        <f>IF(AND(D81=D77,E77&lt;&gt;""),E81/E77-1,"")</f>
        <v/>
      </c>
      <c r="G81" s="30">
        <f>IF(C81="","",(COUNTIFS($D$2:$D$112,D81,$C$2:$C$112,"&gt;0",$C$2:$C$112,"&lt;"&amp;C81)+(COUNTIFS($D$2:$D$112,D81,$C$2:$C$112,C81)+1)/2)/COUNTIFS($D$2:$D$112,D81,$C$2:$C$112,"&gt;0"))</f>
        <v/>
      </c>
      <c r="H81">
        <f>IF(G81="","",IF(G81&lt;=20%,"Q1 Cheapest",IF(G81&lt;=40%,"Q2",IF(G81&lt;=60%,"Q3",IF(G81&lt;=80%,"Q4","Q5 Most Expensive")))))</f>
        <v/>
      </c>
      <c r="I81" s="30">
        <f>IFERROR(B85/B81-1,"")</f>
        <v/>
      </c>
      <c r="J81" s="30">
        <f>IFERROR((B93/B81)^(1/3)-1,"")</f>
        <v/>
      </c>
      <c r="K81" s="30">
        <f>IFERROR((B101/B81)^(1/5)-1,"")</f>
        <v/>
      </c>
      <c r="L81" s="30" t="n"/>
    </row>
    <row r="82">
      <c r="A82" s="31" t="n">
        <v>43555</v>
      </c>
      <c r="B82" s="24" t="n">
        <v>11623.9</v>
      </c>
      <c r="C82" s="25" t="n">
        <v>29</v>
      </c>
      <c r="D82" s="2" t="inlineStr">
        <is>
          <t>Standalone</t>
        </is>
      </c>
      <c r="E82" s="33">
        <f>IFERROR(B82/C82,"")</f>
        <v/>
      </c>
      <c r="F82" s="30">
        <f>IF(AND(D82=D78,E78&lt;&gt;""),E82/E78-1,"")</f>
        <v/>
      </c>
      <c r="G82" s="30">
        <f>IF(C82="","",(COUNTIFS($D$2:$D$112,D82,$C$2:$C$112,"&gt;0",$C$2:$C$112,"&lt;"&amp;C82)+(COUNTIFS($D$2:$D$112,D82,$C$2:$C$112,C82)+1)/2)/COUNTIFS($D$2:$D$112,D82,$C$2:$C$112,"&gt;0"))</f>
        <v/>
      </c>
      <c r="H82">
        <f>IF(G82="","",IF(G82&lt;=20%,"Q1 Cheapest",IF(G82&lt;=40%,"Q2",IF(G82&lt;=60%,"Q3",IF(G82&lt;=80%,"Q4","Q5 Most Expensive")))))</f>
        <v/>
      </c>
      <c r="I82" s="30">
        <f>IFERROR(B86/B82-1,"")</f>
        <v/>
      </c>
      <c r="J82" s="30">
        <f>IFERROR((B94/B82)^(1/3)-1,"")</f>
        <v/>
      </c>
      <c r="K82" s="30">
        <f>IFERROR((B102/B82)^(1/5)-1,"")</f>
        <v/>
      </c>
      <c r="L82" s="30" t="n"/>
    </row>
    <row r="83">
      <c r="A83" s="31" t="n">
        <v>43646</v>
      </c>
      <c r="B83" s="24" t="n">
        <v>11788.85</v>
      </c>
      <c r="C83" s="25" t="n">
        <v>29</v>
      </c>
      <c r="D83" s="2" t="inlineStr">
        <is>
          <t>Standalone</t>
        </is>
      </c>
      <c r="E83" s="33">
        <f>IFERROR(B83/C83,"")</f>
        <v/>
      </c>
      <c r="F83" s="30">
        <f>IF(AND(D83=D79,E79&lt;&gt;""),E83/E79-1,"")</f>
        <v/>
      </c>
      <c r="G83" s="30">
        <f>IF(C83="","",(COUNTIFS($D$2:$D$112,D83,$C$2:$C$112,"&gt;0",$C$2:$C$112,"&lt;"&amp;C83)+(COUNTIFS($D$2:$D$112,D83,$C$2:$C$112,C83)+1)/2)/COUNTIFS($D$2:$D$112,D83,$C$2:$C$112,"&gt;0"))</f>
        <v/>
      </c>
      <c r="H83">
        <f>IF(G83="","",IF(G83&lt;=20%,"Q1 Cheapest",IF(G83&lt;=40%,"Q2",IF(G83&lt;=60%,"Q3",IF(G83&lt;=80%,"Q4","Q5 Most Expensive")))))</f>
        <v/>
      </c>
      <c r="I83" s="30">
        <f>IFERROR(B87/B83-1,"")</f>
        <v/>
      </c>
      <c r="J83" s="30">
        <f>IFERROR((B95/B83)^(1/3)-1,"")</f>
        <v/>
      </c>
      <c r="K83" s="30">
        <f>IFERROR((B103/B83)^(1/5)-1,"")</f>
        <v/>
      </c>
      <c r="L83" s="30" t="n"/>
    </row>
    <row r="84">
      <c r="A84" s="31" t="n">
        <v>43738</v>
      </c>
      <c r="B84" s="24" t="n">
        <v>11474.45</v>
      </c>
      <c r="C84" s="25" t="n">
        <v>26.4</v>
      </c>
      <c r="D84" s="2" t="inlineStr">
        <is>
          <t>Standalone</t>
        </is>
      </c>
      <c r="E84" s="33">
        <f>IFERROR(B84/C84,"")</f>
        <v/>
      </c>
      <c r="F84" s="30">
        <f>IF(AND(D84=D80,E80&lt;&gt;""),E84/E80-1,"")</f>
        <v/>
      </c>
      <c r="G84" s="30">
        <f>IF(C84="","",(COUNTIFS($D$2:$D$112,D84,$C$2:$C$112,"&gt;0",$C$2:$C$112,"&lt;"&amp;C84)+(COUNTIFS($D$2:$D$112,D84,$C$2:$C$112,C84)+1)/2)/COUNTIFS($D$2:$D$112,D84,$C$2:$C$112,"&gt;0"))</f>
        <v/>
      </c>
      <c r="H84">
        <f>IF(G84="","",IF(G84&lt;=20%,"Q1 Cheapest",IF(G84&lt;=40%,"Q2",IF(G84&lt;=60%,"Q3",IF(G84&lt;=80%,"Q4","Q5 Most Expensive")))))</f>
        <v/>
      </c>
      <c r="I84" s="30">
        <f>IFERROR(B88/B84-1,"")</f>
        <v/>
      </c>
      <c r="J84" s="30">
        <f>IFERROR((B96/B84)^(1/3)-1,"")</f>
        <v/>
      </c>
      <c r="K84" s="30">
        <f>IFERROR((B104/B84)^(1/5)-1,"")</f>
        <v/>
      </c>
      <c r="L84" s="30" t="n"/>
    </row>
    <row r="85">
      <c r="A85" s="31" t="n">
        <v>43830</v>
      </c>
      <c r="B85" s="24" t="n">
        <v>12168.45</v>
      </c>
      <c r="C85" s="25" t="n">
        <v>28.3</v>
      </c>
      <c r="D85" s="2" t="inlineStr">
        <is>
          <t>Standalone</t>
        </is>
      </c>
      <c r="E85" s="33">
        <f>IFERROR(B85/C85,"")</f>
        <v/>
      </c>
      <c r="F85" s="30">
        <f>IF(AND(D85=D81,E81&lt;&gt;""),E85/E81-1,"")</f>
        <v/>
      </c>
      <c r="G85" s="30">
        <f>IF(C85="","",(COUNTIFS($D$2:$D$112,D85,$C$2:$C$112,"&gt;0",$C$2:$C$112,"&lt;"&amp;C85)+(COUNTIFS($D$2:$D$112,D85,$C$2:$C$112,C85)+1)/2)/COUNTIFS($D$2:$D$112,D85,$C$2:$C$112,"&gt;0"))</f>
        <v/>
      </c>
      <c r="H85">
        <f>IF(G85="","",IF(G85&lt;=20%,"Q1 Cheapest",IF(G85&lt;=40%,"Q2",IF(G85&lt;=60%,"Q3",IF(G85&lt;=80%,"Q4","Q5 Most Expensive")))))</f>
        <v/>
      </c>
      <c r="I85" s="30">
        <f>IFERROR(B89/B85-1,"")</f>
        <v/>
      </c>
      <c r="J85" s="30">
        <f>IFERROR((B97/B85)^(1/3)-1,"")</f>
        <v/>
      </c>
      <c r="K85" s="30">
        <f>IFERROR((B105/B85)^(1/5)-1,"")</f>
        <v/>
      </c>
      <c r="L85" s="30" t="n"/>
    </row>
    <row r="86">
      <c r="A86" s="31" t="n">
        <v>43921</v>
      </c>
      <c r="B86" s="24" t="n">
        <v>8597.75</v>
      </c>
      <c r="C86" s="25" t="n">
        <v>19.4</v>
      </c>
      <c r="D86" s="2" t="inlineStr">
        <is>
          <t>Standalone</t>
        </is>
      </c>
      <c r="E86" s="33">
        <f>IFERROR(B86/C86,"")</f>
        <v/>
      </c>
      <c r="F86" s="30">
        <f>IF(AND(D86=D82,E82&lt;&gt;""),E86/E82-1,"")</f>
        <v/>
      </c>
      <c r="G86" s="30">
        <f>IF(C86="","",(COUNTIFS($D$2:$D$112,D86,$C$2:$C$112,"&gt;0",$C$2:$C$112,"&lt;"&amp;C86)+(COUNTIFS($D$2:$D$112,D86,$C$2:$C$112,C86)+1)/2)/COUNTIFS($D$2:$D$112,D86,$C$2:$C$112,"&gt;0"))</f>
        <v/>
      </c>
      <c r="H86">
        <f>IF(G86="","",IF(G86&lt;=20%,"Q1 Cheapest",IF(G86&lt;=40%,"Q2",IF(G86&lt;=60%,"Q3",IF(G86&lt;=80%,"Q4","Q5 Most Expensive")))))</f>
        <v/>
      </c>
      <c r="I86" s="30">
        <f>IFERROR(B90/B86-1,"")</f>
        <v/>
      </c>
      <c r="J86" s="30">
        <f>IFERROR((B98/B86)^(1/3)-1,"")</f>
        <v/>
      </c>
      <c r="K86" s="30">
        <f>IFERROR((B106/B86)^(1/5)-1,"")</f>
        <v/>
      </c>
      <c r="L86" s="30" t="n"/>
    </row>
    <row r="87">
      <c r="A87" s="31" t="n">
        <v>44012</v>
      </c>
      <c r="B87" s="24" t="n">
        <v>10302.1</v>
      </c>
      <c r="C87" s="25" t="n">
        <v>26.3</v>
      </c>
      <c r="D87" s="2" t="inlineStr">
        <is>
          <t>Standalone</t>
        </is>
      </c>
      <c r="E87" s="33">
        <f>IFERROR(B87/C87,"")</f>
        <v/>
      </c>
      <c r="F87" s="30">
        <f>IF(AND(D87=D83,E83&lt;&gt;""),E87/E83-1,"")</f>
        <v/>
      </c>
      <c r="G87" s="30">
        <f>IF(C87="","",(COUNTIFS($D$2:$D$112,D87,$C$2:$C$112,"&gt;0",$C$2:$C$112,"&lt;"&amp;C87)+(COUNTIFS($D$2:$D$112,D87,$C$2:$C$112,C87)+1)/2)/COUNTIFS($D$2:$D$112,D87,$C$2:$C$112,"&gt;0"))</f>
        <v/>
      </c>
      <c r="H87">
        <f>IF(G87="","",IF(G87&lt;=20%,"Q1 Cheapest",IF(G87&lt;=40%,"Q2",IF(G87&lt;=60%,"Q3",IF(G87&lt;=80%,"Q4","Q5 Most Expensive")))))</f>
        <v/>
      </c>
      <c r="I87" s="30">
        <f>IFERROR(B91/B87-1,"")</f>
        <v/>
      </c>
      <c r="J87" s="30">
        <f>IFERROR((B99/B87)^(1/3)-1,"")</f>
        <v/>
      </c>
      <c r="K87" s="30">
        <f>IFERROR((B107/B87)^(1/5)-1,"")</f>
        <v/>
      </c>
      <c r="L87" s="30" t="n"/>
    </row>
    <row r="88">
      <c r="A88" s="31" t="n">
        <v>44104</v>
      </c>
      <c r="B88" s="24" t="n">
        <v>11247.55</v>
      </c>
      <c r="C88" s="25" t="n">
        <v>32.7</v>
      </c>
      <c r="D88" s="2" t="inlineStr">
        <is>
          <t>Standalone</t>
        </is>
      </c>
      <c r="E88" s="33">
        <f>IFERROR(B88/C88,"")</f>
        <v/>
      </c>
      <c r="F88" s="30">
        <f>IF(AND(D88=D84,E84&lt;&gt;""),E88/E84-1,"")</f>
        <v/>
      </c>
      <c r="G88" s="30">
        <f>IF(C88="","",(COUNTIFS($D$2:$D$112,D88,$C$2:$C$112,"&gt;0",$C$2:$C$112,"&lt;"&amp;C88)+(COUNTIFS($D$2:$D$112,D88,$C$2:$C$112,C88)+1)/2)/COUNTIFS($D$2:$D$112,D88,$C$2:$C$112,"&gt;0"))</f>
        <v/>
      </c>
      <c r="H88">
        <f>IF(G88="","",IF(G88&lt;=20%,"Q1 Cheapest",IF(G88&lt;=40%,"Q2",IF(G88&lt;=60%,"Q3",IF(G88&lt;=80%,"Q4","Q5 Most Expensive")))))</f>
        <v/>
      </c>
      <c r="I88" s="30">
        <f>IFERROR(B92/B88-1,"")</f>
        <v/>
      </c>
      <c r="J88" s="30">
        <f>IFERROR((B100/B88)^(1/3)-1,"")</f>
        <v/>
      </c>
      <c r="K88" s="30">
        <f>IFERROR((B108/B88)^(1/5)-1,"")</f>
        <v/>
      </c>
      <c r="L88" s="30" t="n"/>
    </row>
    <row r="89">
      <c r="A89" s="31" t="n">
        <v>44196</v>
      </c>
      <c r="B89" s="24" t="n">
        <v>13981.75</v>
      </c>
      <c r="C89" s="25" t="n">
        <v>38.5</v>
      </c>
      <c r="D89" s="2" t="inlineStr">
        <is>
          <t>Standalone</t>
        </is>
      </c>
      <c r="E89" s="33">
        <f>IFERROR(B89/C89,"")</f>
        <v/>
      </c>
      <c r="F89" s="30">
        <f>IF(AND(D89=D85,E85&lt;&gt;""),E89/E85-1,"")</f>
        <v/>
      </c>
      <c r="G89" s="30">
        <f>IF(C89="","",(COUNTIFS($D$2:$D$112,D89,$C$2:$C$112,"&gt;0",$C$2:$C$112,"&lt;"&amp;C89)+(COUNTIFS($D$2:$D$112,D89,$C$2:$C$112,C89)+1)/2)/COUNTIFS($D$2:$D$112,D89,$C$2:$C$112,"&gt;0"))</f>
        <v/>
      </c>
      <c r="H89">
        <f>IF(G89="","",IF(G89&lt;=20%,"Q1 Cheapest",IF(G89&lt;=40%,"Q2",IF(G89&lt;=60%,"Q3",IF(G89&lt;=80%,"Q4","Q5 Most Expensive")))))</f>
        <v/>
      </c>
      <c r="I89" s="30">
        <f>IFERROR(B93/B89-1,"")</f>
        <v/>
      </c>
      <c r="J89" s="30">
        <f>IFERROR((B101/B89)^(1/3)-1,"")</f>
        <v/>
      </c>
      <c r="K89" s="30">
        <f>IFERROR((B109/B89)^(1/5)-1,"")</f>
        <v/>
      </c>
      <c r="L89" s="30" t="n"/>
    </row>
    <row r="90">
      <c r="A90" s="31" t="n">
        <v>44286</v>
      </c>
      <c r="B90" s="24" t="n">
        <v>14690.7</v>
      </c>
      <c r="C90" s="25" t="n">
        <v>33.2</v>
      </c>
      <c r="D90" s="2" t="inlineStr">
        <is>
          <t>Consolidated</t>
        </is>
      </c>
      <c r="E90" s="33">
        <f>IFERROR(B90/C90,"")</f>
        <v/>
      </c>
      <c r="F90" s="30">
        <f>IF(AND(D90=D86,E86&lt;&gt;""),E90/E86-1,"")</f>
        <v/>
      </c>
      <c r="G90" s="30">
        <f>IF(C90="","",(COUNTIFS($D$2:$D$112,D90,$C$2:$C$112,"&gt;0",$C$2:$C$112,"&lt;"&amp;C90)+(COUNTIFS($D$2:$D$112,D90,$C$2:$C$112,C90)+1)/2)/COUNTIFS($D$2:$D$112,D90,$C$2:$C$112,"&gt;0"))</f>
        <v/>
      </c>
      <c r="H90">
        <f>IF(G90="","",IF(G90&lt;=20%,"Q1 Cheapest",IF(G90&lt;=40%,"Q2",IF(G90&lt;=60%,"Q3",IF(G90&lt;=80%,"Q4","Q5 Most Expensive")))))</f>
        <v/>
      </c>
      <c r="I90" s="30">
        <f>IFERROR(B94/B90-1,"")</f>
        <v/>
      </c>
      <c r="J90" s="30">
        <f>IFERROR((B102/B90)^(1/3)-1,"")</f>
        <v/>
      </c>
      <c r="K90" s="30">
        <f>IFERROR((B110/B90)^(1/5)-1,"")</f>
        <v/>
      </c>
      <c r="L90" s="30" t="n"/>
    </row>
    <row r="91">
      <c r="A91" s="31" t="n">
        <v>44377</v>
      </c>
      <c r="B91" s="24" t="n">
        <v>15721.5</v>
      </c>
      <c r="C91" s="25" t="n">
        <v>28.3</v>
      </c>
      <c r="D91" s="2" t="inlineStr">
        <is>
          <t>Consolidated</t>
        </is>
      </c>
      <c r="E91" s="33">
        <f>IFERROR(B91/C91,"")</f>
        <v/>
      </c>
      <c r="F91" s="30">
        <f>IF(AND(D91=D87,E87&lt;&gt;""),E91/E87-1,"")</f>
        <v/>
      </c>
      <c r="G91" s="30">
        <f>IF(C91="","",(COUNTIFS($D$2:$D$112,D91,$C$2:$C$112,"&gt;0",$C$2:$C$112,"&lt;"&amp;C91)+(COUNTIFS($D$2:$D$112,D91,$C$2:$C$112,C91)+1)/2)/COUNTIFS($D$2:$D$112,D91,$C$2:$C$112,"&gt;0"))</f>
        <v/>
      </c>
      <c r="H91">
        <f>IF(G91="","",IF(G91&lt;=20%,"Q1 Cheapest",IF(G91&lt;=40%,"Q2",IF(G91&lt;=60%,"Q3",IF(G91&lt;=80%,"Q4","Q5 Most Expensive")))))</f>
        <v/>
      </c>
      <c r="I91" s="30">
        <f>IFERROR(B95/B91-1,"")</f>
        <v/>
      </c>
      <c r="J91" s="30">
        <f>IFERROR((B103/B91)^(1/3)-1,"")</f>
        <v/>
      </c>
      <c r="K91" s="30">
        <f>IFERROR((B111/B91)^(1/5)-1,"")</f>
        <v/>
      </c>
      <c r="L91" s="30" t="n"/>
    </row>
    <row r="92">
      <c r="A92" s="31" t="n">
        <v>44469</v>
      </c>
      <c r="B92" s="24" t="n">
        <v>17618.15</v>
      </c>
      <c r="C92" s="25" t="n">
        <v>27</v>
      </c>
      <c r="D92" s="2" t="inlineStr">
        <is>
          <t>Consolidated</t>
        </is>
      </c>
      <c r="E92" s="33">
        <f>IFERROR(B92/C92,"")</f>
        <v/>
      </c>
      <c r="F92" s="30">
        <f>IF(AND(D92=D88,E88&lt;&gt;""),E92/E88-1,"")</f>
        <v/>
      </c>
      <c r="G92" s="30">
        <f>IF(C92="","",(COUNTIFS($D$2:$D$112,D92,$C$2:$C$112,"&gt;0",$C$2:$C$112,"&lt;"&amp;C92)+(COUNTIFS($D$2:$D$112,D92,$C$2:$C$112,C92)+1)/2)/COUNTIFS($D$2:$D$112,D92,$C$2:$C$112,"&gt;0"))</f>
        <v/>
      </c>
      <c r="H92">
        <f>IF(G92="","",IF(G92&lt;=20%,"Q1 Cheapest",IF(G92&lt;=40%,"Q2",IF(G92&lt;=60%,"Q3",IF(G92&lt;=80%,"Q4","Q5 Most Expensive")))))</f>
        <v/>
      </c>
      <c r="I92" s="30">
        <f>IFERROR(B96/B92-1,"")</f>
        <v/>
      </c>
      <c r="J92" s="30">
        <f>IFERROR((B104/B92)^(1/3)-1,"")</f>
        <v/>
      </c>
      <c r="K92" s="30">
        <f>IFERROR((B112/B92)^(1/5)-1,"")</f>
        <v/>
      </c>
      <c r="L92" s="30" t="n"/>
    </row>
    <row r="93">
      <c r="A93" s="31" t="n">
        <v>44561</v>
      </c>
      <c r="B93" s="24" t="n">
        <v>17354.05</v>
      </c>
      <c r="C93" s="25" t="n">
        <v>24.1</v>
      </c>
      <c r="D93" s="2" t="inlineStr">
        <is>
          <t>Consolidated</t>
        </is>
      </c>
      <c r="E93" s="33">
        <f>IFERROR(B93/C93,"")</f>
        <v/>
      </c>
      <c r="F93" s="30">
        <f>IF(AND(D93=D89,E89&lt;&gt;""),E93/E89-1,"")</f>
        <v/>
      </c>
      <c r="G93" s="30">
        <f>IF(C93="","",(COUNTIFS($D$2:$D$112,D93,$C$2:$C$112,"&gt;0",$C$2:$C$112,"&lt;"&amp;C93)+(COUNTIFS($D$2:$D$112,D93,$C$2:$C$112,C93)+1)/2)/COUNTIFS($D$2:$D$112,D93,$C$2:$C$112,"&gt;0"))</f>
        <v/>
      </c>
      <c r="H93">
        <f>IF(G93="","",IF(G93&lt;=20%,"Q1 Cheapest",IF(G93&lt;=40%,"Q2",IF(G93&lt;=60%,"Q3",IF(G93&lt;=80%,"Q4","Q5 Most Expensive")))))</f>
        <v/>
      </c>
      <c r="I93" s="30">
        <f>IFERROR(B97/B93-1,"")</f>
        <v/>
      </c>
      <c r="J93" s="30">
        <f>IFERROR((B105/B93)^(1/3)-1,"")</f>
        <v/>
      </c>
      <c r="K93" s="30" t="n"/>
      <c r="L93" s="30" t="n"/>
    </row>
    <row r="94">
      <c r="A94" s="31" t="n">
        <v>44651</v>
      </c>
      <c r="B94" s="24" t="n">
        <v>17464.75</v>
      </c>
      <c r="C94" s="25" t="n">
        <v>22.9</v>
      </c>
      <c r="D94" s="2" t="inlineStr">
        <is>
          <t>Consolidated</t>
        </is>
      </c>
      <c r="E94" s="33">
        <f>IFERROR(B94/C94,"")</f>
        <v/>
      </c>
      <c r="F94" s="30">
        <f>IF(AND(D94=D90,E90&lt;&gt;""),E94/E90-1,"")</f>
        <v/>
      </c>
      <c r="G94" s="30">
        <f>IF(C94="","",(COUNTIFS($D$2:$D$112,D94,$C$2:$C$112,"&gt;0",$C$2:$C$112,"&lt;"&amp;C94)+(COUNTIFS($D$2:$D$112,D94,$C$2:$C$112,C94)+1)/2)/COUNTIFS($D$2:$D$112,D94,$C$2:$C$112,"&gt;0"))</f>
        <v/>
      </c>
      <c r="H94">
        <f>IF(G94="","",IF(G94&lt;=20%,"Q1 Cheapest",IF(G94&lt;=40%,"Q2",IF(G94&lt;=60%,"Q3",IF(G94&lt;=80%,"Q4","Q5 Most Expensive")))))</f>
        <v/>
      </c>
      <c r="I94" s="30">
        <f>IFERROR(B98/B94-1,"")</f>
        <v/>
      </c>
      <c r="J94" s="30">
        <f>IFERROR((B106/B94)^(1/3)-1,"")</f>
        <v/>
      </c>
      <c r="K94" s="30" t="n"/>
      <c r="L94" s="30" t="n"/>
    </row>
    <row r="95">
      <c r="A95" s="31" t="n">
        <v>44742</v>
      </c>
      <c r="B95" s="24" t="n">
        <v>15780.25</v>
      </c>
      <c r="C95" s="25" t="n">
        <v>19.5</v>
      </c>
      <c r="D95" s="2" t="inlineStr">
        <is>
          <t>Consolidated</t>
        </is>
      </c>
      <c r="E95" s="33">
        <f>IFERROR(B95/C95,"")</f>
        <v/>
      </c>
      <c r="F95" s="30">
        <f>IF(AND(D95=D91,E91&lt;&gt;""),E95/E91-1,"")</f>
        <v/>
      </c>
      <c r="G95" s="30">
        <f>IF(C95="","",(COUNTIFS($D$2:$D$112,D95,$C$2:$C$112,"&gt;0",$C$2:$C$112,"&lt;"&amp;C95)+(COUNTIFS($D$2:$D$112,D95,$C$2:$C$112,C95)+1)/2)/COUNTIFS($D$2:$D$112,D95,$C$2:$C$112,"&gt;0"))</f>
        <v/>
      </c>
      <c r="H95">
        <f>IF(G95="","",IF(G95&lt;=20%,"Q1 Cheapest",IF(G95&lt;=40%,"Q2",IF(G95&lt;=60%,"Q3",IF(G95&lt;=80%,"Q4","Q5 Most Expensive")))))</f>
        <v/>
      </c>
      <c r="I95" s="30">
        <f>IFERROR(B99/B95-1,"")</f>
        <v/>
      </c>
      <c r="J95" s="30">
        <f>IFERROR((B107/B95)^(1/3)-1,"")</f>
        <v/>
      </c>
      <c r="K95" s="30" t="n"/>
      <c r="L95" s="30" t="n"/>
    </row>
    <row r="96">
      <c r="A96" s="31" t="n">
        <v>44834</v>
      </c>
      <c r="B96" s="24" t="n">
        <v>17094.35</v>
      </c>
      <c r="C96" s="25" t="n">
        <v>20.6</v>
      </c>
      <c r="D96" s="2" t="inlineStr">
        <is>
          <t>Consolidated</t>
        </is>
      </c>
      <c r="E96" s="33">
        <f>IFERROR(B96/C96,"")</f>
        <v/>
      </c>
      <c r="F96" s="30">
        <f>IF(AND(D96=D92,E92&lt;&gt;""),E96/E92-1,"")</f>
        <v/>
      </c>
      <c r="G96" s="30">
        <f>IF(C96="","",(COUNTIFS($D$2:$D$112,D96,$C$2:$C$112,"&gt;0",$C$2:$C$112,"&lt;"&amp;C96)+(COUNTIFS($D$2:$D$112,D96,$C$2:$C$112,C96)+1)/2)/COUNTIFS($D$2:$D$112,D96,$C$2:$C$112,"&gt;0"))</f>
        <v/>
      </c>
      <c r="H96">
        <f>IF(G96="","",IF(G96&lt;=20%,"Q1 Cheapest",IF(G96&lt;=40%,"Q2",IF(G96&lt;=60%,"Q3",IF(G96&lt;=80%,"Q4","Q5 Most Expensive")))))</f>
        <v/>
      </c>
      <c r="I96" s="30">
        <f>IFERROR(B100/B96-1,"")</f>
        <v/>
      </c>
      <c r="J96" s="30">
        <f>IFERROR((B108/B96)^(1/3)-1,"")</f>
        <v/>
      </c>
      <c r="K96" s="30" t="n"/>
      <c r="L96" s="30" t="n"/>
    </row>
    <row r="97">
      <c r="A97" s="31" t="n">
        <v>44926</v>
      </c>
      <c r="B97" s="24" t="n">
        <v>18105.3</v>
      </c>
      <c r="C97" s="25" t="n">
        <v>21.8</v>
      </c>
      <c r="D97" s="2" t="inlineStr">
        <is>
          <t>Consolidated</t>
        </is>
      </c>
      <c r="E97" s="33">
        <f>IFERROR(B97/C97,"")</f>
        <v/>
      </c>
      <c r="F97" s="30">
        <f>IF(AND(D97=D93,E93&lt;&gt;""),E97/E93-1,"")</f>
        <v/>
      </c>
      <c r="G97" s="30">
        <f>IF(C97="","",(COUNTIFS($D$2:$D$112,D97,$C$2:$C$112,"&gt;0",$C$2:$C$112,"&lt;"&amp;C97)+(COUNTIFS($D$2:$D$112,D97,$C$2:$C$112,C97)+1)/2)/COUNTIFS($D$2:$D$112,D97,$C$2:$C$112,"&gt;0"))</f>
        <v/>
      </c>
      <c r="H97">
        <f>IF(G97="","",IF(G97&lt;=20%,"Q1 Cheapest",IF(G97&lt;=40%,"Q2",IF(G97&lt;=60%,"Q3",IF(G97&lt;=80%,"Q4","Q5 Most Expensive")))))</f>
        <v/>
      </c>
      <c r="I97" s="30">
        <f>IFERROR(B101/B97-1,"")</f>
        <v/>
      </c>
      <c r="J97" s="30">
        <f>IFERROR((B109/B97)^(1/3)-1,"")</f>
        <v/>
      </c>
      <c r="K97" s="30" t="n"/>
      <c r="L97" s="30" t="n"/>
    </row>
    <row r="98">
      <c r="A98" s="31" t="n">
        <v>45016</v>
      </c>
      <c r="B98" s="24" t="n">
        <v>17359.75</v>
      </c>
      <c r="C98" s="25" t="n">
        <v>20.4</v>
      </c>
      <c r="D98" s="2" t="inlineStr">
        <is>
          <t>Consolidated</t>
        </is>
      </c>
      <c r="E98" s="33">
        <f>IFERROR(B98/C98,"")</f>
        <v/>
      </c>
      <c r="F98" s="30">
        <f>IF(AND(D98=D94,E94&lt;&gt;""),E98/E94-1,"")</f>
        <v/>
      </c>
      <c r="G98" s="30">
        <f>IF(C98="","",(COUNTIFS($D$2:$D$112,D98,$C$2:$C$112,"&gt;0",$C$2:$C$112,"&lt;"&amp;C98)+(COUNTIFS($D$2:$D$112,D98,$C$2:$C$112,C98)+1)/2)/COUNTIFS($D$2:$D$112,D98,$C$2:$C$112,"&gt;0"))</f>
        <v/>
      </c>
      <c r="H98">
        <f>IF(G98="","",IF(G98&lt;=20%,"Q1 Cheapest",IF(G98&lt;=40%,"Q2",IF(G98&lt;=60%,"Q3",IF(G98&lt;=80%,"Q4","Q5 Most Expensive")))))</f>
        <v/>
      </c>
      <c r="I98" s="30">
        <f>IFERROR(B102/B98-1,"")</f>
        <v/>
      </c>
      <c r="J98" s="30">
        <f>IFERROR((B110/B98)^(1/3)-1,"")</f>
        <v/>
      </c>
      <c r="K98" s="30" t="n"/>
      <c r="L98" s="30" t="n"/>
    </row>
    <row r="99">
      <c r="A99" s="31" t="n">
        <v>45107</v>
      </c>
      <c r="B99" s="24" t="n">
        <v>19189.05</v>
      </c>
      <c r="C99" s="25" t="n">
        <v>22.4</v>
      </c>
      <c r="D99" s="2" t="inlineStr">
        <is>
          <t>Consolidated</t>
        </is>
      </c>
      <c r="E99" s="33">
        <f>IFERROR(B99/C99,"")</f>
        <v/>
      </c>
      <c r="F99" s="30">
        <f>IF(AND(D99=D95,E95&lt;&gt;""),E99/E95-1,"")</f>
        <v/>
      </c>
      <c r="G99" s="30">
        <f>IF(C99="","",(COUNTIFS($D$2:$D$112,D99,$C$2:$C$112,"&gt;0",$C$2:$C$112,"&lt;"&amp;C99)+(COUNTIFS($D$2:$D$112,D99,$C$2:$C$112,C99)+1)/2)/COUNTIFS($D$2:$D$112,D99,$C$2:$C$112,"&gt;0"))</f>
        <v/>
      </c>
      <c r="H99">
        <f>IF(G99="","",IF(G99&lt;=20%,"Q1 Cheapest",IF(G99&lt;=40%,"Q2",IF(G99&lt;=60%,"Q3",IF(G99&lt;=80%,"Q4","Q5 Most Expensive")))))</f>
        <v/>
      </c>
      <c r="I99" s="30">
        <f>IFERROR(B103/B99-1,"")</f>
        <v/>
      </c>
      <c r="J99" s="30">
        <f>IFERROR((B111/B99)^(1/3)-1,"")</f>
        <v/>
      </c>
      <c r="K99" s="30" t="n"/>
      <c r="L99" s="30" t="n"/>
    </row>
    <row r="100">
      <c r="A100" s="31" t="n">
        <v>45199</v>
      </c>
      <c r="B100" s="24" t="n">
        <v>19638.3</v>
      </c>
      <c r="C100" s="25" t="n">
        <v>22.2</v>
      </c>
      <c r="D100" s="2" t="inlineStr">
        <is>
          <t>Consolidated</t>
        </is>
      </c>
      <c r="E100" s="33">
        <f>IFERROR(B100/C100,"")</f>
        <v/>
      </c>
      <c r="F100" s="30">
        <f>IF(AND(D100=D96,E96&lt;&gt;""),E100/E96-1,"")</f>
        <v/>
      </c>
      <c r="G100" s="30">
        <f>IF(C100="","",(COUNTIFS($D$2:$D$112,D100,$C$2:$C$112,"&gt;0",$C$2:$C$112,"&lt;"&amp;C100)+(COUNTIFS($D$2:$D$112,D100,$C$2:$C$112,C100)+1)/2)/COUNTIFS($D$2:$D$112,D100,$C$2:$C$112,"&gt;0"))</f>
        <v/>
      </c>
      <c r="H100">
        <f>IF(G100="","",IF(G100&lt;=20%,"Q1 Cheapest",IF(G100&lt;=40%,"Q2",IF(G100&lt;=60%,"Q3",IF(G100&lt;=80%,"Q4","Q5 Most Expensive")))))</f>
        <v/>
      </c>
      <c r="I100" s="30">
        <f>IFERROR(B104/B100-1,"")</f>
        <v/>
      </c>
      <c r="J100" s="30">
        <f>IFERROR((B112/B100)^(1/3)-1,"")</f>
        <v/>
      </c>
      <c r="K100" s="30" t="n"/>
      <c r="L100" s="30" t="n"/>
    </row>
    <row r="101">
      <c r="A101" s="31" t="n">
        <v>45291</v>
      </c>
      <c r="B101" s="24" t="n">
        <v>21731.4</v>
      </c>
      <c r="C101" s="25" t="n">
        <v>23.2</v>
      </c>
      <c r="D101" s="2" t="inlineStr">
        <is>
          <t>Consolidated</t>
        </is>
      </c>
      <c r="E101" s="33">
        <f>IFERROR(B101/C101,"")</f>
        <v/>
      </c>
      <c r="F101" s="30">
        <f>IF(AND(D101=D97,E97&lt;&gt;""),E101/E97-1,"")</f>
        <v/>
      </c>
      <c r="G101" s="30">
        <f>IF(C101="","",(COUNTIFS($D$2:$D$112,D101,$C$2:$C$112,"&gt;0",$C$2:$C$112,"&lt;"&amp;C101)+(COUNTIFS($D$2:$D$112,D101,$C$2:$C$112,C101)+1)/2)/COUNTIFS($D$2:$D$112,D101,$C$2:$C$112,"&gt;0"))</f>
        <v/>
      </c>
      <c r="H101">
        <f>IF(G101="","",IF(G101&lt;=20%,"Q1 Cheapest",IF(G101&lt;=40%,"Q2",IF(G101&lt;=60%,"Q3",IF(G101&lt;=80%,"Q4","Q5 Most Expensive")))))</f>
        <v/>
      </c>
      <c r="I101" s="30">
        <f>IFERROR(B105/B101-1,"")</f>
        <v/>
      </c>
      <c r="J101" s="30" t="n"/>
      <c r="K101" s="30" t="n"/>
      <c r="L101" s="30" t="n"/>
    </row>
    <row r="102">
      <c r="A102" s="31" t="n">
        <v>45382</v>
      </c>
      <c r="B102" s="24" t="n">
        <v>22326.9</v>
      </c>
      <c r="C102" s="25" t="n">
        <v>22.9</v>
      </c>
      <c r="D102" s="2" t="inlineStr">
        <is>
          <t>Consolidated</t>
        </is>
      </c>
      <c r="E102" s="33">
        <f>IFERROR(B102/C102,"")</f>
        <v/>
      </c>
      <c r="F102" s="30">
        <f>IF(AND(D102=D98,E98&lt;&gt;""),E102/E98-1,"")</f>
        <v/>
      </c>
      <c r="G102" s="30">
        <f>IF(C102="","",(COUNTIFS($D$2:$D$112,D102,$C$2:$C$112,"&gt;0",$C$2:$C$112,"&lt;"&amp;C102)+(COUNTIFS($D$2:$D$112,D102,$C$2:$C$112,C102)+1)/2)/COUNTIFS($D$2:$D$112,D102,$C$2:$C$112,"&gt;0"))</f>
        <v/>
      </c>
      <c r="H102">
        <f>IF(G102="","",IF(G102&lt;=20%,"Q1 Cheapest",IF(G102&lt;=40%,"Q2",IF(G102&lt;=60%,"Q3",IF(G102&lt;=80%,"Q4","Q5 Most Expensive")))))</f>
        <v/>
      </c>
      <c r="I102" s="30">
        <f>IFERROR(B106/B102-1,"")</f>
        <v/>
      </c>
      <c r="J102" s="30" t="n"/>
      <c r="K102" s="30" t="n"/>
      <c r="L102" s="30" t="n"/>
    </row>
    <row r="103">
      <c r="A103" s="31" t="n">
        <v>45473</v>
      </c>
      <c r="B103" s="24" t="n">
        <v>24010.6</v>
      </c>
      <c r="C103" s="25" t="n">
        <v>22.9</v>
      </c>
      <c r="D103" s="2" t="inlineStr">
        <is>
          <t>Consolidated</t>
        </is>
      </c>
      <c r="E103" s="33">
        <f>IFERROR(B103/C103,"")</f>
        <v/>
      </c>
      <c r="F103" s="30">
        <f>IF(AND(D103=D99,E99&lt;&gt;""),E103/E99-1,"")</f>
        <v/>
      </c>
      <c r="G103" s="30">
        <f>IF(C103="","",(COUNTIFS($D$2:$D$112,D103,$C$2:$C$112,"&gt;0",$C$2:$C$112,"&lt;"&amp;C103)+(COUNTIFS($D$2:$D$112,D103,$C$2:$C$112,C103)+1)/2)/COUNTIFS($D$2:$D$112,D103,$C$2:$C$112,"&gt;0"))</f>
        <v/>
      </c>
      <c r="H103">
        <f>IF(G103="","",IF(G103&lt;=20%,"Q1 Cheapest",IF(G103&lt;=40%,"Q2",IF(G103&lt;=60%,"Q3",IF(G103&lt;=80%,"Q4","Q5 Most Expensive")))))</f>
        <v/>
      </c>
      <c r="I103" s="30">
        <f>IFERROR(B107/B103-1,"")</f>
        <v/>
      </c>
      <c r="J103" s="30" t="n"/>
      <c r="K103" s="30" t="n"/>
      <c r="L103" s="30" t="n"/>
    </row>
    <row r="104">
      <c r="A104" s="31" t="n">
        <v>45565</v>
      </c>
      <c r="B104" s="24" t="n">
        <v>26061.3</v>
      </c>
      <c r="C104" s="25" t="n">
        <v>24.3</v>
      </c>
      <c r="D104" s="2" t="inlineStr">
        <is>
          <t>Consolidated</t>
        </is>
      </c>
      <c r="E104" s="33">
        <f>IFERROR(B104/C104,"")</f>
        <v/>
      </c>
      <c r="F104" s="30">
        <f>IF(AND(D104=D100,E100&lt;&gt;""),E104/E100-1,"")</f>
        <v/>
      </c>
      <c r="G104" s="30">
        <f>IF(C104="","",(COUNTIFS($D$2:$D$112,D104,$C$2:$C$112,"&gt;0",$C$2:$C$112,"&lt;"&amp;C104)+(COUNTIFS($D$2:$D$112,D104,$C$2:$C$112,C104)+1)/2)/COUNTIFS($D$2:$D$112,D104,$C$2:$C$112,"&gt;0"))</f>
        <v/>
      </c>
      <c r="H104">
        <f>IF(G104="","",IF(G104&lt;=20%,"Q1 Cheapest",IF(G104&lt;=40%,"Q2",IF(G104&lt;=60%,"Q3",IF(G104&lt;=80%,"Q4","Q5 Most Expensive")))))</f>
        <v/>
      </c>
      <c r="I104" s="30">
        <f>IFERROR(B108/B104-1,"")</f>
        <v/>
      </c>
      <c r="J104" s="30" t="n"/>
      <c r="K104" s="30" t="n"/>
      <c r="L104" s="30" t="n"/>
    </row>
    <row r="105">
      <c r="A105" s="31" t="n">
        <v>45657</v>
      </c>
      <c r="B105" s="24" t="n">
        <v>23560.6</v>
      </c>
      <c r="C105" s="25" t="n">
        <v>21.8</v>
      </c>
      <c r="D105" s="2" t="inlineStr">
        <is>
          <t>Consolidated</t>
        </is>
      </c>
      <c r="E105" s="33">
        <f>IFERROR(B105/C105,"")</f>
        <v/>
      </c>
      <c r="F105" s="30">
        <f>IF(AND(D105=D101,E101&lt;&gt;""),E105/E101-1,"")</f>
        <v/>
      </c>
      <c r="G105" s="30">
        <f>IF(C105="","",(COUNTIFS($D$2:$D$112,D105,$C$2:$C$112,"&gt;0",$C$2:$C$112,"&lt;"&amp;C105)+(COUNTIFS($D$2:$D$112,D105,$C$2:$C$112,C105)+1)/2)/COUNTIFS($D$2:$D$112,D105,$C$2:$C$112,"&gt;0"))</f>
        <v/>
      </c>
      <c r="H105">
        <f>IF(G105="","",IF(G105&lt;=20%,"Q1 Cheapest",IF(G105&lt;=40%,"Q2",IF(G105&lt;=60%,"Q3",IF(G105&lt;=80%,"Q4","Q5 Most Expensive")))))</f>
        <v/>
      </c>
      <c r="I105" s="30">
        <f>IFERROR(B109/B105-1,"")</f>
        <v/>
      </c>
      <c r="J105" s="30" t="n"/>
      <c r="K105" s="30" t="n"/>
      <c r="L105" s="30" t="n"/>
    </row>
    <row r="106">
      <c r="A106" s="31" t="n">
        <v>45747</v>
      </c>
      <c r="B106" s="24" t="n">
        <v>23519.35</v>
      </c>
      <c r="C106" s="25" t="n">
        <v>21.4</v>
      </c>
      <c r="D106" s="2" t="inlineStr">
        <is>
          <t>Consolidated</t>
        </is>
      </c>
      <c r="E106" s="33">
        <f>IFERROR(B106/C106,"")</f>
        <v/>
      </c>
      <c r="F106" s="30">
        <f>IF(AND(D106=D102,E102&lt;&gt;""),E106/E102-1,"")</f>
        <v/>
      </c>
      <c r="G106" s="30">
        <f>IF(C106="","",(COUNTIFS($D$2:$D$112,D106,$C$2:$C$112,"&gt;0",$C$2:$C$112,"&lt;"&amp;C106)+(COUNTIFS($D$2:$D$112,D106,$C$2:$C$112,C106)+1)/2)/COUNTIFS($D$2:$D$112,D106,$C$2:$C$112,"&gt;0"))</f>
        <v/>
      </c>
      <c r="H106">
        <f>IF(G106="","",IF(G106&lt;=20%,"Q1 Cheapest",IF(G106&lt;=40%,"Q2",IF(G106&lt;=60%,"Q3",IF(G106&lt;=80%,"Q4","Q5 Most Expensive")))))</f>
        <v/>
      </c>
      <c r="I106" s="30">
        <f>IFERROR(B110/B106-1,"")</f>
        <v/>
      </c>
      <c r="J106" s="30" t="n"/>
      <c r="K106" s="30" t="n"/>
      <c r="L106" s="30" t="n"/>
    </row>
    <row r="107">
      <c r="A107" s="31" t="n">
        <v>45838</v>
      </c>
      <c r="B107" s="24" t="n">
        <v>25517.05</v>
      </c>
      <c r="C107" s="25" t="n">
        <v>23</v>
      </c>
      <c r="D107" s="2" t="inlineStr">
        <is>
          <t>Consolidated</t>
        </is>
      </c>
      <c r="E107" s="33">
        <f>IFERROR(B107/C107,"")</f>
        <v/>
      </c>
      <c r="F107" s="30">
        <f>IF(AND(D107=D103,E103&lt;&gt;""),E107/E103-1,"")</f>
        <v/>
      </c>
      <c r="G107" s="30">
        <f>IF(C107="","",(COUNTIFS($D$2:$D$112,D107,$C$2:$C$112,"&gt;0",$C$2:$C$112,"&lt;"&amp;C107)+(COUNTIFS($D$2:$D$112,D107,$C$2:$C$112,C107)+1)/2)/COUNTIFS($D$2:$D$112,D107,$C$2:$C$112,"&gt;0"))</f>
        <v/>
      </c>
      <c r="H107">
        <f>IF(G107="","",IF(G107&lt;=20%,"Q1 Cheapest",IF(G107&lt;=40%,"Q2",IF(G107&lt;=60%,"Q3",IF(G107&lt;=80%,"Q4","Q5 Most Expensive")))))</f>
        <v/>
      </c>
      <c r="I107" s="30">
        <f>IFERROR(B111/B107-1,"")</f>
        <v/>
      </c>
      <c r="J107" s="30" t="n"/>
      <c r="K107" s="30" t="n"/>
      <c r="L107" s="30" t="n"/>
    </row>
    <row r="108">
      <c r="A108" s="31" t="n">
        <v>45930</v>
      </c>
      <c r="B108" s="24" t="n">
        <v>24691.95</v>
      </c>
      <c r="C108" s="25" t="n">
        <v>21.8</v>
      </c>
      <c r="D108" s="2" t="inlineStr">
        <is>
          <t>Consolidated</t>
        </is>
      </c>
      <c r="E108" s="33">
        <f>IFERROR(B108/C108,"")</f>
        <v/>
      </c>
      <c r="F108" s="30">
        <f>IF(AND(D108=D104,E104&lt;&gt;""),E108/E104-1,"")</f>
        <v/>
      </c>
      <c r="G108" s="30">
        <f>IF(C108="","",(COUNTIFS($D$2:$D$112,D108,$C$2:$C$112,"&gt;0",$C$2:$C$112,"&lt;"&amp;C108)+(COUNTIFS($D$2:$D$112,D108,$C$2:$C$112,C108)+1)/2)/COUNTIFS($D$2:$D$112,D108,$C$2:$C$112,"&gt;0"))</f>
        <v/>
      </c>
      <c r="H108">
        <f>IF(G108="","",IF(G108&lt;=20%,"Q1 Cheapest",IF(G108&lt;=40%,"Q2",IF(G108&lt;=60%,"Q3",IF(G108&lt;=80%,"Q4","Q5 Most Expensive")))))</f>
        <v/>
      </c>
      <c r="I108" s="30">
        <f>IFERROR(B112/B108-1,"")</f>
        <v/>
      </c>
      <c r="J108" s="30" t="n"/>
      <c r="K108" s="30" t="n"/>
      <c r="L108" s="30" t="n"/>
    </row>
    <row r="109">
      <c r="A109" s="31" t="n">
        <v>46022</v>
      </c>
      <c r="B109" s="24" t="n">
        <v>25971.05</v>
      </c>
      <c r="C109" s="25" t="n">
        <v>22.8</v>
      </c>
      <c r="D109" s="2" t="inlineStr">
        <is>
          <t>Consolidated</t>
        </is>
      </c>
      <c r="E109" s="33">
        <f>IFERROR(B109/C109,"")</f>
        <v/>
      </c>
      <c r="F109" s="30">
        <f>IF(AND(D109=D105,E105&lt;&gt;""),E109/E105-1,"")</f>
        <v/>
      </c>
      <c r="G109" s="30">
        <f>IF(C109="","",(COUNTIFS($D$2:$D$112,D109,$C$2:$C$112,"&gt;0",$C$2:$C$112,"&lt;"&amp;C109)+(COUNTIFS($D$2:$D$112,D109,$C$2:$C$112,C109)+1)/2)/COUNTIFS($D$2:$D$112,D109,$C$2:$C$112,"&gt;0"))</f>
        <v/>
      </c>
      <c r="H109">
        <f>IF(G109="","",IF(G109&lt;=20%,"Q1 Cheapest",IF(G109&lt;=40%,"Q2",IF(G109&lt;=60%,"Q3",IF(G109&lt;=80%,"Q4","Q5 Most Expensive")))))</f>
        <v/>
      </c>
      <c r="I109" s="30" t="n"/>
      <c r="J109" s="30" t="n"/>
      <c r="K109" s="30" t="n"/>
      <c r="L109" s="30" t="n"/>
    </row>
    <row r="110">
      <c r="A110" s="31" t="n">
        <v>46112</v>
      </c>
      <c r="B110" s="24" t="n">
        <v>22549.65</v>
      </c>
      <c r="C110" s="25" t="n">
        <v>19.6</v>
      </c>
      <c r="D110" s="2" t="inlineStr">
        <is>
          <t>Consolidated</t>
        </is>
      </c>
      <c r="E110" s="33">
        <f>IFERROR(B110/C110,"")</f>
        <v/>
      </c>
      <c r="F110" s="30">
        <f>IF(AND(D110=D106,E106&lt;&gt;""),E110/E106-1,"")</f>
        <v/>
      </c>
      <c r="G110" s="30">
        <f>IF(C110="","",(COUNTIFS($D$2:$D$112,D110,$C$2:$C$112,"&gt;0",$C$2:$C$112,"&lt;"&amp;C110)+(COUNTIFS($D$2:$D$112,D110,$C$2:$C$112,C110)+1)/2)/COUNTIFS($D$2:$D$112,D110,$C$2:$C$112,"&gt;0"))</f>
        <v/>
      </c>
      <c r="H110">
        <f>IF(G110="","",IF(G110&lt;=20%,"Q1 Cheapest",IF(G110&lt;=40%,"Q2",IF(G110&lt;=60%,"Q3",IF(G110&lt;=80%,"Q4","Q5 Most Expensive")))))</f>
        <v/>
      </c>
      <c r="I110" s="30" t="n"/>
      <c r="J110" s="30" t="n"/>
      <c r="K110" s="30" t="n"/>
      <c r="L110" s="30" t="n"/>
    </row>
    <row r="111">
      <c r="A111" s="31" t="n">
        <v>46203</v>
      </c>
      <c r="B111" s="24" t="n">
        <v>23865.75</v>
      </c>
      <c r="C111" s="25" t="n">
        <v>20.6</v>
      </c>
      <c r="D111" s="2" t="inlineStr">
        <is>
          <t>Consolidated</t>
        </is>
      </c>
      <c r="E111" s="33">
        <f>IFERROR(B111/C111,"")</f>
        <v/>
      </c>
      <c r="F111" s="30">
        <f>IF(AND(D111=D107,E107&lt;&gt;""),E111/E107-1,"")</f>
        <v/>
      </c>
      <c r="G111" s="30">
        <f>IF(C111="","",(COUNTIFS($D$2:$D$112,D111,$C$2:$C$112,"&gt;0",$C$2:$C$112,"&lt;"&amp;C111)+(COUNTIFS($D$2:$D$112,D111,$C$2:$C$112,C111)+1)/2)/COUNTIFS($D$2:$D$112,D111,$C$2:$C$112,"&gt;0"))</f>
        <v/>
      </c>
      <c r="H111">
        <f>IF(G111="","",IF(G111&lt;=20%,"Q1 Cheapest",IF(G111&lt;=40%,"Q2",IF(G111&lt;=60%,"Q3",IF(G111&lt;=80%,"Q4","Q5 Most Expensive")))))</f>
        <v/>
      </c>
      <c r="I111" s="30" t="n"/>
      <c r="J111" s="30" t="n"/>
      <c r="K111" s="30" t="n"/>
      <c r="L111" s="30" t="n"/>
    </row>
    <row r="112">
      <c r="A112" s="31" t="n">
        <v>46295</v>
      </c>
      <c r="B112" s="24" t="n">
        <v>22620.45</v>
      </c>
      <c r="C112" s="25" t="n">
        <v>19.36</v>
      </c>
      <c r="D112" s="2" t="inlineStr">
        <is>
          <t>Consolidated</t>
        </is>
      </c>
      <c r="E112" s="33">
        <f>IFERROR(B112/C112,"")</f>
        <v/>
      </c>
      <c r="F112" s="30">
        <f>IF(AND(D112=D108,E108&lt;&gt;""),E112/E108-1,"")</f>
        <v/>
      </c>
      <c r="G112" s="30">
        <f>IF(C112="","",(COUNTIFS($D$2:$D$112,D112,$C$2:$C$112,"&gt;0",$C$2:$C$112,"&lt;"&amp;C112)+(COUNTIFS($D$2:$D$112,D112,$C$2:$C$112,C112)+1)/2)/COUNTIFS($D$2:$D$112,D112,$C$2:$C$112,"&gt;0"))</f>
        <v/>
      </c>
      <c r="H112">
        <f>IF(G112="","",IF(G112&lt;=20%,"Q1 Cheapest",IF(G112&lt;=40%,"Q2",IF(G112&lt;=60%,"Q3",IF(G112&lt;=80%,"Q4","Q5 Most Expensive")))))</f>
        <v/>
      </c>
      <c r="I112" s="30" t="n"/>
      <c r="J112" s="30" t="n"/>
      <c r="K112" s="30" t="n"/>
      <c r="L112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8" customWidth="1" min="4" max="4"/>
    <col width="17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23346.4</v>
      </c>
      <c r="C2" s="25" t="n">
        <v>19.74</v>
      </c>
      <c r="D2" s="26" t="n">
        <v>0.0530303030303</v>
      </c>
      <c r="E2" s="26" t="n">
        <v>0.0387820820751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23414.3</v>
      </c>
      <c r="C3" s="25" t="n">
        <v>19.79</v>
      </c>
      <c r="D3" s="26" t="n">
        <v>0.0530303030303</v>
      </c>
      <c r="E3" s="26" t="n">
        <v>0.0393954034603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23329</v>
      </c>
      <c r="C4" s="25" t="n">
        <v>19.72</v>
      </c>
      <c r="D4" s="26" t="n">
        <v>0.0530303030303</v>
      </c>
      <c r="E4" s="26" t="n">
        <v>0.0392637770816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23446.8</v>
      </c>
      <c r="C5" s="25" t="n">
        <v>19.82</v>
      </c>
      <c r="D5" s="26" t="n">
        <v>0.0530303030303</v>
      </c>
      <c r="E5" s="26" t="n">
        <v>0.0391879043937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23063.1</v>
      </c>
      <c r="C6" s="25" t="n">
        <v>19.5</v>
      </c>
      <c r="D6" s="26" t="n">
        <v>0.0151515151515</v>
      </c>
      <c r="E6" s="26" t="n">
        <v>0.0389048494856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23140.5</v>
      </c>
      <c r="C7" s="25" t="n">
        <v>19.56</v>
      </c>
      <c r="D7" s="26" t="n">
        <v>0.0227272727273</v>
      </c>
      <c r="E7" s="26" t="n">
        <v>0.0389970587043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22780.25</v>
      </c>
      <c r="C8" s="25" t="n">
        <v>19.26</v>
      </c>
      <c r="D8" s="26" t="n">
        <v>0.00757575757576</v>
      </c>
      <c r="E8" s="26" t="n">
        <v>0.0391085852246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22716.2</v>
      </c>
      <c r="C9" s="25" t="n">
        <v>19.2</v>
      </c>
      <c r="D9" s="26" t="n">
        <v>0.00757575757576</v>
      </c>
      <c r="E9" s="26" t="n">
        <v>0.039299953183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22620.45</v>
      </c>
      <c r="C10" s="25" t="n">
        <v>19.36</v>
      </c>
      <c r="D10" s="26" t="n">
        <v>0.0149253731343</v>
      </c>
      <c r="E10" s="26" t="n">
        <v>0.0330557356855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22421.95</v>
      </c>
      <c r="C11" s="25" t="n">
        <v>19.19</v>
      </c>
      <c r="D11" s="26" t="n">
        <v>0.00746268656716</v>
      </c>
      <c r="E11" s="26" t="n">
        <v>0.0331035258267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22555.75</v>
      </c>
      <c r="C12" s="25" t="n">
        <v>19.3</v>
      </c>
      <c r="D12" s="26" t="n">
        <v>0.00746268656716</v>
      </c>
      <c r="E12" s="26" t="n">
        <v>0.0332869852949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22776.1</v>
      </c>
      <c r="C13" s="25" t="n">
        <v>19.49</v>
      </c>
      <c r="D13" s="26" t="n">
        <v>0.0223880597015</v>
      </c>
      <c r="E13" s="26" t="n">
        <v>0.0335755491315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22603.05</v>
      </c>
      <c r="C14" s="25" t="n">
        <v>19.34</v>
      </c>
      <c r="D14" s="26" t="n">
        <v>0.00746268656716</v>
      </c>
      <c r="E14" s="26" t="n">
        <v>0.0333471389531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22231.8</v>
      </c>
      <c r="C15" s="25" t="n">
        <v>19.02</v>
      </c>
      <c r="D15" s="26" t="n">
        <v>0.00746268656716</v>
      </c>
      <c r="E15" s="26" t="n">
        <v>0.0337055965036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22520.45</v>
      </c>
      <c r="C16" s="25" t="n">
        <v>19.27</v>
      </c>
      <c r="D16" s="26" t="n">
        <v>0.00746268656716</v>
      </c>
      <c r="E16" s="26" t="n">
        <v>0.0335435863488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22363.35</v>
      </c>
      <c r="C17" s="25" t="n">
        <v>19.12</v>
      </c>
      <c r="D17" s="26" t="n">
        <v>0.00746268656716</v>
      </c>
      <c r="E17" s="26" t="n">
        <v>0.0343125697184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22721.95</v>
      </c>
      <c r="C18" s="25" t="n">
        <v>19.41</v>
      </c>
      <c r="D18" s="26" t="n">
        <v>0.0223880597015</v>
      </c>
      <c r="E18" s="26" t="n">
        <v>0.03525658629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22622.7</v>
      </c>
      <c r="C19" s="25" t="n">
        <v>19.33</v>
      </c>
      <c r="D19" s="26" t="n">
        <v>0.00746268656716</v>
      </c>
      <c r="E19" s="26" t="n">
        <v>0.0346459672991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22997.35</v>
      </c>
      <c r="C20" s="25" t="n">
        <v>19.65</v>
      </c>
      <c r="D20" s="26" t="n">
        <v>0.0522388059701</v>
      </c>
      <c r="E20" s="26" t="n">
        <v>0.0347721849975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23146.15</v>
      </c>
      <c r="C21" s="25" t="n">
        <v>19.77</v>
      </c>
      <c r="D21" s="26" t="n">
        <v>0.0671641791045</v>
      </c>
      <c r="E21" s="26" t="n">
        <v>0.0387413912027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22888.95</v>
      </c>
      <c r="C22" s="25" t="n">
        <v>19.33</v>
      </c>
      <c r="D22" s="26" t="n">
        <v>0.00746268656716</v>
      </c>
      <c r="E22" s="26" t="n">
        <v>0.0491756275621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22811.35</v>
      </c>
      <c r="C23" s="25" t="n">
        <v>19.26</v>
      </c>
      <c r="D23" s="26" t="n">
        <v>0.00746268656716</v>
      </c>
      <c r="E23" s="26" t="n">
        <v>0.0411474508493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22687.65</v>
      </c>
      <c r="C24" s="25" t="n">
        <v>19.13</v>
      </c>
      <c r="D24" s="26" t="n">
        <v>0.00746268656716</v>
      </c>
      <c r="E24" s="26" t="n">
        <v>0.0425384436853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  <row r="25">
      <c r="A25" s="31" t="n">
        <v>46318</v>
      </c>
      <c r="B25" s="24" t="n">
        <v>22600</v>
      </c>
      <c r="C25" s="25" t="n">
        <v>19.05</v>
      </c>
      <c r="D25" s="26" t="n">
        <v>0.00746268656716</v>
      </c>
      <c r="E25" s="26" t="n">
        <v>0.0428700197516</v>
      </c>
      <c r="F25" s="34">
        <f>IF(D25="","",100*(1-D25))</f>
        <v/>
      </c>
      <c r="G25" s="34">
        <f>IF(E25="","",IF(E25&lt;=0,20,IF(E25&lt;5%,20+400*E25,IF(E25&lt;10%,40+400*(E25-5%),IF(E25&lt;15%,60+400*(E25-10%),IF(E25&lt;25%,80+200*(E25-15%),100))))))</f>
        <v/>
      </c>
      <c r="H25" s="34">
        <f>IF(OR(F25="",G25=""),"",70%*F25+30%*G25)</f>
        <v/>
      </c>
      <c r="I25">
        <f>IF(H25="","",IF(H25&gt;=70,"BUY",IF(H25&gt;=40,"HOLD","SELL")))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2" customWidth="1" min="3" max="3"/>
    <col width="32" customWidth="1" min="4" max="4"/>
    <col width="23" customWidth="1" min="5" max="5"/>
  </cols>
  <sheetData>
    <row r="1">
      <c r="A1" s="35" t="inlineStr">
        <is>
          <t>NIFTY 50 Composition</t>
        </is>
      </c>
    </row>
    <row r="2">
      <c r="A2" s="2" t="inlineStr">
        <is>
          <t>As of</t>
        </is>
      </c>
      <c r="B2" s="4" t="inlineStr">
        <is>
          <t>2026-09-30</t>
        </is>
      </c>
      <c r="D2" s="2" t="inlineStr">
        <is>
          <t>Weight coverage</t>
        </is>
      </c>
      <c r="E2" s="26" t="n">
        <v>1</v>
      </c>
    </row>
    <row r="3">
      <c r="A3" s="2" t="inlineStr">
        <is>
          <t>Source</t>
        </is>
      </c>
      <c r="B3" s="17" t="inlineStr">
        <is>
          <t>NSE Indices — Indices Market Capitalisation &amp; Weightage</t>
        </is>
      </c>
      <c r="D3" s="2" t="inlineStr">
        <is>
          <t>Top 10 weight</t>
        </is>
      </c>
      <c r="E3" s="26" t="n">
        <v>0.5227000000000001</v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HDFC Bank Ltd.</t>
        </is>
      </c>
      <c r="C6" t="inlineStr">
        <is>
          <t>HDFCBANK</t>
        </is>
      </c>
      <c r="D6" t="inlineStr">
        <is>
          <t>Financial Services</t>
        </is>
      </c>
      <c r="E6" s="37" t="n">
        <v>0.1038</v>
      </c>
    </row>
    <row r="7">
      <c r="A7" t="n">
        <v>2</v>
      </c>
      <c r="B7" t="inlineStr">
        <is>
          <t>ICICI Bank Ltd.</t>
        </is>
      </c>
      <c r="C7" t="inlineStr">
        <is>
          <t>ICICIBANK</t>
        </is>
      </c>
      <c r="D7" t="inlineStr">
        <is>
          <t>Financial Services</t>
        </is>
      </c>
      <c r="E7" s="37" t="n">
        <v>0.09050000000000001</v>
      </c>
    </row>
    <row r="8">
      <c r="A8" t="n">
        <v>3</v>
      </c>
      <c r="B8" t="inlineStr">
        <is>
          <t>Reliance Industries Ltd.</t>
        </is>
      </c>
      <c r="C8" t="inlineStr">
        <is>
          <t>RELIANCE</t>
        </is>
      </c>
      <c r="D8" t="inlineStr">
        <is>
          <t>Oil, Gas &amp; Consumable Fuels</t>
        </is>
      </c>
      <c r="E8" s="37" t="n">
        <v>0.07580000000000001</v>
      </c>
    </row>
    <row r="9">
      <c r="A9" t="n">
        <v>4</v>
      </c>
      <c r="B9" t="inlineStr">
        <is>
          <t>Bharti Airtel Ltd.</t>
        </is>
      </c>
      <c r="C9" t="inlineStr">
        <is>
          <t>BHARTIARTL</t>
        </is>
      </c>
      <c r="D9" t="inlineStr">
        <is>
          <t>Telecommunication</t>
        </is>
      </c>
      <c r="E9" s="37" t="n">
        <v>0.051</v>
      </c>
    </row>
    <row r="10">
      <c r="A10" t="n">
        <v>5</v>
      </c>
      <c r="B10" t="inlineStr">
        <is>
          <t>Larsen &amp; Toubro Ltd.</t>
        </is>
      </c>
      <c r="C10" t="inlineStr">
        <is>
          <t>LT</t>
        </is>
      </c>
      <c r="D10" t="inlineStr">
        <is>
          <t>Construction</t>
        </is>
      </c>
      <c r="E10" s="37" t="n">
        <v>0.042</v>
      </c>
    </row>
    <row r="11">
      <c r="A11" t="n">
        <v>6</v>
      </c>
      <c r="B11" t="inlineStr">
        <is>
          <t>State Bank of India</t>
        </is>
      </c>
      <c r="C11" t="inlineStr">
        <is>
          <t>SBIN</t>
        </is>
      </c>
      <c r="D11" t="inlineStr">
        <is>
          <t>Financial Services</t>
        </is>
      </c>
      <c r="E11" s="37" t="n">
        <v>0.0379</v>
      </c>
    </row>
    <row r="12">
      <c r="A12" t="n">
        <v>7</v>
      </c>
      <c r="B12" t="inlineStr">
        <is>
          <t>Axis Bank Ltd.</t>
        </is>
      </c>
      <c r="C12" t="inlineStr">
        <is>
          <t>AXISBANK</t>
        </is>
      </c>
      <c r="D12" t="inlineStr">
        <is>
          <t>Financial Services</t>
        </is>
      </c>
      <c r="E12" s="37" t="n">
        <v>0.0337</v>
      </c>
    </row>
    <row r="13">
      <c r="A13" t="n">
        <v>8</v>
      </c>
      <c r="B13" t="inlineStr">
        <is>
          <t>Infosys Ltd.</t>
        </is>
      </c>
      <c r="C13" t="inlineStr">
        <is>
          <t>INFY</t>
        </is>
      </c>
      <c r="D13" t="inlineStr">
        <is>
          <t>Information Technology</t>
        </is>
      </c>
      <c r="E13" s="37" t="n">
        <v>0.0335</v>
      </c>
    </row>
    <row r="14">
      <c r="A14" t="n">
        <v>9</v>
      </c>
      <c r="B14" t="inlineStr">
        <is>
          <t>Kotak Mahindra Bank Ltd.</t>
        </is>
      </c>
      <c r="C14" t="inlineStr">
        <is>
          <t>KOTAKBANK</t>
        </is>
      </c>
      <c r="D14" t="inlineStr">
        <is>
          <t>Financial Services</t>
        </is>
      </c>
      <c r="E14" s="37" t="n">
        <v>0.0293</v>
      </c>
    </row>
    <row r="15">
      <c r="A15" t="n">
        <v>10</v>
      </c>
      <c r="B15" t="inlineStr">
        <is>
          <t>Mahindra &amp; Mahindra Ltd.</t>
        </is>
      </c>
      <c r="C15" t="inlineStr">
        <is>
          <t>M&amp;M</t>
        </is>
      </c>
      <c r="D15" t="inlineStr">
        <is>
          <t>Automobile and Auto Components</t>
        </is>
      </c>
      <c r="E15" s="37" t="n">
        <v>0.0252</v>
      </c>
    </row>
    <row r="16">
      <c r="A16" t="n">
        <v>11</v>
      </c>
      <c r="B16" t="inlineStr">
        <is>
          <t>Bajaj Finance Ltd.</t>
        </is>
      </c>
      <c r="C16" t="inlineStr">
        <is>
          <t>BAJFINANCE</t>
        </is>
      </c>
      <c r="D16" t="inlineStr">
        <is>
          <t>Financial Services</t>
        </is>
      </c>
      <c r="E16" s="37" t="n">
        <v>0.025</v>
      </c>
    </row>
    <row r="17">
      <c r="A17" t="n">
        <v>12</v>
      </c>
      <c r="B17" t="inlineStr">
        <is>
          <t>ITC Ltd.</t>
        </is>
      </c>
      <c r="C17" t="inlineStr">
        <is>
          <t>ITC</t>
        </is>
      </c>
      <c r="D17" t="inlineStr">
        <is>
          <t>Fast Moving Consumer Goods</t>
        </is>
      </c>
      <c r="E17" s="37" t="n">
        <v>0.0242</v>
      </c>
    </row>
    <row r="18">
      <c r="A18" t="n">
        <v>13</v>
      </c>
      <c r="B18" t="inlineStr">
        <is>
          <t>Eternal Ltd.</t>
        </is>
      </c>
      <c r="C18" t="inlineStr">
        <is>
          <t>ETERNAL</t>
        </is>
      </c>
      <c r="D18" t="inlineStr">
        <is>
          <t>Consumer Services</t>
        </is>
      </c>
      <c r="E18" s="37" t="n">
        <v>0.0222</v>
      </c>
    </row>
    <row r="19">
      <c r="A19" t="n">
        <v>14</v>
      </c>
      <c r="B19" t="inlineStr">
        <is>
          <t>Tata Consultancy Services Ltd.</t>
        </is>
      </c>
      <c r="C19" t="inlineStr">
        <is>
          <t>TCS</t>
        </is>
      </c>
      <c r="D19" t="inlineStr">
        <is>
          <t>Information Technology</t>
        </is>
      </c>
      <c r="E19" s="37" t="n">
        <v>0.02</v>
      </c>
    </row>
    <row r="20">
      <c r="A20" t="n">
        <v>15</v>
      </c>
      <c r="B20" t="inlineStr">
        <is>
          <t>Sun Pharmaceutical Industries Ltd.</t>
        </is>
      </c>
      <c r="C20" t="inlineStr">
        <is>
          <t>SUNPHARMA</t>
        </is>
      </c>
      <c r="D20" t="inlineStr">
        <is>
          <t>Healthcare</t>
        </is>
      </c>
      <c r="E20" s="37" t="n">
        <v>0.0184</v>
      </c>
    </row>
    <row r="21">
      <c r="A21" t="n">
        <v>16</v>
      </c>
      <c r="B21" t="inlineStr">
        <is>
          <t>Titan Company Ltd.</t>
        </is>
      </c>
      <c r="C21" t="inlineStr">
        <is>
          <t>TITAN</t>
        </is>
      </c>
      <c r="D21" t="inlineStr">
        <is>
          <t>Consumer Durables</t>
        </is>
      </c>
      <c r="E21" s="37" t="n">
        <v>0.0181</v>
      </c>
    </row>
    <row r="22">
      <c r="A22" t="n">
        <v>17</v>
      </c>
      <c r="B22" t="inlineStr">
        <is>
          <t>Hindustan Unilever Ltd.</t>
        </is>
      </c>
      <c r="C22" t="inlineStr">
        <is>
          <t>HINDUNILVR</t>
        </is>
      </c>
      <c r="D22" t="inlineStr">
        <is>
          <t>Fast Moving Consumer Goods</t>
        </is>
      </c>
      <c r="E22" s="37" t="n">
        <v>0.0159</v>
      </c>
    </row>
    <row r="23">
      <c r="A23" t="n">
        <v>18</v>
      </c>
      <c r="B23" t="inlineStr">
        <is>
          <t>Maruti Suzuki India Ltd.</t>
        </is>
      </c>
      <c r="C23" t="inlineStr">
        <is>
          <t>MARUTI</t>
        </is>
      </c>
      <c r="D23" t="inlineStr">
        <is>
          <t>Automobile and Auto Components</t>
        </is>
      </c>
      <c r="E23" s="37" t="n">
        <v>0.0149</v>
      </c>
    </row>
    <row r="24">
      <c r="A24" t="n">
        <v>19</v>
      </c>
      <c r="B24" t="inlineStr">
        <is>
          <t>NTPC Ltd.</t>
        </is>
      </c>
      <c r="C24" t="inlineStr">
        <is>
          <t>NTPC</t>
        </is>
      </c>
      <c r="D24" t="inlineStr">
        <is>
          <t>Power</t>
        </is>
      </c>
      <c r="E24" s="37" t="n">
        <v>0.0147</v>
      </c>
    </row>
    <row r="25">
      <c r="A25" t="n">
        <v>20</v>
      </c>
      <c r="B25" t="inlineStr">
        <is>
          <t>Tata Steel Ltd.</t>
        </is>
      </c>
      <c r="C25" t="inlineStr">
        <is>
          <t>TATASTEEL</t>
        </is>
      </c>
      <c r="D25" t="inlineStr">
        <is>
          <t>Metals &amp; Mining</t>
        </is>
      </c>
      <c r="E25" s="37" t="n">
        <v>0.0146</v>
      </c>
    </row>
    <row r="26">
      <c r="A26" t="n">
        <v>21</v>
      </c>
      <c r="B26" t="inlineStr">
        <is>
          <t>Adani Ports and Special Economic Zone Ltd.</t>
        </is>
      </c>
      <c r="C26" t="inlineStr">
        <is>
          <t>ADANIPORTS</t>
        </is>
      </c>
      <c r="D26" t="inlineStr">
        <is>
          <t>Services</t>
        </is>
      </c>
      <c r="E26" s="37" t="n">
        <v>0.0135</v>
      </c>
    </row>
    <row r="27">
      <c r="A27" t="n">
        <v>22</v>
      </c>
      <c r="B27" t="inlineStr">
        <is>
          <t>Bharat Electronics Ltd.</t>
        </is>
      </c>
      <c r="C27" t="inlineStr">
        <is>
          <t>BEL</t>
        </is>
      </c>
      <c r="D27" t="inlineStr">
        <is>
          <t>Capital Goods</t>
        </is>
      </c>
      <c r="E27" s="37" t="n">
        <v>0.0133</v>
      </c>
    </row>
    <row r="28">
      <c r="A28" t="n">
        <v>23</v>
      </c>
      <c r="B28" t="inlineStr">
        <is>
          <t>Shriram Finance Ltd.</t>
        </is>
      </c>
      <c r="C28" t="inlineStr">
        <is>
          <t>SHRIRAMFIN</t>
        </is>
      </c>
      <c r="D28" t="inlineStr">
        <is>
          <t>Financial Services</t>
        </is>
      </c>
      <c r="E28" s="37" t="n">
        <v>0.0132</v>
      </c>
    </row>
    <row r="29">
      <c r="A29" t="n">
        <v>24</v>
      </c>
      <c r="B29" t="inlineStr">
        <is>
          <t>Hindalco Industries Ltd.</t>
        </is>
      </c>
      <c r="C29" t="inlineStr">
        <is>
          <t>HINDALCO</t>
        </is>
      </c>
      <c r="D29" t="inlineStr">
        <is>
          <t>Metals &amp; Mining</t>
        </is>
      </c>
      <c r="E29" s="37" t="n">
        <v>0.013</v>
      </c>
    </row>
    <row r="30">
      <c r="A30" t="n">
        <v>25</v>
      </c>
      <c r="B30" t="inlineStr">
        <is>
          <t>HCL Technologies Ltd.</t>
        </is>
      </c>
      <c r="C30" t="inlineStr">
        <is>
          <t>HCLTECH</t>
        </is>
      </c>
      <c r="D30" t="inlineStr">
        <is>
          <t>Information Technology</t>
        </is>
      </c>
      <c r="E30" s="37" t="n">
        <v>0.0124</v>
      </c>
    </row>
    <row r="31">
      <c r="A31" t="n">
        <v>26</v>
      </c>
      <c r="B31" t="inlineStr">
        <is>
          <t>UltraTech Cement Ltd.</t>
        </is>
      </c>
      <c r="C31" t="inlineStr">
        <is>
          <t>ULTRACEMCO</t>
        </is>
      </c>
      <c r="D31" t="inlineStr">
        <is>
          <t>Construction Materials</t>
        </is>
      </c>
      <c r="E31" s="37" t="n">
        <v>0.0124</v>
      </c>
    </row>
    <row r="32">
      <c r="A32" t="n">
        <v>27</v>
      </c>
      <c r="B32" t="inlineStr">
        <is>
          <t>BSE Ltd.</t>
        </is>
      </c>
      <c r="C32" t="inlineStr">
        <is>
          <t>BSE</t>
        </is>
      </c>
      <c r="D32" t="inlineStr">
        <is>
          <t>Financial Services</t>
        </is>
      </c>
      <c r="E32" s="37" t="n">
        <v>0.0121</v>
      </c>
    </row>
    <row r="33">
      <c r="A33" t="n">
        <v>28</v>
      </c>
      <c r="B33" t="inlineStr">
        <is>
          <t>JSW Steel Ltd.</t>
        </is>
      </c>
      <c r="C33" t="inlineStr">
        <is>
          <t>JSWSTEEL</t>
        </is>
      </c>
      <c r="D33" t="inlineStr">
        <is>
          <t>Metals &amp; Mining</t>
        </is>
      </c>
      <c r="E33" s="37" t="n">
        <v>0.0115</v>
      </c>
    </row>
    <row r="34">
      <c r="A34" t="n">
        <v>29</v>
      </c>
      <c r="B34" t="inlineStr">
        <is>
          <t>Bajaj Auto Ltd.</t>
        </is>
      </c>
      <c r="C34" t="inlineStr">
        <is>
          <t>BAJAJ-AUTO</t>
        </is>
      </c>
      <c r="D34" t="inlineStr">
        <is>
          <t>Automobile and Auto Components</t>
        </is>
      </c>
      <c r="E34" s="37" t="n">
        <v>0.0113</v>
      </c>
    </row>
    <row r="35">
      <c r="A35" t="n">
        <v>30</v>
      </c>
      <c r="B35" t="inlineStr">
        <is>
          <t>Power Grid Corporation of India Ltd.</t>
        </is>
      </c>
      <c r="C35" t="inlineStr">
        <is>
          <t>POWERGRID</t>
        </is>
      </c>
      <c r="D35" t="inlineStr">
        <is>
          <t>Power</t>
        </is>
      </c>
      <c r="E35" s="37" t="n">
        <v>0.0113</v>
      </c>
    </row>
    <row r="36">
      <c r="A36" t="n">
        <v>31</v>
      </c>
      <c r="B36" t="inlineStr">
        <is>
          <t>Grasim Industries Ltd.</t>
        </is>
      </c>
      <c r="C36" t="inlineStr">
        <is>
          <t>GRASIM</t>
        </is>
      </c>
      <c r="D36" t="inlineStr">
        <is>
          <t>Construction Materials</t>
        </is>
      </c>
      <c r="E36" s="37" t="n">
        <v>0.011</v>
      </c>
    </row>
    <row r="37">
      <c r="A37" t="n">
        <v>32</v>
      </c>
      <c r="B37" t="inlineStr">
        <is>
          <t>InterGlobe Aviation Ltd.</t>
        </is>
      </c>
      <c r="C37" t="inlineStr">
        <is>
          <t>INDIGO</t>
        </is>
      </c>
      <c r="D37" t="inlineStr">
        <is>
          <t>Services</t>
        </is>
      </c>
      <c r="E37" s="37" t="n">
        <v>0.0108</v>
      </c>
    </row>
    <row r="38">
      <c r="A38" t="n">
        <v>33</v>
      </c>
      <c r="B38" t="inlineStr">
        <is>
          <t>Asian Paints Ltd.</t>
        </is>
      </c>
      <c r="C38" t="inlineStr">
        <is>
          <t>ASIANPAINT</t>
        </is>
      </c>
      <c r="D38" t="inlineStr">
        <is>
          <t>Consumer Durables</t>
        </is>
      </c>
      <c r="E38" s="37" t="n">
        <v>0.0104</v>
      </c>
    </row>
    <row r="39">
      <c r="A39" t="n">
        <v>34</v>
      </c>
      <c r="B39" t="inlineStr">
        <is>
          <t>Coal India Ltd.</t>
        </is>
      </c>
      <c r="C39" t="inlineStr">
        <is>
          <t>COALINDIA</t>
        </is>
      </c>
      <c r="D39" t="inlineStr">
        <is>
          <t>Oil, Gas &amp; Consumable Fuels</t>
        </is>
      </c>
      <c r="E39" s="37" t="n">
        <v>0.0097</v>
      </c>
    </row>
    <row r="40">
      <c r="A40" t="n">
        <v>35</v>
      </c>
      <c r="B40" t="inlineStr">
        <is>
          <t>Bajaj Finserv Ltd.</t>
        </is>
      </c>
      <c r="C40" t="inlineStr">
        <is>
          <t>BAJAJFINSV</t>
        </is>
      </c>
      <c r="D40" t="inlineStr">
        <is>
          <t>Financial Services</t>
        </is>
      </c>
      <c r="E40" s="37" t="n">
        <v>0.009599999999999999</v>
      </c>
    </row>
    <row r="41">
      <c r="A41" t="n">
        <v>36</v>
      </c>
      <c r="B41" t="inlineStr">
        <is>
          <t>Adani Enterprises Ltd.</t>
        </is>
      </c>
      <c r="C41" t="inlineStr">
        <is>
          <t>ADANIENT</t>
        </is>
      </c>
      <c r="D41" t="inlineStr">
        <is>
          <t>Metals &amp; Mining</t>
        </is>
      </c>
      <c r="E41" s="37" t="n">
        <v>0.009399999999999999</v>
      </c>
    </row>
    <row r="42">
      <c r="A42" t="n">
        <v>37</v>
      </c>
      <c r="B42" t="inlineStr">
        <is>
          <t>Eicher Motors Ltd.</t>
        </is>
      </c>
      <c r="C42" t="inlineStr">
        <is>
          <t>EICHERMOT</t>
        </is>
      </c>
      <c r="D42" t="inlineStr">
        <is>
          <t>Automobile and Auto Components</t>
        </is>
      </c>
      <c r="E42" s="37" t="n">
        <v>0.009399999999999999</v>
      </c>
    </row>
    <row r="43">
      <c r="A43" t="n">
        <v>38</v>
      </c>
      <c r="B43" t="inlineStr">
        <is>
          <t>Tech Mahindra Ltd.</t>
        </is>
      </c>
      <c r="C43" t="inlineStr">
        <is>
          <t>TECHM</t>
        </is>
      </c>
      <c r="D43" t="inlineStr">
        <is>
          <t>Information Technology</t>
        </is>
      </c>
      <c r="E43" s="37" t="n">
        <v>0.0092</v>
      </c>
    </row>
    <row r="44">
      <c r="A44" t="n">
        <v>39</v>
      </c>
      <c r="B44" t="inlineStr">
        <is>
          <t>Nestle India Ltd.</t>
        </is>
      </c>
      <c r="C44" t="inlineStr">
        <is>
          <t>NESTLEIND</t>
        </is>
      </c>
      <c r="D44" t="inlineStr">
        <is>
          <t>Fast Moving Consumer Goods</t>
        </is>
      </c>
      <c r="E44" s="37" t="n">
        <v>0.009000000000000001</v>
      </c>
    </row>
    <row r="45">
      <c r="A45" t="n">
        <v>40</v>
      </c>
      <c r="B45" t="inlineStr">
        <is>
          <t>Oil &amp; Natural Gas Corporation Ltd.</t>
        </is>
      </c>
      <c r="C45" t="inlineStr">
        <is>
          <t>ONGC</t>
        </is>
      </c>
      <c r="D45" t="inlineStr">
        <is>
          <t>Oil, Gas &amp; Consumable Fuels</t>
        </is>
      </c>
      <c r="E45" s="37" t="n">
        <v>0.008399999999999999</v>
      </c>
    </row>
    <row r="46">
      <c r="A46" t="n">
        <v>41</v>
      </c>
      <c r="B46" t="inlineStr">
        <is>
          <t>Trent Ltd.</t>
        </is>
      </c>
      <c r="C46" t="inlineStr">
        <is>
          <t>TRENT</t>
        </is>
      </c>
      <c r="D46" t="inlineStr">
        <is>
          <t>Consumer Services</t>
        </is>
      </c>
      <c r="E46" s="37" t="n">
        <v>0.0083</v>
      </c>
    </row>
    <row r="47">
      <c r="A47" t="n">
        <v>42</v>
      </c>
      <c r="B47" t="inlineStr">
        <is>
          <t>Apollo Hospitals Enterprise Ltd.</t>
        </is>
      </c>
      <c r="C47" t="inlineStr">
        <is>
          <t>APOLLOHOSP</t>
        </is>
      </c>
      <c r="D47" t="inlineStr">
        <is>
          <t>Healthcare</t>
        </is>
      </c>
      <c r="E47" s="37" t="n">
        <v>0.008</v>
      </c>
    </row>
    <row r="48">
      <c r="A48" t="n">
        <v>43</v>
      </c>
      <c r="B48" t="inlineStr">
        <is>
          <t>SBI Life Insurance Company Ltd.</t>
        </is>
      </c>
      <c r="C48" t="inlineStr">
        <is>
          <t>SBILIFE</t>
        </is>
      </c>
      <c r="D48" t="inlineStr">
        <is>
          <t>Financial Services</t>
        </is>
      </c>
      <c r="E48" s="37" t="n">
        <v>0.0073</v>
      </c>
    </row>
    <row r="49">
      <c r="A49" t="n">
        <v>44</v>
      </c>
      <c r="B49" t="inlineStr">
        <is>
          <t>Cipla Ltd.</t>
        </is>
      </c>
      <c r="C49" t="inlineStr">
        <is>
          <t>CIPLA</t>
        </is>
      </c>
      <c r="D49" t="inlineStr">
        <is>
          <t>Healthcare</t>
        </is>
      </c>
      <c r="E49" s="37" t="n">
        <v>0.0072</v>
      </c>
    </row>
    <row r="50">
      <c r="A50" t="n">
        <v>45</v>
      </c>
      <c r="B50" t="inlineStr">
        <is>
          <t>Dr. Reddy's Laboratories Ltd.</t>
        </is>
      </c>
      <c r="C50" t="inlineStr">
        <is>
          <t>DRREDDY</t>
        </is>
      </c>
      <c r="D50" t="inlineStr">
        <is>
          <t>Healthcare</t>
        </is>
      </c>
      <c r="E50" s="37" t="n">
        <v>0.0072</v>
      </c>
    </row>
    <row r="51">
      <c r="A51" t="n">
        <v>46</v>
      </c>
      <c r="B51" t="inlineStr">
        <is>
          <t>Jio Financial Services Ltd.</t>
        </is>
      </c>
      <c r="C51" t="inlineStr">
        <is>
          <t>JIOFIN</t>
        </is>
      </c>
      <c r="D51" t="inlineStr">
        <is>
          <t>Financial Services</t>
        </is>
      </c>
      <c r="E51" s="37" t="n">
        <v>0.0068</v>
      </c>
    </row>
    <row r="52">
      <c r="A52" t="n">
        <v>47</v>
      </c>
      <c r="B52" t="inlineStr">
        <is>
          <t>Max Healthcare Institute Ltd.</t>
        </is>
      </c>
      <c r="C52" t="inlineStr">
        <is>
          <t>MAXHEALTH</t>
        </is>
      </c>
      <c r="D52" t="inlineStr">
        <is>
          <t>Healthcare</t>
        </is>
      </c>
      <c r="E52" s="37" t="n">
        <v>0.0066</v>
      </c>
    </row>
    <row r="53">
      <c r="A53" t="n">
        <v>48</v>
      </c>
      <c r="B53" t="inlineStr">
        <is>
          <t>Tata Consumer Products Ltd.</t>
        </is>
      </c>
      <c r="C53" t="inlineStr">
        <is>
          <t>TATACONSUM</t>
        </is>
      </c>
      <c r="D53" t="inlineStr">
        <is>
          <t>Fast Moving Consumer Goods</t>
        </is>
      </c>
      <c r="E53" s="37" t="n">
        <v>0.0059</v>
      </c>
    </row>
    <row r="54">
      <c r="A54" t="n">
        <v>49</v>
      </c>
      <c r="B54" t="inlineStr">
        <is>
          <t>Tata Motors Passenger Vehicles Ltd.</t>
        </is>
      </c>
      <c r="C54" t="inlineStr">
        <is>
          <t>TMPV</t>
        </is>
      </c>
      <c r="D54" t="inlineStr">
        <is>
          <t>Automobile and Auto Components</t>
        </is>
      </c>
      <c r="E54" s="37" t="n">
        <v>0.005699999999999999</v>
      </c>
    </row>
    <row r="55">
      <c r="A55" t="n">
        <v>50</v>
      </c>
      <c r="B55" t="inlineStr">
        <is>
          <t>HDFC Life Insurance Company Ltd.</t>
        </is>
      </c>
      <c r="C55" t="inlineStr">
        <is>
          <t>HDFCLIFE</t>
        </is>
      </c>
      <c r="D55" t="inlineStr">
        <is>
          <t>Financial Services</t>
        </is>
      </c>
      <c r="E55" s="37" t="n">
        <v>0.0054</v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2026-10-23T17:27:46Z</dcterms:created>
  <dcterms:modified xsi:type="dcterms:W3CDTF">2026-10-23T17:28:14Z</dcterms:modified>
</cp:coreProperties>
</file>