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2" customWidth="1" min="4" max="4"/>
    <col width="21" customWidth="1" min="5" max="5"/>
    <col width="17" customWidth="1" min="6" max="6"/>
    <col width="19" customWidth="1" min="7" max="7"/>
  </cols>
  <sheetData>
    <row r="1" ht="26" customHeight="1">
      <c r="A1" s="1" t="inlineStr">
        <is>
          <t>NIFTY Healthcare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Sectoral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16613.9</v>
      </c>
      <c r="D5" s="2" t="inlineStr">
        <is>
          <t>P/E</t>
        </is>
      </c>
      <c r="E5" s="7" t="n">
        <v>43.53</v>
      </c>
    </row>
    <row r="6">
      <c r="A6" s="2" t="inlineStr">
        <is>
          <t>P/E percentile</t>
        </is>
      </c>
      <c r="B6" s="8" t="n">
        <v>0.9318181818181818</v>
      </c>
      <c r="D6" s="2" t="inlineStr">
        <is>
          <t>Implied EPS</t>
        </is>
      </c>
      <c r="E6" s="9" t="n">
        <v>381.6655180335401</v>
      </c>
    </row>
    <row r="7">
      <c r="A7" s="2" t="inlineStr">
        <is>
          <t>YoY implied EPS growth</t>
        </is>
      </c>
      <c r="B7" s="8" t="n">
        <v>-0.01032599774139142</v>
      </c>
      <c r="D7" s="2" t="inlineStr">
        <is>
          <t>Earnings yield</t>
        </is>
      </c>
      <c r="E7" s="10" t="n">
        <v>0.02297266253158741</v>
      </c>
    </row>
    <row r="8">
      <c r="A8" s="2" t="inlineStr">
        <is>
          <t>Valuation score</t>
        </is>
      </c>
      <c r="B8" s="11" t="n">
        <v>6.818181818181824</v>
      </c>
      <c r="D8" s="2" t="inlineStr">
        <is>
          <t>Growth score</t>
        </is>
      </c>
      <c r="E8" s="11" t="n">
        <v>20</v>
      </c>
    </row>
    <row r="9">
      <c r="A9" s="2" t="inlineStr">
        <is>
          <t>Composite score</t>
        </is>
      </c>
      <c r="B9" s="11" t="n">
        <v>10.77272727272728</v>
      </c>
      <c r="D9" s="2" t="inlineStr">
        <is>
          <t>Signal</t>
        </is>
      </c>
      <c r="E9" s="12" t="inlineStr">
        <is>
          <t>SELL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33.46571428571428</v>
      </c>
      <c r="C13" s="15" t="n">
        <v>12772.70917921959</v>
      </c>
      <c r="D13" s="16" t="n">
        <v>-0.2312034393357618</v>
      </c>
    </row>
    <row r="14">
      <c r="A14" t="inlineStr">
        <is>
          <t>HOLD → SELL</t>
        </is>
      </c>
      <c r="B14" s="14" t="n">
        <v>37.74142857142857</v>
      </c>
      <c r="C14" s="15" t="n">
        <v>14404.60188704014</v>
      </c>
      <c r="D14" s="16" t="n">
        <v>-0.1329788979685602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4</v>
      </c>
      <c r="C18" s="16" t="n">
        <v>-0.09283407342370842</v>
      </c>
      <c r="D18" s="16" t="n">
        <v>0.1828720148514215</v>
      </c>
      <c r="E18" s="16" t="n"/>
      <c r="F18" s="16" t="n"/>
      <c r="G18" s="16" t="n">
        <v>0</v>
      </c>
    </row>
    <row r="19">
      <c r="A19" t="inlineStr">
        <is>
          <t>Q2</t>
        </is>
      </c>
      <c r="B19" t="n">
        <v>4</v>
      </c>
      <c r="C19" s="16" t="n">
        <v>0.3294923388407029</v>
      </c>
      <c r="D19" s="16" t="n">
        <v>0.2230870731268912</v>
      </c>
      <c r="E19" s="16" t="n">
        <v>0.1414616104451107</v>
      </c>
      <c r="F19" s="16" t="n"/>
      <c r="G19" s="16" t="n">
        <v>0</v>
      </c>
    </row>
    <row r="20">
      <c r="A20" t="inlineStr">
        <is>
          <t>Q3</t>
        </is>
      </c>
      <c r="B20" t="n">
        <v>5</v>
      </c>
      <c r="C20" s="16" t="n">
        <v>0.1897816535747572</v>
      </c>
      <c r="D20" s="16" t="n">
        <v>0.2441179286891473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0.1107322993640273</v>
      </c>
      <c r="D21" s="16" t="n">
        <v>0.1626382534373366</v>
      </c>
      <c r="E21" s="16" t="n">
        <v>0.1291795657372694</v>
      </c>
      <c r="F21" s="16" t="n"/>
      <c r="G21" s="16" t="n">
        <v>0</v>
      </c>
    </row>
    <row r="22">
      <c r="A22" t="inlineStr">
        <is>
          <t>Q5 Most Expensive</t>
        </is>
      </c>
      <c r="B22" t="n">
        <v>6</v>
      </c>
      <c r="C22" s="16" t="n">
        <v>0.1345020026037995</v>
      </c>
      <c r="D22" s="16" t="n">
        <v>0.1195475363731768</v>
      </c>
      <c r="E22" s="16" t="n">
        <v>0.1406772528297007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23</v>
      </c>
    </row>
    <row r="27">
      <c r="A27" s="2" t="inlineStr">
        <is>
          <t>Backtest start</t>
        </is>
      </c>
      <c r="B27" t="inlineStr">
        <is>
          <t>2020-12-31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8069.03</v>
      </c>
      <c r="C2" s="7" t="n">
        <v>38.29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8415.23</v>
      </c>
      <c r="C3" s="7" t="n">
        <v>38.48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8791.879999999999</v>
      </c>
      <c r="C4" s="7" t="n">
        <v>39.85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8923.040000000001</v>
      </c>
      <c r="C5" s="7" t="n">
        <v>40.88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9163.25</v>
      </c>
      <c r="C6" s="7" t="n">
        <v>33.72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8978.4</v>
      </c>
      <c r="C7" s="7" t="n">
        <v>32.38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8612.75</v>
      </c>
      <c r="C8" s="7" t="n">
        <v>31.02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8792.049999999999</v>
      </c>
      <c r="C9" s="7" t="n">
        <v>34.04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8968.700000000001</v>
      </c>
      <c r="C10" s="7" t="n">
        <v>34.73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8233.549999999999</v>
      </c>
      <c r="C11" s="7" t="n">
        <v>32.07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8103.15</v>
      </c>
      <c r="C12" s="7" t="n">
        <v>32.49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8471.6</v>
      </c>
      <c r="C13" s="7" t="n">
        <v>33.65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8411.799999999999</v>
      </c>
      <c r="C14" s="7" t="n">
        <v>33.42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7807.45</v>
      </c>
      <c r="C15" s="7" t="n">
        <v>33.69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7511</v>
      </c>
      <c r="C16" s="7" t="n">
        <v>36.51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8017.55</v>
      </c>
      <c r="C17" s="7" t="n">
        <v>38.88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8014.1</v>
      </c>
      <c r="C18" s="7" t="n">
        <v>38.85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8212.299999999999</v>
      </c>
      <c r="C19" s="7" t="n">
        <v>39.51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8401.85</v>
      </c>
      <c r="C20" s="7" t="n">
        <v>40.27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8379.6</v>
      </c>
      <c r="C21" s="7" t="n">
        <v>37.1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8001.4</v>
      </c>
      <c r="C22" s="7" t="n">
        <v>35.4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7841.9</v>
      </c>
      <c r="C23" s="7" t="n">
        <v>33.5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7498.5</v>
      </c>
      <c r="C24" s="7" t="n">
        <v>33.73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7621.55</v>
      </c>
      <c r="C25" s="7" t="n">
        <v>35.26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8013.55</v>
      </c>
      <c r="C26" s="7" t="n">
        <v>37.08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8210.6</v>
      </c>
      <c r="C27" s="7" t="n">
        <v>32.05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8936.450000000001</v>
      </c>
      <c r="C28" s="7" t="n">
        <v>34.66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9563.299999999999</v>
      </c>
      <c r="C29" s="7" t="n">
        <v>36.65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9478.65</v>
      </c>
      <c r="C30" s="7" t="n">
        <v>35.83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9719.049999999999</v>
      </c>
      <c r="C31" s="7" t="n">
        <v>36.75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9255.65</v>
      </c>
      <c r="C32" s="7" t="n">
        <v>34.2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10289.45</v>
      </c>
      <c r="C33" s="7" t="n">
        <v>37.57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10637.8</v>
      </c>
      <c r="C34" s="7" t="n">
        <v>38.86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11421.85</v>
      </c>
      <c r="C35" s="7" t="n">
        <v>41.62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11950.95</v>
      </c>
      <c r="C36" s="7" t="n">
        <v>41.15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12059.3</v>
      </c>
      <c r="C37" s="7" t="n">
        <v>41.53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11974.5</v>
      </c>
      <c r="C38" s="7" t="n">
        <v>41.28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11795.1</v>
      </c>
      <c r="C39" s="7" t="n">
        <v>38.58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12576.25</v>
      </c>
      <c r="C40" s="7" t="n">
        <v>40.81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13750.75</v>
      </c>
      <c r="C41" s="7" t="n">
        <v>44.37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14506.85</v>
      </c>
      <c r="C42" s="7" t="n">
        <v>43.38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14752.2</v>
      </c>
      <c r="C43" s="7" t="n">
        <v>44.01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14428.3</v>
      </c>
      <c r="C44" s="7" t="n">
        <v>42.43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14127.05</v>
      </c>
      <c r="C45" s="7" t="n">
        <v>40.07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14951.7</v>
      </c>
      <c r="C46" s="7" t="n">
        <v>42.41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13788.1</v>
      </c>
      <c r="C47" s="7" t="n">
        <v>38.35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12685.5</v>
      </c>
      <c r="C48" s="7" t="n">
        <v>34.21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13681.3</v>
      </c>
      <c r="C49" s="7" t="n">
        <v>37.62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14053.6</v>
      </c>
      <c r="C50" s="7" t="n">
        <v>38.47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13890.4</v>
      </c>
      <c r="C51" s="7" t="n">
        <v>36.14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14463.8</v>
      </c>
      <c r="C52" s="7" t="n">
        <v>37.47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14880.25</v>
      </c>
      <c r="C53" s="7" t="n">
        <v>38.17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14350.3</v>
      </c>
      <c r="C54" s="7" t="n">
        <v>37.22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14139.05</v>
      </c>
      <c r="C55" s="7" t="n">
        <v>37.17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14693.3</v>
      </c>
      <c r="C56" s="7" t="n">
        <v>38.37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15031.25</v>
      </c>
      <c r="C57" s="7" t="n">
        <v>37.72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14639.9</v>
      </c>
      <c r="C58" s="7" t="n">
        <v>36.72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13893.85</v>
      </c>
      <c r="C59" s="7" t="n">
        <v>35.99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14871.1</v>
      </c>
      <c r="C60" s="7" t="n">
        <v>37.77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14201.05</v>
      </c>
      <c r="C61" s="7" t="n">
        <v>36.07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14918.4</v>
      </c>
      <c r="C62" s="7" t="n">
        <v>37.89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15392.75</v>
      </c>
      <c r="C63" s="7" t="n">
        <v>40.28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16139.75</v>
      </c>
      <c r="C64" s="7" t="n">
        <v>41.81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16755.5</v>
      </c>
      <c r="C65" s="7" t="n">
        <v>45.6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16941.5</v>
      </c>
      <c r="C66" s="7" t="n">
        <v>44.39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1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44196</v>
      </c>
      <c r="B2" s="6" t="n">
        <v>7580.96</v>
      </c>
      <c r="C2" s="7" t="n">
        <v>39.58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IF(C2="","",(COUNTIFS($D$2:$D$24,D2,$C$2:$C$24,"&gt;0",$C$2:$C$24,"&lt;"&amp;C2)+(COUNTIFS($D$2:$D$24,D2,$C$2:$C$24,C2)+1)/2)/COUNTIFS($D$2:$D$24,D2,$C$2:$C$24,"&gt;0"))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44286</v>
      </c>
      <c r="B3" s="6" t="n">
        <v>7328.48</v>
      </c>
      <c r="C3" s="7" t="n">
        <v>34.85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IF(C3="","",(COUNTIFS($D$2:$D$24,D3,$C$2:$C$24,"&gt;0",$C$2:$C$24,"&lt;"&amp;C3)+(COUNTIFS($D$2:$D$24,D3,$C$2:$C$24,C3)+1)/2)/COUNTIFS($D$2:$D$24,D3,$C$2:$C$24,"&gt;0"))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44377</v>
      </c>
      <c r="B4" s="6" t="n">
        <v>8791.879999999999</v>
      </c>
      <c r="C4" s="7" t="n">
        <v>39.85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IF(C4="","",(COUNTIFS($D$2:$D$24,D4,$C$2:$C$24,"&gt;0",$C$2:$C$24,"&lt;"&amp;C4)+(COUNTIFS($D$2:$D$24,D4,$C$2:$C$24,C4)+1)/2)/COUNTIFS($D$2:$D$24,D4,$C$2:$C$24,"&gt;0"))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44469</v>
      </c>
      <c r="B5" s="6" t="n">
        <v>8978.4</v>
      </c>
      <c r="C5" s="7" t="n">
        <v>32.38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IF(C5="","",(COUNTIFS($D$2:$D$24,D5,$C$2:$C$24,"&gt;0",$C$2:$C$24,"&lt;"&amp;C5)+(COUNTIFS($D$2:$D$24,D5,$C$2:$C$24,C5)+1)/2)/COUNTIFS($D$2:$D$24,D5,$C$2:$C$24,"&gt;0"))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44561</v>
      </c>
      <c r="B6" s="6" t="n">
        <v>8968.700000000001</v>
      </c>
      <c r="C6" s="7" t="n">
        <v>34.73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IF(C6="","",(COUNTIFS($D$2:$D$24,D6,$C$2:$C$24,"&gt;0",$C$2:$C$24,"&lt;"&amp;C6)+(COUNTIFS($D$2:$D$24,D6,$C$2:$C$24,C6)+1)/2)/COUNTIFS($D$2:$D$24,D6,$C$2:$C$24,"&gt;0"))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44651</v>
      </c>
      <c r="B7" s="6" t="n">
        <v>8471.6</v>
      </c>
      <c r="C7" s="7" t="n">
        <v>33.65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IF(C7="","",(COUNTIFS($D$2:$D$24,D7,$C$2:$C$24,"&gt;0",$C$2:$C$24,"&lt;"&amp;C7)+(COUNTIFS($D$2:$D$24,D7,$C$2:$C$24,C7)+1)/2)/COUNTIFS($D$2:$D$24,D7,$C$2:$C$24,"&gt;0"))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44742</v>
      </c>
      <c r="B8" s="6" t="n">
        <v>7511</v>
      </c>
      <c r="C8" s="7" t="n">
        <v>36.51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IF(C8="","",(COUNTIFS($D$2:$D$24,D8,$C$2:$C$24,"&gt;0",$C$2:$C$24,"&lt;"&amp;C8)+(COUNTIFS($D$2:$D$24,D8,$C$2:$C$24,C8)+1)/2)/COUNTIFS($D$2:$D$24,D8,$C$2:$C$24,"&gt;0"))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 t="n"/>
      <c r="L8" s="16" t="n"/>
    </row>
    <row r="9">
      <c r="A9" s="18" t="n">
        <v>44834</v>
      </c>
      <c r="B9" s="6" t="n">
        <v>8212.299999999999</v>
      </c>
      <c r="C9" s="7" t="n">
        <v>39.51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IF(C9="","",(COUNTIFS($D$2:$D$24,D9,$C$2:$C$24,"&gt;0",$C$2:$C$24,"&lt;"&amp;C9)+(COUNTIFS($D$2:$D$24,D9,$C$2:$C$24,C9)+1)/2)/COUNTIFS($D$2:$D$24,D9,$C$2:$C$24,"&gt;0"))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 t="n"/>
      <c r="L9" s="16" t="n"/>
    </row>
    <row r="10">
      <c r="A10" s="18" t="n">
        <v>44926</v>
      </c>
      <c r="B10" s="6" t="n">
        <v>8001.4</v>
      </c>
      <c r="C10" s="7" t="n">
        <v>35.4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IF(C10="","",(COUNTIFS($D$2:$D$24,D10,$C$2:$C$24,"&gt;0",$C$2:$C$24,"&lt;"&amp;C10)+(COUNTIFS($D$2:$D$24,D10,$C$2:$C$24,C10)+1)/2)/COUNTIFS($D$2:$D$24,D10,$C$2:$C$24,"&gt;0"))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 t="n"/>
      <c r="L10" s="16" t="n"/>
    </row>
    <row r="11">
      <c r="A11" s="18" t="n">
        <v>45016</v>
      </c>
      <c r="B11" s="6" t="n">
        <v>7621.55</v>
      </c>
      <c r="C11" s="7" t="n">
        <v>35.26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IF(C11="","",(COUNTIFS($D$2:$D$24,D11,$C$2:$C$24,"&gt;0",$C$2:$C$24,"&lt;"&amp;C11)+(COUNTIFS($D$2:$D$24,D11,$C$2:$C$24,C11)+1)/2)/COUNTIFS($D$2:$D$24,D11,$C$2:$C$24,"&gt;0"))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45107</v>
      </c>
      <c r="B12" s="6" t="n">
        <v>8936.450000000001</v>
      </c>
      <c r="C12" s="7" t="n">
        <v>34.66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IF(C12="","",(COUNTIFS($D$2:$D$24,D12,$C$2:$C$24,"&gt;0",$C$2:$C$24,"&lt;"&amp;C12)+(COUNTIFS($D$2:$D$24,D12,$C$2:$C$24,C12)+1)/2)/COUNTIFS($D$2:$D$24,D12,$C$2:$C$24,"&gt;0"))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45199</v>
      </c>
      <c r="B13" s="6" t="n">
        <v>9719.049999999999</v>
      </c>
      <c r="C13" s="7" t="n">
        <v>36.75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IF(C13="","",(COUNTIFS($D$2:$D$24,D13,$C$2:$C$24,"&gt;0",$C$2:$C$24,"&lt;"&amp;C13)+(COUNTIFS($D$2:$D$24,D13,$C$2:$C$24,C13)+1)/2)/COUNTIFS($D$2:$D$24,D13,$C$2:$C$24,"&gt;0"))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45291</v>
      </c>
      <c r="B14" s="6" t="n">
        <v>10637.8</v>
      </c>
      <c r="C14" s="7" t="n">
        <v>38.86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IF(C14="","",(COUNTIFS($D$2:$D$24,D14,$C$2:$C$24,"&gt;0",$C$2:$C$24,"&lt;"&amp;C14)+(COUNTIFS($D$2:$D$24,D14,$C$2:$C$24,C14)+1)/2)/COUNTIFS($D$2:$D$24,D14,$C$2:$C$24,"&gt;0"))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45382</v>
      </c>
      <c r="B15" s="6" t="n">
        <v>12059.3</v>
      </c>
      <c r="C15" s="7" t="n">
        <v>41.53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IF(C15="","",(COUNTIFS($D$2:$D$24,D15,$C$2:$C$24,"&gt;0",$C$2:$C$24,"&lt;"&amp;C15)+(COUNTIFS($D$2:$D$24,D15,$C$2:$C$24,C15)+1)/2)/COUNTIFS($D$2:$D$24,D15,$C$2:$C$24,"&gt;0"))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45473</v>
      </c>
      <c r="B16" s="6" t="n">
        <v>12576.25</v>
      </c>
      <c r="C16" s="7" t="n">
        <v>40.81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IF(C16="","",(COUNTIFS($D$2:$D$24,D16,$C$2:$C$24,"&gt;0",$C$2:$C$24,"&lt;"&amp;C16)+(COUNTIFS($D$2:$D$24,D16,$C$2:$C$24,C16)+1)/2)/COUNTIFS($D$2:$D$24,D16,$C$2:$C$24,"&gt;0"))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 t="n"/>
      <c r="K16" s="16" t="n"/>
      <c r="L16" s="16" t="n"/>
    </row>
    <row r="17">
      <c r="A17" s="18" t="n">
        <v>45565</v>
      </c>
      <c r="B17" s="6" t="n">
        <v>14752.2</v>
      </c>
      <c r="C17" s="7" t="n">
        <v>44.01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IF(C17="","",(COUNTIFS($D$2:$D$24,D17,$C$2:$C$24,"&gt;0",$C$2:$C$24,"&lt;"&amp;C17)+(COUNTIFS($D$2:$D$24,D17,$C$2:$C$24,C17)+1)/2)/COUNTIFS($D$2:$D$24,D17,$C$2:$C$24,"&gt;0"))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 t="n"/>
      <c r="K17" s="16" t="n"/>
      <c r="L17" s="16" t="n"/>
    </row>
    <row r="18">
      <c r="A18" s="18" t="n">
        <v>45657</v>
      </c>
      <c r="B18" s="6" t="n">
        <v>14951.7</v>
      </c>
      <c r="C18" s="7" t="n">
        <v>42.41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IF(C18="","",(COUNTIFS($D$2:$D$24,D18,$C$2:$C$24,"&gt;0",$C$2:$C$24,"&lt;"&amp;C18)+(COUNTIFS($D$2:$D$24,D18,$C$2:$C$24,C18)+1)/2)/COUNTIFS($D$2:$D$24,D18,$C$2:$C$24,"&gt;0"))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 t="n"/>
      <c r="K18" s="16" t="n"/>
      <c r="L18" s="16" t="n"/>
    </row>
    <row r="19">
      <c r="A19" s="18" t="n">
        <v>45747</v>
      </c>
      <c r="B19" s="6" t="n">
        <v>13681.3</v>
      </c>
      <c r="C19" s="7" t="n">
        <v>37.62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IF(C19="","",(COUNTIFS($D$2:$D$24,D19,$C$2:$C$24,"&gt;0",$C$2:$C$24,"&lt;"&amp;C19)+(COUNTIFS($D$2:$D$24,D19,$C$2:$C$24,C19)+1)/2)/COUNTIFS($D$2:$D$24,D19,$C$2:$C$24,"&gt;0"))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45838</v>
      </c>
      <c r="B20" s="6" t="n">
        <v>14463.8</v>
      </c>
      <c r="C20" s="7" t="n">
        <v>37.47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IF(C20="","",(COUNTIFS($D$2:$D$24,D20,$C$2:$C$24,"&gt;0",$C$2:$C$24,"&lt;"&amp;C20)+(COUNTIFS($D$2:$D$24,D20,$C$2:$C$24,C20)+1)/2)/COUNTIFS($D$2:$D$24,D20,$C$2:$C$24,"&gt;0"))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45930</v>
      </c>
      <c r="B21" s="6" t="n">
        <v>14139.05</v>
      </c>
      <c r="C21" s="7" t="n">
        <v>37.17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IF(C21="","",(COUNTIFS($D$2:$D$24,D21,$C$2:$C$24,"&gt;0",$C$2:$C$24,"&lt;"&amp;C21)+(COUNTIFS($D$2:$D$24,D21,$C$2:$C$24,C21)+1)/2)/COUNTIFS($D$2:$D$24,D21,$C$2:$C$24,"&gt;0"))</f>
        <v/>
      </c>
      <c r="H21">
        <f>IF(G21="","",IF(G21&lt;=20%,"Q1 Cheapest",IF(G21&lt;=40%,"Q2",IF(G21&lt;=60%,"Q3",IF(G21&lt;=80%,"Q4","Q5 Most Expensive")))))</f>
        <v/>
      </c>
      <c r="I21" s="16" t="n"/>
      <c r="J21" s="16" t="n"/>
      <c r="K21" s="16" t="n"/>
      <c r="L21" s="16" t="n"/>
    </row>
    <row r="22">
      <c r="A22" s="18" t="n">
        <v>46022</v>
      </c>
      <c r="B22" s="6" t="n">
        <v>14639.9</v>
      </c>
      <c r="C22" s="7" t="n">
        <v>36.72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IF(C22="","",(COUNTIFS($D$2:$D$24,D22,$C$2:$C$24,"&gt;0",$C$2:$C$24,"&lt;"&amp;C22)+(COUNTIFS($D$2:$D$24,D22,$C$2:$C$24,C22)+1)/2)/COUNTIFS($D$2:$D$24,D22,$C$2:$C$24,"&gt;0"))</f>
        <v/>
      </c>
      <c r="H22">
        <f>IF(G22="","",IF(G22&lt;=20%,"Q1 Cheapest",IF(G22&lt;=40%,"Q2",IF(G22&lt;=60%,"Q3",IF(G22&lt;=80%,"Q4","Q5 Most Expensive")))))</f>
        <v/>
      </c>
      <c r="I22" s="16" t="n"/>
      <c r="J22" s="16" t="n"/>
      <c r="K22" s="16" t="n"/>
      <c r="L22" s="16" t="n"/>
    </row>
    <row r="23">
      <c r="A23" s="18" t="n">
        <v>46112</v>
      </c>
      <c r="B23" s="6" t="n">
        <v>14201.05</v>
      </c>
      <c r="C23" s="7" t="n">
        <v>36.07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IF(C23="","",(COUNTIFS($D$2:$D$24,D23,$C$2:$C$24,"&gt;0",$C$2:$C$24,"&lt;"&amp;C23)+(COUNTIFS($D$2:$D$24,D23,$C$2:$C$24,C23)+1)/2)/COUNTIFS($D$2:$D$24,D23,$C$2:$C$24,"&gt;0"))</f>
        <v/>
      </c>
      <c r="H23">
        <f>IF(G23="","",IF(G23&lt;=20%,"Q1 Cheapest",IF(G23&lt;=40%,"Q2",IF(G23&lt;=60%,"Q3",IF(G23&lt;=80%,"Q4","Q5 Most Expensive")))))</f>
        <v/>
      </c>
      <c r="I23" s="16" t="n"/>
      <c r="J23" s="16" t="n"/>
      <c r="K23" s="16" t="n"/>
      <c r="L23" s="16" t="n"/>
    </row>
    <row r="24">
      <c r="A24" s="18" t="n">
        <v>46203</v>
      </c>
      <c r="B24" s="6" t="n">
        <v>16139.75</v>
      </c>
      <c r="C24" s="7" t="n">
        <v>41.81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IF(C24="","",(COUNTIFS($D$2:$D$24,D24,$C$2:$C$24,"&gt;0",$C$2:$C$24,"&lt;"&amp;C24)+(COUNTIFS($D$2:$D$24,D24,$C$2:$C$24,C24)+1)/2)/COUNTIFS($D$2:$D$24,D24,$C$2:$C$24,"&gt;0"))</f>
        <v/>
      </c>
      <c r="H24">
        <f>IF(G24="","",IF(G24&lt;=20%,"Q1 Cheapest",IF(G24&lt;=40%,"Q2",IF(G24&lt;=60%,"Q3",IF(G24&lt;=80%,"Q4","Q5 Most Expensive")))))</f>
        <v/>
      </c>
      <c r="I24" s="16" t="n"/>
      <c r="J24" s="16" t="n"/>
      <c r="K24" s="16" t="n"/>
      <c r="L24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16613.9</v>
      </c>
      <c r="C2" s="7" t="n">
        <v>43.53</v>
      </c>
      <c r="D2" s="8" t="n">
        <v>0.931818181818</v>
      </c>
      <c r="E2" s="8" t="n">
        <v>-0.0103259977414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2026-09-21T09:46:27Z</dcterms:created>
  <dcterms:modified xsi:type="dcterms:W3CDTF">2026-09-21T09:46:27Z</dcterms:modified>
</cp:coreProperties>
</file>