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100LowVolatility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Nifty100 Low Volatility 30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18892.85</v>
      </c>
      <c r="D5" s="2" t="inlineStr">
        <is>
          <t>P/E</t>
        </is>
      </c>
      <c r="E5" s="25" t="n">
        <v>23.71</v>
      </c>
    </row>
    <row r="6">
      <c r="A6" s="2" t="inlineStr">
        <is>
          <t>P/E percentile</t>
        </is>
      </c>
      <c r="B6" s="26" t="n">
        <v>0.1641791044776119</v>
      </c>
      <c r="D6" s="2" t="inlineStr">
        <is>
          <t>Implied EPS</t>
        </is>
      </c>
      <c r="E6" s="27" t="n">
        <v>796.830451286377</v>
      </c>
    </row>
    <row r="7">
      <c r="A7" s="2" t="inlineStr">
        <is>
          <t>YoY implied EPS growth</t>
        </is>
      </c>
      <c r="B7" s="26" t="n">
        <v>0.1180431949384717</v>
      </c>
      <c r="D7" s="2" t="inlineStr">
        <is>
          <t>Earnings yield</t>
        </is>
      </c>
      <c r="E7" s="10" t="n">
        <v>0.04217629692113032</v>
      </c>
    </row>
    <row r="8">
      <c r="A8" s="2" t="inlineStr">
        <is>
          <t>Valuation score</t>
        </is>
      </c>
      <c r="B8" s="28" t="n">
        <v>83.5820895522388</v>
      </c>
      <c r="D8" s="2" t="inlineStr">
        <is>
          <t>Growth score</t>
        </is>
      </c>
      <c r="E8" s="28" t="n">
        <v>67.21727797538868</v>
      </c>
    </row>
    <row r="9">
      <c r="A9" s="2" t="inlineStr">
        <is>
          <t>Composite score</t>
        </is>
      </c>
      <c r="B9" s="28" t="n">
        <v>78.67264607918375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24.91064435993764</v>
      </c>
      <c r="C13" s="15" t="n">
        <v>19849.55998716355</v>
      </c>
      <c r="D13" s="30" t="n">
        <v>0.05063873302141042</v>
      </c>
    </row>
    <row r="14">
      <c r="A14" t="inlineStr">
        <is>
          <t>HOLD → SELL</t>
        </is>
      </c>
      <c r="B14" s="29" t="n">
        <v>28.94583217813605</v>
      </c>
      <c r="C14" s="15" t="n">
        <v>23064.92051736388</v>
      </c>
      <c r="D14" s="30" t="n">
        <v>0.2208280125742745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0.2699456009396934</v>
      </c>
      <c r="D18" s="30" t="n">
        <v>0.173424620497739</v>
      </c>
      <c r="E18" s="30" t="n">
        <v>0.1794607619412502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0.1557816146613475</v>
      </c>
      <c r="D19" s="30" t="n">
        <v>0.1239428911786542</v>
      </c>
      <c r="E19" s="30" t="n">
        <v>0.1043394975344853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0.1313391877780894</v>
      </c>
      <c r="D20" s="30" t="n">
        <v>0.1336719333311558</v>
      </c>
      <c r="E20" s="30" t="n">
        <v>0.138647834901935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0.03609709220840063</v>
      </c>
      <c r="D21" s="30" t="n">
        <v>0.1309272509923269</v>
      </c>
      <c r="E21" s="30" t="n">
        <v>0.1492930452333401</v>
      </c>
      <c r="F21" s="30" t="n">
        <v>0.1070968231193195</v>
      </c>
      <c r="G21" s="30" t="n">
        <v>0</v>
      </c>
    </row>
    <row r="22">
      <c r="A22" t="inlineStr">
        <is>
          <t>Q5 Most Expensive</t>
        </is>
      </c>
      <c r="B22" t="n">
        <v>9</v>
      </c>
      <c r="C22" s="30" t="n">
        <v>0.03609753140173821</v>
      </c>
      <c r="D22" s="30" t="n">
        <v>0.1382202175034873</v>
      </c>
      <c r="E22" s="30" t="n">
        <v>0.1301902293227373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41</v>
      </c>
    </row>
    <row r="27">
      <c r="A27" s="2" t="inlineStr">
        <is>
          <t>Backtest start</t>
        </is>
      </c>
      <c r="B27" t="inlineStr">
        <is>
          <t>2016-09-30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11196.1</v>
      </c>
      <c r="C2" s="25" t="n">
        <v>24.99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12042.3</v>
      </c>
      <c r="C3" s="25" t="n">
        <v>22.35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12302.3</v>
      </c>
      <c r="C4" s="25" t="n">
        <v>23.65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12337.95</v>
      </c>
      <c r="C5" s="25" t="n">
        <v>23.09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13174.25</v>
      </c>
      <c r="C6" s="25" t="n">
        <v>23.11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13603.9</v>
      </c>
      <c r="C7" s="25" t="n">
        <v>24.28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13138.35</v>
      </c>
      <c r="C8" s="25" t="n">
        <v>22.71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12933.05</v>
      </c>
      <c r="C9" s="25" t="n">
        <v>22.33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13230.15</v>
      </c>
      <c r="C10" s="25" t="n">
        <v>25.68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12939.15</v>
      </c>
      <c r="C11" s="25" t="n">
        <v>25.03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12464.55</v>
      </c>
      <c r="C12" s="25" t="n">
        <v>23.7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12713.3</v>
      </c>
      <c r="C13" s="25" t="n">
        <v>24.97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12836.3</v>
      </c>
      <c r="C14" s="25" t="n">
        <v>25.06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12696.25</v>
      </c>
      <c r="C15" s="25" t="n">
        <v>24.88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11985.55</v>
      </c>
      <c r="C16" s="25" t="n">
        <v>22.4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12925.05</v>
      </c>
      <c r="C17" s="25" t="n">
        <v>24.14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13293.05</v>
      </c>
      <c r="C18" s="25" t="n">
        <v>25.5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12859.05</v>
      </c>
      <c r="C19" s="25" t="n">
        <v>23.42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13229.65</v>
      </c>
      <c r="C20" s="25" t="n">
        <v>24.24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13771.4</v>
      </c>
      <c r="C21" s="25" t="n">
        <v>26.63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13236.25</v>
      </c>
      <c r="C22" s="25" t="n">
        <v>25.9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13127.85</v>
      </c>
      <c r="C23" s="25" t="n">
        <v>25.3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12898.95</v>
      </c>
      <c r="C24" s="25" t="n">
        <v>25.61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12996.85</v>
      </c>
      <c r="C25" s="25" t="n">
        <v>26.21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13476.75</v>
      </c>
      <c r="C26" s="25" t="n">
        <v>26.93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13965.35</v>
      </c>
      <c r="C27" s="25" t="n">
        <v>26.26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14531.2</v>
      </c>
      <c r="C28" s="25" t="n">
        <v>26.55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15131.7</v>
      </c>
      <c r="C29" s="25" t="n">
        <v>27.16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14793.6</v>
      </c>
      <c r="C30" s="25" t="n">
        <v>23.83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15035.05</v>
      </c>
      <c r="C31" s="25" t="n">
        <v>24.91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14894.1</v>
      </c>
      <c r="C32" s="25" t="n">
        <v>23.86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15906.8</v>
      </c>
      <c r="C33" s="25" t="n">
        <v>22.85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17272.3</v>
      </c>
      <c r="C34" s="25" t="n">
        <v>26.74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17429.15</v>
      </c>
      <c r="C35" s="25" t="n">
        <v>25.59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17992.75</v>
      </c>
      <c r="C36" s="25" t="n">
        <v>26.11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18143.9</v>
      </c>
      <c r="C37" s="25" t="n">
        <v>32.83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17882.95</v>
      </c>
      <c r="C38" s="25" t="n">
        <v>32.01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17865.5</v>
      </c>
      <c r="C39" s="25" t="n">
        <v>31.16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19077.45</v>
      </c>
      <c r="C40" s="25" t="n">
        <v>34.88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20211.65</v>
      </c>
      <c r="C41" s="25" t="n">
        <v>36.05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20666.9</v>
      </c>
      <c r="C42" s="25" t="n">
        <v>36.35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21433.4</v>
      </c>
      <c r="C43" s="25" t="n">
        <v>36.01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19705.8</v>
      </c>
      <c r="C44" s="25" t="n">
        <v>32.7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19336.4</v>
      </c>
      <c r="C45" s="25" t="n">
        <v>32.29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19187.85</v>
      </c>
      <c r="C46" s="25" t="n">
        <v>32.12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19283.3</v>
      </c>
      <c r="C47" s="25" t="n">
        <v>31.71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17890.7</v>
      </c>
      <c r="C48" s="25" t="n">
        <v>28.83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18798.85</v>
      </c>
      <c r="C49" s="25" t="n">
        <v>30.33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19474.85</v>
      </c>
      <c r="C50" s="25" t="n">
        <v>31.22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19655.6</v>
      </c>
      <c r="C51" s="25" t="n">
        <v>30.92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20165.75</v>
      </c>
      <c r="C52" s="25" t="n">
        <v>31.83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19986.45</v>
      </c>
      <c r="C53" s="25" t="n">
        <v>31.21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20248.8</v>
      </c>
      <c r="C54" s="25" t="n">
        <v>30.98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19921.45</v>
      </c>
      <c r="C55" s="25" t="n">
        <v>28.11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20647.75</v>
      </c>
      <c r="C56" s="25" t="n">
        <v>28.91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21045.05</v>
      </c>
      <c r="C57" s="25" t="n">
        <v>29.03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21130.15</v>
      </c>
      <c r="C58" s="25" t="n">
        <v>29.2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20447.25</v>
      </c>
      <c r="C59" s="25" t="n">
        <v>28.51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20495</v>
      </c>
      <c r="C60" s="25" t="n">
        <v>28.36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18308.4</v>
      </c>
      <c r="C61" s="25" t="n">
        <v>25.21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19652.3</v>
      </c>
      <c r="C62" s="25" t="n">
        <v>26.85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19513.45</v>
      </c>
      <c r="C63" s="25" t="n">
        <v>26.79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19683.1</v>
      </c>
      <c r="C64" s="25" t="n">
        <v>24.73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20570.85</v>
      </c>
      <c r="C65" s="25" t="n">
        <v>25.66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20222.1</v>
      </c>
      <c r="C66" s="25" t="n">
        <v>24.96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18785.65</v>
      </c>
      <c r="C67" s="25" t="n">
        <v>23.71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42643</v>
      </c>
      <c r="B2" s="24" t="n">
        <v>6791.57</v>
      </c>
      <c r="C2" s="25" t="n">
        <v>24.55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IF(C2="","",(COUNTIFS($D$2:$D$42,D2,$C$2:$C$42,"&gt;0",$C$2:$C$42,"&lt;"&amp;C2)+(COUNTIFS($D$2:$D$42,D2,$C$2:$C$42,C2)+1)/2)/COUNTIFS($D$2:$D$42,D2,$C$2:$C$42,"&gt;0"))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42735</v>
      </c>
      <c r="B3" s="24" t="n">
        <v>6143.55</v>
      </c>
      <c r="C3" s="25" t="n">
        <v>21.72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IF(C3="","",(COUNTIFS($D$2:$D$42,D3,$C$2:$C$42,"&gt;0",$C$2:$C$42,"&lt;"&amp;C3)+(COUNTIFS($D$2:$D$42,D3,$C$2:$C$42,C3)+1)/2)/COUNTIFS($D$2:$D$42,D3,$C$2:$C$42,"&gt;0"))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42825</v>
      </c>
      <c r="B4" s="24" t="n">
        <v>6778.77</v>
      </c>
      <c r="C4" s="25" t="n">
        <v>22.99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IF(C4="","",(COUNTIFS($D$2:$D$42,D4,$C$2:$C$42,"&gt;0",$C$2:$C$42,"&lt;"&amp;C4)+(COUNTIFS($D$2:$D$42,D4,$C$2:$C$42,C4)+1)/2)/COUNTIFS($D$2:$D$42,D4,$C$2:$C$42,"&gt;0"))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42916</v>
      </c>
      <c r="B5" s="24" t="n">
        <v>7297.01</v>
      </c>
      <c r="C5" s="25" t="n">
        <v>23.07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IF(C5="","",(COUNTIFS($D$2:$D$42,D5,$C$2:$C$42,"&gt;0",$C$2:$C$42,"&lt;"&amp;C5)+(COUNTIFS($D$2:$D$42,D5,$C$2:$C$42,C5)+1)/2)/COUNTIFS($D$2:$D$42,D5,$C$2:$C$42,"&gt;0"))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43008</v>
      </c>
      <c r="B6" s="24" t="n">
        <v>7594.23</v>
      </c>
      <c r="C6" s="25" t="n">
        <v>23.95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IF(C6="","",(COUNTIFS($D$2:$D$42,D6,$C$2:$C$42,"&gt;0",$C$2:$C$42,"&lt;"&amp;C6)+(COUNTIFS($D$2:$D$42,D6,$C$2:$C$42,C6)+1)/2)/COUNTIFS($D$2:$D$42,D6,$C$2:$C$42,"&gt;0"))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43100</v>
      </c>
      <c r="B7" s="24" t="n">
        <v>8155.55</v>
      </c>
      <c r="C7" s="25" t="n">
        <v>25.45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IF(C7="","",(COUNTIFS($D$2:$D$42,D7,$C$2:$C$42,"&gt;0",$C$2:$C$42,"&lt;"&amp;C7)+(COUNTIFS($D$2:$D$42,D7,$C$2:$C$42,C7)+1)/2)/COUNTIFS($D$2:$D$42,D7,$C$2:$C$42,"&gt;0"))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43190</v>
      </c>
      <c r="B8" s="24" t="n">
        <v>7936.65</v>
      </c>
      <c r="C8" s="25" t="n">
        <v>23.37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IF(C8="","",(COUNTIFS($D$2:$D$42,D8,$C$2:$C$42,"&gt;0",$C$2:$C$42,"&lt;"&amp;C8)+(COUNTIFS($D$2:$D$42,D8,$C$2:$C$42,C8)+1)/2)/COUNTIFS($D$2:$D$42,D8,$C$2:$C$42,"&gt;0"))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43281</v>
      </c>
      <c r="B9" s="24" t="n">
        <v>8433.75</v>
      </c>
      <c r="C9" s="25" t="n">
        <v>24.19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IF(C9="","",(COUNTIFS($D$2:$D$42,D9,$C$2:$C$42,"&gt;0",$C$2:$C$42,"&lt;"&amp;C9)+(COUNTIFS($D$2:$D$42,D9,$C$2:$C$42,C9)+1)/2)/COUNTIFS($D$2:$D$42,D9,$C$2:$C$42,"&gt;0"))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43373</v>
      </c>
      <c r="B10" s="24" t="n">
        <v>8591.65</v>
      </c>
      <c r="C10" s="25" t="n">
        <v>25.49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IF(C10="","",(COUNTIFS($D$2:$D$42,D10,$C$2:$C$42,"&gt;0",$C$2:$C$42,"&lt;"&amp;C10)+(COUNTIFS($D$2:$D$42,D10,$C$2:$C$42,C10)+1)/2)/COUNTIFS($D$2:$D$42,D10,$C$2:$C$42,"&gt;0"))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43465</v>
      </c>
      <c r="B11" s="24" t="n">
        <v>8604.700000000001</v>
      </c>
      <c r="C11" s="25" t="n">
        <v>25.1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IF(C11="","",(COUNTIFS($D$2:$D$42,D11,$C$2:$C$42,"&gt;0",$C$2:$C$42,"&lt;"&amp;C11)+(COUNTIFS($D$2:$D$42,D11,$C$2:$C$42,C11)+1)/2)/COUNTIFS($D$2:$D$42,D11,$C$2:$C$42,"&gt;0"))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43555</v>
      </c>
      <c r="B12" s="24" t="n">
        <v>8789.299999999999</v>
      </c>
      <c r="C12" s="25" t="n">
        <v>25.32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IF(C12="","",(COUNTIFS($D$2:$D$42,D12,$C$2:$C$42,"&gt;0",$C$2:$C$42,"&lt;"&amp;C12)+(COUNTIFS($D$2:$D$42,D12,$C$2:$C$42,C12)+1)/2)/COUNTIFS($D$2:$D$42,D12,$C$2:$C$42,"&gt;0"))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43646</v>
      </c>
      <c r="B13" s="24" t="n">
        <v>8742.549999999999</v>
      </c>
      <c r="C13" s="25" t="n">
        <v>25.49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IF(C13="","",(COUNTIFS($D$2:$D$42,D13,$C$2:$C$42,"&gt;0",$C$2:$C$42,"&lt;"&amp;C13)+(COUNTIFS($D$2:$D$42,D13,$C$2:$C$42,C13)+1)/2)/COUNTIFS($D$2:$D$42,D13,$C$2:$C$42,"&gt;0"))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43738</v>
      </c>
      <c r="B14" s="24" t="n">
        <v>8825.65</v>
      </c>
      <c r="C14" s="25" t="n">
        <v>23.76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IF(C14="","",(COUNTIFS($D$2:$D$42,D14,$C$2:$C$42,"&gt;0",$C$2:$C$42,"&lt;"&amp;C14)+(COUNTIFS($D$2:$D$42,D14,$C$2:$C$42,C14)+1)/2)/COUNTIFS($D$2:$D$42,D14,$C$2:$C$42,"&gt;0"))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43830</v>
      </c>
      <c r="B15" s="24" t="n">
        <v>8910.85</v>
      </c>
      <c r="C15" s="25" t="n">
        <v>22.87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IF(C15="","",(COUNTIFS($D$2:$D$42,D15,$C$2:$C$42,"&gt;0",$C$2:$C$42,"&lt;"&amp;C15)+(COUNTIFS($D$2:$D$42,D15,$C$2:$C$42,C15)+1)/2)/COUNTIFS($D$2:$D$42,D15,$C$2:$C$42,"&gt;0"))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43921</v>
      </c>
      <c r="B16" s="24" t="n">
        <v>7081.55</v>
      </c>
      <c r="C16" s="25" t="n">
        <v>18.49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IF(C16="","",(COUNTIFS($D$2:$D$42,D16,$C$2:$C$42,"&gt;0",$C$2:$C$42,"&lt;"&amp;C16)+(COUNTIFS($D$2:$D$42,D16,$C$2:$C$42,C16)+1)/2)/COUNTIFS($D$2:$D$42,D16,$C$2:$C$42,"&gt;0"))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44012</v>
      </c>
      <c r="B17" s="24" t="n">
        <v>8340.950000000001</v>
      </c>
      <c r="C17" s="25" t="n">
        <v>21.1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IF(C17="","",(COUNTIFS($D$2:$D$42,D17,$C$2:$C$42,"&gt;0",$C$2:$C$42,"&lt;"&amp;C17)+(COUNTIFS($D$2:$D$42,D17,$C$2:$C$42,C17)+1)/2)/COUNTIFS($D$2:$D$42,D17,$C$2:$C$42,"&gt;0"))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44104</v>
      </c>
      <c r="B18" s="24" t="n">
        <v>9234.75</v>
      </c>
      <c r="C18" s="25" t="n">
        <v>24.13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IF(C18="","",(COUNTIFS($D$2:$D$42,D18,$C$2:$C$42,"&gt;0",$C$2:$C$42,"&lt;"&amp;C18)+(COUNTIFS($D$2:$D$42,D18,$C$2:$C$42,C18)+1)/2)/COUNTIFS($D$2:$D$42,D18,$C$2:$C$42,"&gt;0"))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44196</v>
      </c>
      <c r="B19" s="24" t="n">
        <v>10880.55</v>
      </c>
      <c r="C19" s="25" t="n">
        <v>29.43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IF(C19="","",(COUNTIFS($D$2:$D$42,D19,$C$2:$C$42,"&gt;0",$C$2:$C$42,"&lt;"&amp;C19)+(COUNTIFS($D$2:$D$42,D19,$C$2:$C$42,C19)+1)/2)/COUNTIFS($D$2:$D$42,D19,$C$2:$C$42,"&gt;0"))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44286</v>
      </c>
      <c r="B20" s="24" t="n">
        <v>11268.6</v>
      </c>
      <c r="C20" s="25" t="n">
        <v>25.36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IF(C20="","",(COUNTIFS($D$2:$D$42,D20,$C$2:$C$42,"&gt;0",$C$2:$C$42,"&lt;"&amp;C20)+(COUNTIFS($D$2:$D$42,D20,$C$2:$C$42,C20)+1)/2)/COUNTIFS($D$2:$D$42,D20,$C$2:$C$42,"&gt;0"))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44377</v>
      </c>
      <c r="B21" s="24" t="n">
        <v>12302.3</v>
      </c>
      <c r="C21" s="25" t="n">
        <v>23.65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IF(C21="","",(COUNTIFS($D$2:$D$42,D21,$C$2:$C$42,"&gt;0",$C$2:$C$42,"&lt;"&amp;C21)+(COUNTIFS($D$2:$D$42,D21,$C$2:$C$42,C21)+1)/2)/COUNTIFS($D$2:$D$42,D21,$C$2:$C$42,"&gt;0"))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44469</v>
      </c>
      <c r="B22" s="24" t="n">
        <v>13603.9</v>
      </c>
      <c r="C22" s="25" t="n">
        <v>24.28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IF(C22="","",(COUNTIFS($D$2:$D$42,D22,$C$2:$C$42,"&gt;0",$C$2:$C$42,"&lt;"&amp;C22)+(COUNTIFS($D$2:$D$42,D22,$C$2:$C$42,C22)+1)/2)/COUNTIFS($D$2:$D$42,D22,$C$2:$C$42,"&gt;0"))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44561</v>
      </c>
      <c r="B23" s="24" t="n">
        <v>13230.15</v>
      </c>
      <c r="C23" s="25" t="n">
        <v>25.68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IF(C23="","",(COUNTIFS($D$2:$D$42,D23,$C$2:$C$42,"&gt;0",$C$2:$C$42,"&lt;"&amp;C23)+(COUNTIFS($D$2:$D$42,D23,$C$2:$C$42,C23)+1)/2)/COUNTIFS($D$2:$D$42,D23,$C$2:$C$42,"&gt;0"))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44651</v>
      </c>
      <c r="B24" s="24" t="n">
        <v>12713.3</v>
      </c>
      <c r="C24" s="25" t="n">
        <v>24.97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IF(C24="","",(COUNTIFS($D$2:$D$42,D24,$C$2:$C$42,"&gt;0",$C$2:$C$42,"&lt;"&amp;C24)+(COUNTIFS($D$2:$D$42,D24,$C$2:$C$42,C24)+1)/2)/COUNTIFS($D$2:$D$42,D24,$C$2:$C$42,"&gt;0"))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44742</v>
      </c>
      <c r="B25" s="24" t="n">
        <v>11985.55</v>
      </c>
      <c r="C25" s="25" t="n">
        <v>22.4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IF(C25="","",(COUNTIFS($D$2:$D$42,D25,$C$2:$C$42,"&gt;0",$C$2:$C$42,"&lt;"&amp;C25)+(COUNTIFS($D$2:$D$42,D25,$C$2:$C$42,C25)+1)/2)/COUNTIFS($D$2:$D$42,D25,$C$2:$C$42,"&gt;0"))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44834</v>
      </c>
      <c r="B26" s="24" t="n">
        <v>12859.05</v>
      </c>
      <c r="C26" s="25" t="n">
        <v>23.42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IF(C26="","",(COUNTIFS($D$2:$D$42,D26,$C$2:$C$42,"&gt;0",$C$2:$C$42,"&lt;"&amp;C26)+(COUNTIFS($D$2:$D$42,D26,$C$2:$C$42,C26)+1)/2)/COUNTIFS($D$2:$D$42,D26,$C$2:$C$42,"&gt;0"))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44926</v>
      </c>
      <c r="B27" s="24" t="n">
        <v>13236.25</v>
      </c>
      <c r="C27" s="25" t="n">
        <v>25.9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IF(C27="","",(COUNTIFS($D$2:$D$42,D27,$C$2:$C$42,"&gt;0",$C$2:$C$42,"&lt;"&amp;C27)+(COUNTIFS($D$2:$D$42,D27,$C$2:$C$42,C27)+1)/2)/COUNTIFS($D$2:$D$42,D27,$C$2:$C$42,"&gt;0"))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45016</v>
      </c>
      <c r="B28" s="24" t="n">
        <v>12996.85</v>
      </c>
      <c r="C28" s="25" t="n">
        <v>26.21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IF(C28="","",(COUNTIFS($D$2:$D$42,D28,$C$2:$C$42,"&gt;0",$C$2:$C$42,"&lt;"&amp;C28)+(COUNTIFS($D$2:$D$42,D28,$C$2:$C$42,C28)+1)/2)/COUNTIFS($D$2:$D$42,D28,$C$2:$C$42,"&gt;0"))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45107</v>
      </c>
      <c r="B29" s="24" t="n">
        <v>14531.2</v>
      </c>
      <c r="C29" s="25" t="n">
        <v>26.55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IF(C29="","",(COUNTIFS($D$2:$D$42,D29,$C$2:$C$42,"&gt;0",$C$2:$C$42,"&lt;"&amp;C29)+(COUNTIFS($D$2:$D$42,D29,$C$2:$C$42,C29)+1)/2)/COUNTIFS($D$2:$D$42,D29,$C$2:$C$42,"&gt;0"))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45199</v>
      </c>
      <c r="B30" s="24" t="n">
        <v>15035.05</v>
      </c>
      <c r="C30" s="25" t="n">
        <v>24.91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IF(C30="","",(COUNTIFS($D$2:$D$42,D30,$C$2:$C$42,"&gt;0",$C$2:$C$42,"&lt;"&amp;C30)+(COUNTIFS($D$2:$D$42,D30,$C$2:$C$42,C30)+1)/2)/COUNTIFS($D$2:$D$42,D30,$C$2:$C$42,"&gt;0"))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45291</v>
      </c>
      <c r="B31" s="24" t="n">
        <v>17272.3</v>
      </c>
      <c r="C31" s="25" t="n">
        <v>26.74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IF(C31="","",(COUNTIFS($D$2:$D$42,D31,$C$2:$C$42,"&gt;0",$C$2:$C$42,"&lt;"&amp;C31)+(COUNTIFS($D$2:$D$42,D31,$C$2:$C$42,C31)+1)/2)/COUNTIFS($D$2:$D$42,D31,$C$2:$C$42,"&gt;0"))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45382</v>
      </c>
      <c r="B32" s="24" t="n">
        <v>18143.9</v>
      </c>
      <c r="C32" s="25" t="n">
        <v>32.83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IF(C32="","",(COUNTIFS($D$2:$D$42,D32,$C$2:$C$42,"&gt;0",$C$2:$C$42,"&lt;"&amp;C32)+(COUNTIFS($D$2:$D$42,D32,$C$2:$C$42,C32)+1)/2)/COUNTIFS($D$2:$D$42,D32,$C$2:$C$42,"&gt;0"))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45473</v>
      </c>
      <c r="B33" s="24" t="n">
        <v>19077.45</v>
      </c>
      <c r="C33" s="25" t="n">
        <v>34.88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IF(C33="","",(COUNTIFS($D$2:$D$42,D33,$C$2:$C$42,"&gt;0",$C$2:$C$42,"&lt;"&amp;C33)+(COUNTIFS($D$2:$D$42,D33,$C$2:$C$42,C33)+1)/2)/COUNTIFS($D$2:$D$42,D33,$C$2:$C$42,"&gt;0"))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45565</v>
      </c>
      <c r="B34" s="24" t="n">
        <v>21433.4</v>
      </c>
      <c r="C34" s="25" t="n">
        <v>36.01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IF(C34="","",(COUNTIFS($D$2:$D$42,D34,$C$2:$C$42,"&gt;0",$C$2:$C$42,"&lt;"&amp;C34)+(COUNTIFS($D$2:$D$42,D34,$C$2:$C$42,C34)+1)/2)/COUNTIFS($D$2:$D$42,D34,$C$2:$C$42,"&gt;0"))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45657</v>
      </c>
      <c r="B35" s="24" t="n">
        <v>19187.85</v>
      </c>
      <c r="C35" s="25" t="n">
        <v>32.12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IF(C35="","",(COUNTIFS($D$2:$D$42,D35,$C$2:$C$42,"&gt;0",$C$2:$C$42,"&lt;"&amp;C35)+(COUNTIFS($D$2:$D$42,D35,$C$2:$C$42,C35)+1)/2)/COUNTIFS($D$2:$D$42,D35,$C$2:$C$42,"&gt;0"))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45747</v>
      </c>
      <c r="B36" s="24" t="n">
        <v>18798.85</v>
      </c>
      <c r="C36" s="25" t="n">
        <v>30.33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IF(C36="","",(COUNTIFS($D$2:$D$42,D36,$C$2:$C$42,"&gt;0",$C$2:$C$42,"&lt;"&amp;C36)+(COUNTIFS($D$2:$D$42,D36,$C$2:$C$42,C36)+1)/2)/COUNTIFS($D$2:$D$42,D36,$C$2:$C$42,"&gt;0"))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45838</v>
      </c>
      <c r="B37" s="24" t="n">
        <v>20165.75</v>
      </c>
      <c r="C37" s="25" t="n">
        <v>31.83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IF(C37="","",(COUNTIFS($D$2:$D$42,D37,$C$2:$C$42,"&gt;0",$C$2:$C$42,"&lt;"&amp;C37)+(COUNTIFS($D$2:$D$42,D37,$C$2:$C$42,C37)+1)/2)/COUNTIFS($D$2:$D$42,D37,$C$2:$C$42,"&gt;0"))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45930</v>
      </c>
      <c r="B38" s="24" t="n">
        <v>19921.45</v>
      </c>
      <c r="C38" s="25" t="n">
        <v>28.11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IF(C38="","",(COUNTIFS($D$2:$D$42,D38,$C$2:$C$42,"&gt;0",$C$2:$C$42,"&lt;"&amp;C38)+(COUNTIFS($D$2:$D$42,D38,$C$2:$C$42,C38)+1)/2)/COUNTIFS($D$2:$D$42,D38,$C$2:$C$42,"&gt;0"))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46022</v>
      </c>
      <c r="B39" s="24" t="n">
        <v>21130.15</v>
      </c>
      <c r="C39" s="25" t="n">
        <v>29.2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IF(C39="","",(COUNTIFS($D$2:$D$42,D39,$C$2:$C$42,"&gt;0",$C$2:$C$42,"&lt;"&amp;C39)+(COUNTIFS($D$2:$D$42,D39,$C$2:$C$42,C39)+1)/2)/COUNTIFS($D$2:$D$42,D39,$C$2:$C$42,"&gt;0"))</f>
        <v/>
      </c>
      <c r="H39">
        <f>IF(G39="","",IF(G39&lt;=20%,"Q1 Cheapest",IF(G39&lt;=40%,"Q2",IF(G39&lt;=60%,"Q3",IF(G39&lt;=80%,"Q4","Q5 Most Expensive")))))</f>
        <v/>
      </c>
      <c r="I39" s="30" t="n"/>
      <c r="J39" s="30" t="n"/>
      <c r="K39" s="30" t="n"/>
      <c r="L39" s="30" t="n"/>
    </row>
    <row r="40">
      <c r="A40" s="31" t="n">
        <v>46112</v>
      </c>
      <c r="B40" s="24" t="n">
        <v>18308.4</v>
      </c>
      <c r="C40" s="25" t="n">
        <v>25.21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IF(C40="","",(COUNTIFS($D$2:$D$42,D40,$C$2:$C$42,"&gt;0",$C$2:$C$42,"&lt;"&amp;C40)+(COUNTIFS($D$2:$D$42,D40,$C$2:$C$42,C40)+1)/2)/COUNTIFS($D$2:$D$42,D40,$C$2:$C$42,"&gt;0"))</f>
        <v/>
      </c>
      <c r="H40">
        <f>IF(G40="","",IF(G40&lt;=20%,"Q1 Cheapest",IF(G40&lt;=40%,"Q2",IF(G40&lt;=60%,"Q3",IF(G40&lt;=80%,"Q4","Q5 Most Expensive")))))</f>
        <v/>
      </c>
      <c r="I40" s="30" t="n"/>
      <c r="J40" s="30" t="n"/>
      <c r="K40" s="30" t="n"/>
      <c r="L40" s="30" t="n"/>
    </row>
    <row r="41">
      <c r="A41" s="31" t="n">
        <v>46203</v>
      </c>
      <c r="B41" s="24" t="n">
        <v>19683.1</v>
      </c>
      <c r="C41" s="25" t="n">
        <v>24.73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IF(C41="","",(COUNTIFS($D$2:$D$42,D41,$C$2:$C$42,"&gt;0",$C$2:$C$42,"&lt;"&amp;C41)+(COUNTIFS($D$2:$D$42,D41,$C$2:$C$42,C41)+1)/2)/COUNTIFS($D$2:$D$42,D41,$C$2:$C$42,"&gt;0"))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46295</v>
      </c>
      <c r="B42" s="24" t="n">
        <v>18785.65</v>
      </c>
      <c r="C42" s="25" t="n">
        <v>23.71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IF(C42="","",(COUNTIFS($D$2:$D$42,D42,$C$2:$C$42,"&gt;0",$C$2:$C$42,"&lt;"&amp;C42)+(COUNTIFS($D$2:$D$42,D42,$C$2:$C$42,C42)+1)/2)/COUNTIFS($D$2:$D$42,D42,$C$2:$C$42,"&gt;0"))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19359.85</v>
      </c>
      <c r="C2" s="25" t="n">
        <v>23.9</v>
      </c>
      <c r="D2" s="26" t="n">
        <v>0.189393939394</v>
      </c>
      <c r="E2" s="26" t="n">
        <v>0.239481527511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19461.2</v>
      </c>
      <c r="C3" s="25" t="n">
        <v>24.03</v>
      </c>
      <c r="D3" s="26" t="n">
        <v>0.189393939394</v>
      </c>
      <c r="E3" s="26" t="n">
        <v>0.239037672167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19359.9</v>
      </c>
      <c r="C4" s="25" t="n">
        <v>23.9</v>
      </c>
      <c r="D4" s="26" t="n">
        <v>0.189393939394</v>
      </c>
      <c r="E4" s="26" t="n">
        <v>0.239585010309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19451.45</v>
      </c>
      <c r="C5" s="25" t="n">
        <v>24.01</v>
      </c>
      <c r="D5" s="26" t="n">
        <v>0.189393939394</v>
      </c>
      <c r="E5" s="26" t="n">
        <v>0.239548631154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19194.25</v>
      </c>
      <c r="C6" s="25" t="n">
        <v>23.7</v>
      </c>
      <c r="D6" s="26" t="n">
        <v>0.151515151515</v>
      </c>
      <c r="E6" s="26" t="n">
        <v>0.239271109253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19257.7</v>
      </c>
      <c r="C7" s="25" t="n">
        <v>23.77</v>
      </c>
      <c r="D7" s="26" t="n">
        <v>0.159090909091</v>
      </c>
      <c r="E7" s="26" t="n">
        <v>0.239467988159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19025.05</v>
      </c>
      <c r="C8" s="25" t="n">
        <v>23.49</v>
      </c>
      <c r="D8" s="26" t="n">
        <v>0.128787878788</v>
      </c>
      <c r="E8" s="26" t="n">
        <v>0.239136132151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18901.25</v>
      </c>
      <c r="C9" s="25" t="n">
        <v>23.33</v>
      </c>
      <c r="D9" s="26" t="n">
        <v>0.113636363636</v>
      </c>
      <c r="E9" s="26" t="n">
        <v>0.239788829445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18785.65</v>
      </c>
      <c r="C10" s="25" t="n">
        <v>23.71</v>
      </c>
      <c r="D10" s="26" t="n">
        <v>0.164179104478</v>
      </c>
      <c r="E10" s="26" t="n">
        <v>0.117981385388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18587.95</v>
      </c>
      <c r="C11" s="25" t="n">
        <v>23.46</v>
      </c>
      <c r="D11" s="26" t="n">
        <v>0.126865671642</v>
      </c>
      <c r="E11" s="26" t="n">
        <v>0.118176613509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18677.6</v>
      </c>
      <c r="C12" s="25" t="n">
        <v>23.57</v>
      </c>
      <c r="D12" s="26" t="n">
        <v>0.126865671642</v>
      </c>
      <c r="E12" s="26" t="n">
        <v>0.11842512574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18857.45</v>
      </c>
      <c r="C13" s="25" t="n">
        <v>23.8</v>
      </c>
      <c r="D13" s="26" t="n">
        <v>0.171641791045</v>
      </c>
      <c r="E13" s="26" t="n">
        <v>0.118192790138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18679.9</v>
      </c>
      <c r="C14" s="25" t="n">
        <v>23.57</v>
      </c>
      <c r="D14" s="26" t="n">
        <v>0.126865671642</v>
      </c>
      <c r="E14" s="26" t="n">
        <v>0.118334177494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18351.2</v>
      </c>
      <c r="C15" s="25" t="n">
        <v>23.16</v>
      </c>
      <c r="D15" s="26" t="n">
        <v>0.111940298507</v>
      </c>
      <c r="E15" s="26" t="n">
        <v>0.118217910058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18625.4</v>
      </c>
      <c r="C16" s="25" t="n">
        <v>23.51</v>
      </c>
      <c r="D16" s="26" t="n">
        <v>0.126865671642</v>
      </c>
      <c r="E16" s="26" t="n">
        <v>0.118009965435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18519.1</v>
      </c>
      <c r="C17" s="25" t="n">
        <v>23.34</v>
      </c>
      <c r="D17" s="26" t="n">
        <v>0.111940298507</v>
      </c>
      <c r="E17" s="26" t="n">
        <v>0.119343011839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18753.95</v>
      </c>
      <c r="C18" s="25" t="n">
        <v>23.63</v>
      </c>
      <c r="D18" s="26" t="n">
        <v>0.126865671642</v>
      </c>
      <c r="E18" s="26" t="n">
        <v>0.119978702718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18711.4</v>
      </c>
      <c r="C19" s="25" t="n">
        <v>23.58</v>
      </c>
      <c r="D19" s="26" t="n">
        <v>0.126865671642</v>
      </c>
      <c r="E19" s="26" t="n">
        <v>0.119809893737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18843.45</v>
      </c>
      <c r="C20" s="25" t="n">
        <v>23.75</v>
      </c>
      <c r="D20" s="26" t="n">
        <v>0.171641791045</v>
      </c>
      <c r="E20" s="26" t="n">
        <v>0.11932848561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18918.7</v>
      </c>
      <c r="C21" s="25" t="n">
        <v>23.81</v>
      </c>
      <c r="D21" s="26" t="n">
        <v>0.171641791045</v>
      </c>
      <c r="E21" s="26" t="n">
        <v>0.121217195365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18743.65</v>
      </c>
      <c r="C22" s="25" t="n">
        <v>23.5</v>
      </c>
      <c r="D22" s="26" t="n">
        <v>0.126865671642</v>
      </c>
      <c r="E22" s="26" t="n">
        <v>0.124796216785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18714.9</v>
      </c>
      <c r="C23" s="25" t="n">
        <v>23.47</v>
      </c>
      <c r="D23" s="26" t="n">
        <v>0.126865671642</v>
      </c>
      <c r="E23" s="26" t="n">
        <v>0.119439330213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18642.35</v>
      </c>
      <c r="C24" s="25" t="n">
        <v>23.36</v>
      </c>
      <c r="D24" s="26" t="n">
        <v>0.111940298507</v>
      </c>
      <c r="E24" s="26" t="n">
        <v>0.120350620218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18563.55</v>
      </c>
      <c r="C25" s="25" t="n">
        <v>23.26</v>
      </c>
      <c r="D25" s="26" t="n">
        <v>0.111940298507</v>
      </c>
      <c r="E25" s="26" t="n">
        <v>0.120345448222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18670.3</v>
      </c>
      <c r="C26" s="25" t="n">
        <v>23.4</v>
      </c>
      <c r="D26" s="26" t="n">
        <v>0.111940298507</v>
      </c>
      <c r="E26" s="26" t="n">
        <v>0.120074800563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18675.1</v>
      </c>
      <c r="C27" s="25" t="n">
        <v>23.43</v>
      </c>
      <c r="D27" s="26" t="n">
        <v>0.126865671642</v>
      </c>
      <c r="E27" s="26" t="n">
        <v>0.120372548767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18670.1</v>
      </c>
      <c r="C28" s="25" t="n">
        <v>23.43</v>
      </c>
      <c r="D28" s="26" t="n">
        <v>0.126865671642</v>
      </c>
      <c r="E28" s="26" t="n">
        <v>0.120173873704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18892.85</v>
      </c>
      <c r="C29" s="25" t="n">
        <v>23.71</v>
      </c>
      <c r="D29" s="26" t="n">
        <v>0.164179104478</v>
      </c>
      <c r="E29" s="26" t="n">
        <v>0.118043194938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Nifty100 Low Volatility 30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Apollo Hospitals Enterprise Ltd.</t>
        </is>
      </c>
      <c r="C6" t="inlineStr">
        <is>
          <t>APOLLOHOSP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Bajaj Finserv Ltd.</t>
        </is>
      </c>
      <c r="C9" t="inlineStr">
        <is>
          <t>BAJAJFINSV</t>
        </is>
      </c>
      <c r="D9" t="inlineStr">
        <is>
          <t>Financial Services</t>
        </is>
      </c>
    </row>
    <row r="10">
      <c r="A10" t="n">
        <v>5</v>
      </c>
      <c r="B10" t="inlineStr">
        <is>
          <t>Bharti Airtel Ltd.</t>
        </is>
      </c>
      <c r="C10" t="inlineStr">
        <is>
          <t>BHARTIARTL</t>
        </is>
      </c>
      <c r="D10" t="inlineStr">
        <is>
          <t>Telecommunication</t>
        </is>
      </c>
    </row>
    <row r="11">
      <c r="A11" t="n">
        <v>6</v>
      </c>
      <c r="B11" t="inlineStr">
        <is>
          <t>Britannia Industries Ltd.</t>
        </is>
      </c>
      <c r="C11" t="inlineStr">
        <is>
          <t>BRITANNIA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Cipla Ltd.</t>
        </is>
      </c>
      <c r="C12" t="inlineStr">
        <is>
          <t>CIPLA</t>
        </is>
      </c>
      <c r="D12" t="inlineStr">
        <is>
          <t>Healthcare</t>
        </is>
      </c>
    </row>
    <row r="13">
      <c r="A13" t="n">
        <v>8</v>
      </c>
      <c r="B13" t="inlineStr">
        <is>
          <t>Dr. Reddy's Laboratories Ltd.</t>
        </is>
      </c>
      <c r="C13" t="inlineStr">
        <is>
          <t>DRREDDY</t>
        </is>
      </c>
      <c r="D13" t="inlineStr">
        <is>
          <t>Healthcare</t>
        </is>
      </c>
    </row>
    <row r="14">
      <c r="A14" t="n">
        <v>9</v>
      </c>
      <c r="B14" t="inlineStr">
        <is>
          <t>HDFC Bank Ltd.</t>
        </is>
      </c>
      <c r="C14" t="inlineStr">
        <is>
          <t>HDFCBANK</t>
        </is>
      </c>
      <c r="D14" t="inlineStr">
        <is>
          <t>Financial Services</t>
        </is>
      </c>
    </row>
    <row r="15">
      <c r="A15" t="n">
        <v>10</v>
      </c>
      <c r="B15" t="inlineStr">
        <is>
          <t>HDFC Life Insurance Company Ltd.</t>
        </is>
      </c>
      <c r="C15" t="inlineStr">
        <is>
          <t>HDFCLIFE</t>
        </is>
      </c>
      <c r="D15" t="inlineStr">
        <is>
          <t>Financial Services</t>
        </is>
      </c>
    </row>
    <row r="16">
      <c r="A16" t="n">
        <v>11</v>
      </c>
      <c r="B16" t="inlineStr">
        <is>
          <t>Hindustan Unilever Ltd.</t>
        </is>
      </c>
      <c r="C16" t="inlineStr">
        <is>
          <t>HINDUNILVR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ICICI Bank Ltd.</t>
        </is>
      </c>
      <c r="C17" t="inlineStr">
        <is>
          <t>ICICIBANK</t>
        </is>
      </c>
      <c r="D17" t="inlineStr">
        <is>
          <t>Financial Services</t>
        </is>
      </c>
    </row>
    <row r="18">
      <c r="A18" t="n">
        <v>13</v>
      </c>
      <c r="B18" t="inlineStr">
        <is>
          <t>ITC Ltd.</t>
        </is>
      </c>
      <c r="C18" t="inlineStr">
        <is>
          <t>ITC</t>
        </is>
      </c>
      <c r="D18" t="inlineStr">
        <is>
          <t>Fast Moving Consumer Goods</t>
        </is>
      </c>
    </row>
    <row r="19">
      <c r="A19" t="n">
        <v>14</v>
      </c>
      <c r="B19" t="inlineStr">
        <is>
          <t>Kotak Mahindra Bank Ltd.</t>
        </is>
      </c>
      <c r="C19" t="inlineStr">
        <is>
          <t>KOTAKBANK</t>
        </is>
      </c>
      <c r="D19" t="inlineStr">
        <is>
          <t>Financial Services</t>
        </is>
      </c>
    </row>
    <row r="20">
      <c r="A20" t="n">
        <v>15</v>
      </c>
      <c r="B20" t="inlineStr">
        <is>
          <t>Larsen &amp; Toubro Ltd.</t>
        </is>
      </c>
      <c r="C20" t="inlineStr">
        <is>
          <t>LT</t>
        </is>
      </c>
      <c r="D20" t="inlineStr">
        <is>
          <t>Construction</t>
        </is>
      </c>
    </row>
    <row r="21">
      <c r="A21" t="n">
        <v>16</v>
      </c>
      <c r="B21" t="inlineStr">
        <is>
          <t>Maruti Suzuki India Ltd.</t>
        </is>
      </c>
      <c r="C21" t="inlineStr">
        <is>
          <t>MARUTI</t>
        </is>
      </c>
      <c r="D21" t="inlineStr">
        <is>
          <t>Automobile and Auto Components</t>
        </is>
      </c>
    </row>
    <row r="22">
      <c r="A22" t="n">
        <v>17</v>
      </c>
      <c r="B22" t="inlineStr">
        <is>
          <t>Nestle India Ltd.</t>
        </is>
      </c>
      <c r="C22" t="inlineStr">
        <is>
          <t>NESTLEIND</t>
        </is>
      </c>
      <c r="D22" t="inlineStr">
        <is>
          <t>Fast Moving Consumer Goods</t>
        </is>
      </c>
    </row>
    <row r="23">
      <c r="A23" t="n">
        <v>18</v>
      </c>
      <c r="B23" t="inlineStr">
        <is>
          <t>NTPC Ltd.</t>
        </is>
      </c>
      <c r="C23" t="inlineStr">
        <is>
          <t>NTPC</t>
        </is>
      </c>
      <c r="D23" t="inlineStr">
        <is>
          <t>Power</t>
        </is>
      </c>
    </row>
    <row r="24">
      <c r="A24" t="n">
        <v>19</v>
      </c>
      <c r="B24" t="inlineStr">
        <is>
          <t>Pidilite Industries Ltd.</t>
        </is>
      </c>
      <c r="C24" t="inlineStr">
        <is>
          <t>PIDILITIND</t>
        </is>
      </c>
      <c r="D24" t="inlineStr">
        <is>
          <t>Chemicals</t>
        </is>
      </c>
    </row>
    <row r="25">
      <c r="A25" t="n">
        <v>20</v>
      </c>
      <c r="B25" t="inlineStr">
        <is>
          <t>Power Grid Corporation of India Ltd.</t>
        </is>
      </c>
      <c r="C25" t="inlineStr">
        <is>
          <t>POWERGRID</t>
        </is>
      </c>
      <c r="D25" t="inlineStr">
        <is>
          <t>Power</t>
        </is>
      </c>
    </row>
    <row r="26">
      <c r="A26" t="n">
        <v>21</v>
      </c>
      <c r="B26" t="inlineStr">
        <is>
          <t>Reliance Industries Ltd.</t>
        </is>
      </c>
      <c r="C26" t="inlineStr">
        <is>
          <t>RELIANCE</t>
        </is>
      </c>
      <c r="D26" t="inlineStr">
        <is>
          <t>Oil Gas &amp; Consumable Fuels</t>
        </is>
      </c>
    </row>
    <row r="27">
      <c r="A27" t="n">
        <v>22</v>
      </c>
      <c r="B27" t="inlineStr">
        <is>
          <t>SBI Life Insurance Company Ltd.</t>
        </is>
      </c>
      <c r="C27" t="inlineStr">
        <is>
          <t>SBILIFE</t>
        </is>
      </c>
      <c r="D27" t="inlineStr">
        <is>
          <t>Financial Services</t>
        </is>
      </c>
    </row>
    <row r="28">
      <c r="A28" t="n">
        <v>23</v>
      </c>
      <c r="B28" t="inlineStr">
        <is>
          <t>State Bank of India</t>
        </is>
      </c>
      <c r="C28" t="inlineStr">
        <is>
          <t>SBIN</t>
        </is>
      </c>
      <c r="D28" t="inlineStr">
        <is>
          <t>Financial Services</t>
        </is>
      </c>
    </row>
    <row r="29">
      <c r="A29" t="n">
        <v>24</v>
      </c>
      <c r="B29" t="inlineStr">
        <is>
          <t>Sun Pharmaceutical Industries Ltd.</t>
        </is>
      </c>
      <c r="C29" t="inlineStr">
        <is>
          <t>SUNPHARMA</t>
        </is>
      </c>
      <c r="D29" t="inlineStr">
        <is>
          <t>Healthcare</t>
        </is>
      </c>
    </row>
    <row r="30">
      <c r="A30" t="n">
        <v>25</v>
      </c>
      <c r="B30" t="inlineStr">
        <is>
          <t>Tata Consultancy Services Ltd.</t>
        </is>
      </c>
      <c r="C30" t="inlineStr">
        <is>
          <t>TCS</t>
        </is>
      </c>
      <c r="D30" t="inlineStr">
        <is>
          <t>Information Technology</t>
        </is>
      </c>
    </row>
    <row r="31">
      <c r="A31" t="n">
        <v>26</v>
      </c>
      <c r="B31" t="inlineStr">
        <is>
          <t>Tata Power Co. Ltd.</t>
        </is>
      </c>
      <c r="C31" t="inlineStr">
        <is>
          <t>TATAPOWER</t>
        </is>
      </c>
      <c r="D31" t="inlineStr">
        <is>
          <t>Power</t>
        </is>
      </c>
    </row>
    <row r="32">
      <c r="A32" t="n">
        <v>27</v>
      </c>
      <c r="B32" t="inlineStr">
        <is>
          <t>Titan Company Ltd.</t>
        </is>
      </c>
      <c r="C32" t="inlineStr">
        <is>
          <t>TITAN</t>
        </is>
      </c>
      <c r="D32" t="inlineStr">
        <is>
          <t>Consumer Durables</t>
        </is>
      </c>
    </row>
    <row r="33">
      <c r="A33" t="n">
        <v>28</v>
      </c>
      <c r="B33" t="inlineStr">
        <is>
          <t>Torrent Pharmaceuticals Ltd.</t>
        </is>
      </c>
      <c r="C33" t="inlineStr">
        <is>
          <t>TORNTPHARM</t>
        </is>
      </c>
      <c r="D33" t="inlineStr">
        <is>
          <t>Healthcare</t>
        </is>
      </c>
    </row>
    <row r="34">
      <c r="A34" t="n">
        <v>29</v>
      </c>
      <c r="B34" t="inlineStr">
        <is>
          <t>UltraTech Cement Ltd.</t>
        </is>
      </c>
      <c r="C34" t="inlineStr">
        <is>
          <t>ULTRACEMCO</t>
        </is>
      </c>
      <c r="D34" t="inlineStr">
        <is>
          <t>Construction Materials</t>
        </is>
      </c>
    </row>
    <row r="35">
      <c r="A35" t="n">
        <v>30</v>
      </c>
      <c r="B35" t="inlineStr">
        <is>
          <t>Wipro Ltd.</t>
        </is>
      </c>
      <c r="C35" t="inlineStr">
        <is>
          <t>WIPRO</t>
        </is>
      </c>
      <c r="D35" t="inlineStr">
        <is>
          <t>Information Technology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2026-10-29T18:39:43Z</dcterms:created>
  <dcterms:modified xsi:type="dcterms:W3CDTF">2026-10-29T18:40:11Z</dcterms:modified>
</cp:coreProperties>
</file>