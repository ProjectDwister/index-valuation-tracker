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19359.9</v>
      </c>
      <c r="D5" s="2" t="inlineStr">
        <is>
          <t>P/E</t>
        </is>
      </c>
      <c r="E5" s="25" t="n">
        <v>23.9</v>
      </c>
    </row>
    <row r="6">
      <c r="A6" s="2" t="inlineStr">
        <is>
          <t>P/E percentile</t>
        </is>
      </c>
      <c r="B6" s="26" t="n">
        <v>0.1893939393939394</v>
      </c>
      <c r="D6" s="2" t="inlineStr">
        <is>
          <t>Implied EPS</t>
        </is>
      </c>
      <c r="E6" s="27" t="n">
        <v>810.0376569037658</v>
      </c>
    </row>
    <row r="7">
      <c r="A7" s="2" t="inlineStr">
        <is>
          <t>YoY implied EPS growth</t>
        </is>
      </c>
      <c r="B7" s="26" t="n">
        <v>0.2395850103091663</v>
      </c>
      <c r="D7" s="2" t="inlineStr">
        <is>
          <t>Earnings yield</t>
        </is>
      </c>
      <c r="E7" s="10" t="n">
        <v>0.04184100418410042</v>
      </c>
    </row>
    <row r="8">
      <c r="A8" s="2" t="inlineStr">
        <is>
          <t>Valuation score</t>
        </is>
      </c>
      <c r="B8" s="28" t="n">
        <v>81.06060606060606</v>
      </c>
      <c r="D8" s="2" t="inlineStr">
        <is>
          <t>Growth score</t>
        </is>
      </c>
      <c r="E8" s="28" t="n">
        <v>97.91700206183327</v>
      </c>
    </row>
    <row r="9">
      <c r="A9" s="2" t="inlineStr">
        <is>
          <t>Composite score</t>
        </is>
      </c>
      <c r="B9" s="28" t="n">
        <v>86.11752486097421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25.59553758291593</v>
      </c>
      <c r="C13" s="15" t="n">
        <v>20733.3492908575</v>
      </c>
      <c r="D13" s="30" t="n">
        <v>0.07094299510108493</v>
      </c>
    </row>
    <row r="14">
      <c r="A14" t="inlineStr">
        <is>
          <t>HOLD → SELL</t>
        </is>
      </c>
      <c r="B14" s="29" t="n">
        <v>31.72608264035271</v>
      </c>
      <c r="C14" s="15" t="n">
        <v>25699.32164472655</v>
      </c>
      <c r="D14" s="30" t="n">
        <v>0.3274511565001135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0.2123932568801601</v>
      </c>
      <c r="D18" s="30" t="n">
        <v>0.1636147365966865</v>
      </c>
      <c r="E18" s="30" t="n">
        <v>0.1794607619412502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0.1632956816662833</v>
      </c>
      <c r="D19" s="30" t="n">
        <v>0.1239428911786542</v>
      </c>
      <c r="E19" s="30" t="n">
        <v>0.119180747935516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0.218131582745405</v>
      </c>
      <c r="D20" s="30" t="n">
        <v>0.1328021984053901</v>
      </c>
      <c r="E20" s="30" t="n">
        <v>0.138647834901935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0.03609709220840063</v>
      </c>
      <c r="D21" s="30" t="n">
        <v>0.1325186475571374</v>
      </c>
      <c r="E21" s="30" t="n">
        <v>0.1492930452333401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0.03609753140173821</v>
      </c>
      <c r="D22" s="30" t="n">
        <v>0.1382202175034873</v>
      </c>
      <c r="E22" s="30" t="n">
        <v>0.1301902293227373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11196.1</v>
      </c>
      <c r="C2" s="25" t="n">
        <v>24.99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12042.3</v>
      </c>
      <c r="C3" s="25" t="n">
        <v>22.35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12302.3</v>
      </c>
      <c r="C4" s="25" t="n">
        <v>23.65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12337.95</v>
      </c>
      <c r="C5" s="25" t="n">
        <v>23.09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13174.25</v>
      </c>
      <c r="C6" s="25" t="n">
        <v>23.11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13603.9</v>
      </c>
      <c r="C7" s="25" t="n">
        <v>24.28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13138.35</v>
      </c>
      <c r="C8" s="25" t="n">
        <v>22.71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12933.05</v>
      </c>
      <c r="C9" s="25" t="n">
        <v>22.33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13230.15</v>
      </c>
      <c r="C10" s="25" t="n">
        <v>25.68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12939.15</v>
      </c>
      <c r="C11" s="25" t="n">
        <v>25.03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12464.55</v>
      </c>
      <c r="C12" s="25" t="n">
        <v>23.7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12713.3</v>
      </c>
      <c r="C13" s="25" t="n">
        <v>24.97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12836.3</v>
      </c>
      <c r="C14" s="25" t="n">
        <v>25.06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12696.25</v>
      </c>
      <c r="C15" s="25" t="n">
        <v>24.88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11985.55</v>
      </c>
      <c r="C16" s="25" t="n">
        <v>22.4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12925.05</v>
      </c>
      <c r="C17" s="25" t="n">
        <v>24.14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13293.05</v>
      </c>
      <c r="C18" s="25" t="n">
        <v>25.5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12859.05</v>
      </c>
      <c r="C19" s="25" t="n">
        <v>23.42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13229.65</v>
      </c>
      <c r="C20" s="25" t="n">
        <v>24.24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13771.4</v>
      </c>
      <c r="C21" s="25" t="n">
        <v>26.63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13236.25</v>
      </c>
      <c r="C22" s="25" t="n">
        <v>25.9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13127.85</v>
      </c>
      <c r="C23" s="25" t="n">
        <v>25.3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12898.95</v>
      </c>
      <c r="C24" s="25" t="n">
        <v>25.61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12996.85</v>
      </c>
      <c r="C25" s="25" t="n">
        <v>26.21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13476.75</v>
      </c>
      <c r="C26" s="25" t="n">
        <v>26.93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13965.35</v>
      </c>
      <c r="C27" s="25" t="n">
        <v>26.26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14531.2</v>
      </c>
      <c r="C28" s="25" t="n">
        <v>26.55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15131.7</v>
      </c>
      <c r="C29" s="25" t="n">
        <v>27.16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14793.6</v>
      </c>
      <c r="C30" s="25" t="n">
        <v>23.83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15035.05</v>
      </c>
      <c r="C31" s="25" t="n">
        <v>24.91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14894.1</v>
      </c>
      <c r="C32" s="25" t="n">
        <v>23.86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15906.8</v>
      </c>
      <c r="C33" s="25" t="n">
        <v>22.85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17272.3</v>
      </c>
      <c r="C34" s="25" t="n">
        <v>26.74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17429.15</v>
      </c>
      <c r="C35" s="25" t="n">
        <v>25.59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17992.75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18143.9</v>
      </c>
      <c r="C37" s="25" t="n">
        <v>32.83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17882.95</v>
      </c>
      <c r="C38" s="25" t="n">
        <v>32.01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17865.5</v>
      </c>
      <c r="C39" s="25" t="n">
        <v>31.16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19077.45</v>
      </c>
      <c r="C40" s="25" t="n">
        <v>34.88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20211.65</v>
      </c>
      <c r="C41" s="25" t="n">
        <v>36.05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20666.9</v>
      </c>
      <c r="C42" s="25" t="n">
        <v>36.35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21433.4</v>
      </c>
      <c r="C43" s="25" t="n">
        <v>36.01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19705.8</v>
      </c>
      <c r="C44" s="25" t="n">
        <v>32.7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19336.4</v>
      </c>
      <c r="C45" s="25" t="n">
        <v>32.29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19187.85</v>
      </c>
      <c r="C46" s="25" t="n">
        <v>32.12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19283.3</v>
      </c>
      <c r="C47" s="25" t="n">
        <v>31.71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17890.7</v>
      </c>
      <c r="C48" s="25" t="n">
        <v>28.83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18798.85</v>
      </c>
      <c r="C49" s="25" t="n">
        <v>30.33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19474.85</v>
      </c>
      <c r="C50" s="25" t="n">
        <v>31.22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19655.6</v>
      </c>
      <c r="C51" s="25" t="n">
        <v>30.92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20165.75</v>
      </c>
      <c r="C52" s="25" t="n">
        <v>31.83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19986.45</v>
      </c>
      <c r="C53" s="25" t="n">
        <v>31.21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20248.8</v>
      </c>
      <c r="C54" s="25" t="n">
        <v>30.98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19921.45</v>
      </c>
      <c r="C55" s="25" t="n">
        <v>28.11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20647.75</v>
      </c>
      <c r="C56" s="25" t="n">
        <v>28.91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21045.05</v>
      </c>
      <c r="C57" s="25" t="n">
        <v>29.03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21130.15</v>
      </c>
      <c r="C58" s="25" t="n">
        <v>29.2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20447.25</v>
      </c>
      <c r="C59" s="25" t="n">
        <v>28.51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20495</v>
      </c>
      <c r="C60" s="25" t="n">
        <v>28.36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18308.4</v>
      </c>
      <c r="C61" s="25" t="n">
        <v>25.21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19652.3</v>
      </c>
      <c r="C62" s="25" t="n">
        <v>26.85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19513.45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19683.1</v>
      </c>
      <c r="C64" s="25" t="n">
        <v>24.73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20570.85</v>
      </c>
      <c r="C65" s="25" t="n">
        <v>25.66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20222.1</v>
      </c>
      <c r="C66" s="25" t="n">
        <v>24.96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42643</v>
      </c>
      <c r="B2" s="24" t="n">
        <v>6791.57</v>
      </c>
      <c r="C2" s="25" t="n">
        <v>24.55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IF(C2="","",(COUNTIFS($D$2:$D$41,D2,$C$2:$C$41,"&gt;0",$C$2:$C$41,"&lt;"&amp;C2)+(COUNTIFS($D$2:$D$41,D2,$C$2:$C$41,C2)+1)/2)/COUNTIFS($D$2:$D$41,D2,$C$2:$C$41,"&gt;0"))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42735</v>
      </c>
      <c r="B3" s="24" t="n">
        <v>6143.55</v>
      </c>
      <c r="C3" s="25" t="n">
        <v>21.72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IF(C3="","",(COUNTIFS($D$2:$D$41,D3,$C$2:$C$41,"&gt;0",$C$2:$C$41,"&lt;"&amp;C3)+(COUNTIFS($D$2:$D$41,D3,$C$2:$C$41,C3)+1)/2)/COUNTIFS($D$2:$D$41,D3,$C$2:$C$41,"&gt;0"))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42825</v>
      </c>
      <c r="B4" s="24" t="n">
        <v>6778.77</v>
      </c>
      <c r="C4" s="25" t="n">
        <v>22.99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IF(C4="","",(COUNTIFS($D$2:$D$41,D4,$C$2:$C$41,"&gt;0",$C$2:$C$41,"&lt;"&amp;C4)+(COUNTIFS($D$2:$D$41,D4,$C$2:$C$41,C4)+1)/2)/COUNTIFS($D$2:$D$41,D4,$C$2:$C$41,"&gt;0"))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42916</v>
      </c>
      <c r="B5" s="24" t="n">
        <v>7297.01</v>
      </c>
      <c r="C5" s="25" t="n">
        <v>23.07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IF(C5="","",(COUNTIFS($D$2:$D$41,D5,$C$2:$C$41,"&gt;0",$C$2:$C$41,"&lt;"&amp;C5)+(COUNTIFS($D$2:$D$41,D5,$C$2:$C$41,C5)+1)/2)/COUNTIFS($D$2:$D$41,D5,$C$2:$C$41,"&gt;0"))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43008</v>
      </c>
      <c r="B6" s="24" t="n">
        <v>7594.23</v>
      </c>
      <c r="C6" s="25" t="n">
        <v>23.95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IF(C6="","",(COUNTIFS($D$2:$D$41,D6,$C$2:$C$41,"&gt;0",$C$2:$C$41,"&lt;"&amp;C6)+(COUNTIFS($D$2:$D$41,D6,$C$2:$C$41,C6)+1)/2)/COUNTIFS($D$2:$D$41,D6,$C$2:$C$41,"&gt;0"))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43100</v>
      </c>
      <c r="B7" s="24" t="n">
        <v>8155.55</v>
      </c>
      <c r="C7" s="25" t="n">
        <v>25.45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IF(C7="","",(COUNTIFS($D$2:$D$41,D7,$C$2:$C$41,"&gt;0",$C$2:$C$41,"&lt;"&amp;C7)+(COUNTIFS($D$2:$D$41,D7,$C$2:$C$41,C7)+1)/2)/COUNTIFS($D$2:$D$41,D7,$C$2:$C$41,"&gt;0"))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43190</v>
      </c>
      <c r="B8" s="24" t="n">
        <v>7936.65</v>
      </c>
      <c r="C8" s="25" t="n">
        <v>23.37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IF(C8="","",(COUNTIFS($D$2:$D$41,D8,$C$2:$C$41,"&gt;0",$C$2:$C$41,"&lt;"&amp;C8)+(COUNTIFS($D$2:$D$41,D8,$C$2:$C$41,C8)+1)/2)/COUNTIFS($D$2:$D$41,D8,$C$2:$C$41,"&gt;0"))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43281</v>
      </c>
      <c r="B9" s="24" t="n">
        <v>8433.75</v>
      </c>
      <c r="C9" s="25" t="n">
        <v>24.19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IF(C9="","",(COUNTIFS($D$2:$D$41,D9,$C$2:$C$41,"&gt;0",$C$2:$C$41,"&lt;"&amp;C9)+(COUNTIFS($D$2:$D$41,D9,$C$2:$C$41,C9)+1)/2)/COUNTIFS($D$2:$D$41,D9,$C$2:$C$41,"&gt;0"))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43373</v>
      </c>
      <c r="B10" s="24" t="n">
        <v>8591.65</v>
      </c>
      <c r="C10" s="25" t="n">
        <v>25.49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IF(C10="","",(COUNTIFS($D$2:$D$41,D10,$C$2:$C$41,"&gt;0",$C$2:$C$41,"&lt;"&amp;C10)+(COUNTIFS($D$2:$D$41,D10,$C$2:$C$41,C10)+1)/2)/COUNTIFS($D$2:$D$41,D10,$C$2:$C$41,"&gt;0"))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43465</v>
      </c>
      <c r="B11" s="24" t="n">
        <v>8604.700000000001</v>
      </c>
      <c r="C11" s="25" t="n">
        <v>25.1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IF(C11="","",(COUNTIFS($D$2:$D$41,D11,$C$2:$C$41,"&gt;0",$C$2:$C$41,"&lt;"&amp;C11)+(COUNTIFS($D$2:$D$41,D11,$C$2:$C$41,C11)+1)/2)/COUNTIFS($D$2:$D$41,D11,$C$2:$C$41,"&gt;0"))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43555</v>
      </c>
      <c r="B12" s="24" t="n">
        <v>8789.299999999999</v>
      </c>
      <c r="C12" s="25" t="n">
        <v>25.32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IF(C12="","",(COUNTIFS($D$2:$D$41,D12,$C$2:$C$41,"&gt;0",$C$2:$C$41,"&lt;"&amp;C12)+(COUNTIFS($D$2:$D$41,D12,$C$2:$C$41,C12)+1)/2)/COUNTIFS($D$2:$D$41,D12,$C$2:$C$41,"&gt;0"))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43646</v>
      </c>
      <c r="B13" s="24" t="n">
        <v>8742.549999999999</v>
      </c>
      <c r="C13" s="25" t="n">
        <v>25.49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IF(C13="","",(COUNTIFS($D$2:$D$41,D13,$C$2:$C$41,"&gt;0",$C$2:$C$41,"&lt;"&amp;C13)+(COUNTIFS($D$2:$D$41,D13,$C$2:$C$41,C13)+1)/2)/COUNTIFS($D$2:$D$41,D13,$C$2:$C$41,"&gt;0"))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43738</v>
      </c>
      <c r="B14" s="24" t="n">
        <v>8825.65</v>
      </c>
      <c r="C14" s="25" t="n">
        <v>23.76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IF(C14="","",(COUNTIFS($D$2:$D$41,D14,$C$2:$C$41,"&gt;0",$C$2:$C$41,"&lt;"&amp;C14)+(COUNTIFS($D$2:$D$41,D14,$C$2:$C$41,C14)+1)/2)/COUNTIFS($D$2:$D$41,D14,$C$2:$C$41,"&gt;0"))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43830</v>
      </c>
      <c r="B15" s="24" t="n">
        <v>8910.85</v>
      </c>
      <c r="C15" s="25" t="n">
        <v>22.87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IF(C15="","",(COUNTIFS($D$2:$D$41,D15,$C$2:$C$41,"&gt;0",$C$2:$C$41,"&lt;"&amp;C15)+(COUNTIFS($D$2:$D$41,D15,$C$2:$C$41,C15)+1)/2)/COUNTIFS($D$2:$D$41,D15,$C$2:$C$41,"&gt;0"))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43921</v>
      </c>
      <c r="B16" s="24" t="n">
        <v>7081.55</v>
      </c>
      <c r="C16" s="25" t="n">
        <v>18.49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IF(C16="","",(COUNTIFS($D$2:$D$41,D16,$C$2:$C$41,"&gt;0",$C$2:$C$41,"&lt;"&amp;C16)+(COUNTIFS($D$2:$D$41,D16,$C$2:$C$41,C16)+1)/2)/COUNTIFS($D$2:$D$41,D16,$C$2:$C$41,"&gt;0"))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44012</v>
      </c>
      <c r="B17" s="24" t="n">
        <v>8340.950000000001</v>
      </c>
      <c r="C17" s="25" t="n">
        <v>21.1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IF(C17="","",(COUNTIFS($D$2:$D$41,D17,$C$2:$C$41,"&gt;0",$C$2:$C$41,"&lt;"&amp;C17)+(COUNTIFS($D$2:$D$41,D17,$C$2:$C$41,C17)+1)/2)/COUNTIFS($D$2:$D$41,D17,$C$2:$C$41,"&gt;0"))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44104</v>
      </c>
      <c r="B18" s="24" t="n">
        <v>9234.75</v>
      </c>
      <c r="C18" s="25" t="n">
        <v>24.13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IF(C18="","",(COUNTIFS($D$2:$D$41,D18,$C$2:$C$41,"&gt;0",$C$2:$C$41,"&lt;"&amp;C18)+(COUNTIFS($D$2:$D$41,D18,$C$2:$C$41,C18)+1)/2)/COUNTIFS($D$2:$D$41,D18,$C$2:$C$41,"&gt;0"))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44196</v>
      </c>
      <c r="B19" s="24" t="n">
        <v>10880.55</v>
      </c>
      <c r="C19" s="25" t="n">
        <v>29.43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IF(C19="","",(COUNTIFS($D$2:$D$41,D19,$C$2:$C$41,"&gt;0",$C$2:$C$41,"&lt;"&amp;C19)+(COUNTIFS($D$2:$D$41,D19,$C$2:$C$41,C19)+1)/2)/COUNTIFS($D$2:$D$41,D19,$C$2:$C$41,"&gt;0"))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44286</v>
      </c>
      <c r="B20" s="24" t="n">
        <v>11268.6</v>
      </c>
      <c r="C20" s="25" t="n">
        <v>25.36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IF(C20="","",(COUNTIFS($D$2:$D$41,D20,$C$2:$C$41,"&gt;0",$C$2:$C$41,"&lt;"&amp;C20)+(COUNTIFS($D$2:$D$41,D20,$C$2:$C$41,C20)+1)/2)/COUNTIFS($D$2:$D$41,D20,$C$2:$C$41,"&gt;0"))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44377</v>
      </c>
      <c r="B21" s="24" t="n">
        <v>12302.3</v>
      </c>
      <c r="C21" s="25" t="n">
        <v>23.65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IF(C21="","",(COUNTIFS($D$2:$D$41,D21,$C$2:$C$41,"&gt;0",$C$2:$C$41,"&lt;"&amp;C21)+(COUNTIFS($D$2:$D$41,D21,$C$2:$C$41,C21)+1)/2)/COUNTIFS($D$2:$D$41,D21,$C$2:$C$41,"&gt;0"))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44469</v>
      </c>
      <c r="B22" s="24" t="n">
        <v>13603.9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IF(C22="","",(COUNTIFS($D$2:$D$41,D22,$C$2:$C$41,"&gt;0",$C$2:$C$41,"&lt;"&amp;C22)+(COUNTIFS($D$2:$D$41,D22,$C$2:$C$41,C22)+1)/2)/COUNTIFS($D$2:$D$41,D22,$C$2:$C$41,"&gt;0"))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44561</v>
      </c>
      <c r="B23" s="24" t="n">
        <v>13230.15</v>
      </c>
      <c r="C23" s="25" t="n">
        <v>25.68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IF(C23="","",(COUNTIFS($D$2:$D$41,D23,$C$2:$C$41,"&gt;0",$C$2:$C$41,"&lt;"&amp;C23)+(COUNTIFS($D$2:$D$41,D23,$C$2:$C$41,C23)+1)/2)/COUNTIFS($D$2:$D$41,D23,$C$2:$C$41,"&gt;0"))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44651</v>
      </c>
      <c r="B24" s="24" t="n">
        <v>12713.3</v>
      </c>
      <c r="C24" s="25" t="n">
        <v>24.97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IF(C24="","",(COUNTIFS($D$2:$D$41,D24,$C$2:$C$41,"&gt;0",$C$2:$C$41,"&lt;"&amp;C24)+(COUNTIFS($D$2:$D$41,D24,$C$2:$C$41,C24)+1)/2)/COUNTIFS($D$2:$D$41,D24,$C$2:$C$41,"&gt;0"))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44742</v>
      </c>
      <c r="B25" s="24" t="n">
        <v>11985.55</v>
      </c>
      <c r="C25" s="25" t="n">
        <v>22.4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IF(C25="","",(COUNTIFS($D$2:$D$41,D25,$C$2:$C$41,"&gt;0",$C$2:$C$41,"&lt;"&amp;C25)+(COUNTIFS($D$2:$D$41,D25,$C$2:$C$41,C25)+1)/2)/COUNTIFS($D$2:$D$41,D25,$C$2:$C$41,"&gt;0"))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44834</v>
      </c>
      <c r="B26" s="24" t="n">
        <v>12859.05</v>
      </c>
      <c r="C26" s="25" t="n">
        <v>23.42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IF(C26="","",(COUNTIFS($D$2:$D$41,D26,$C$2:$C$41,"&gt;0",$C$2:$C$41,"&lt;"&amp;C26)+(COUNTIFS($D$2:$D$41,D26,$C$2:$C$41,C26)+1)/2)/COUNTIFS($D$2:$D$41,D26,$C$2:$C$41,"&gt;0"))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44926</v>
      </c>
      <c r="B27" s="24" t="n">
        <v>13236.25</v>
      </c>
      <c r="C27" s="25" t="n">
        <v>25.9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IF(C27="","",(COUNTIFS($D$2:$D$41,D27,$C$2:$C$41,"&gt;0",$C$2:$C$41,"&lt;"&amp;C27)+(COUNTIFS($D$2:$D$41,D27,$C$2:$C$41,C27)+1)/2)/COUNTIFS($D$2:$D$41,D27,$C$2:$C$41,"&gt;0"))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45016</v>
      </c>
      <c r="B28" s="24" t="n">
        <v>12996.85</v>
      </c>
      <c r="C28" s="25" t="n">
        <v>26.21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IF(C28="","",(COUNTIFS($D$2:$D$41,D28,$C$2:$C$41,"&gt;0",$C$2:$C$41,"&lt;"&amp;C28)+(COUNTIFS($D$2:$D$41,D28,$C$2:$C$41,C28)+1)/2)/COUNTIFS($D$2:$D$41,D28,$C$2:$C$41,"&gt;0"))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45107</v>
      </c>
      <c r="B29" s="24" t="n">
        <v>14531.2</v>
      </c>
      <c r="C29" s="25" t="n">
        <v>26.55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IF(C29="","",(COUNTIFS($D$2:$D$41,D29,$C$2:$C$41,"&gt;0",$C$2:$C$41,"&lt;"&amp;C29)+(COUNTIFS($D$2:$D$41,D29,$C$2:$C$41,C29)+1)/2)/COUNTIFS($D$2:$D$41,D29,$C$2:$C$41,"&gt;0"))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45199</v>
      </c>
      <c r="B30" s="24" t="n">
        <v>15035.05</v>
      </c>
      <c r="C30" s="25" t="n">
        <v>24.91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IF(C30="","",(COUNTIFS($D$2:$D$41,D30,$C$2:$C$41,"&gt;0",$C$2:$C$41,"&lt;"&amp;C30)+(COUNTIFS($D$2:$D$41,D30,$C$2:$C$41,C30)+1)/2)/COUNTIFS($D$2:$D$41,D30,$C$2:$C$41,"&gt;0"))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45291</v>
      </c>
      <c r="B31" s="24" t="n">
        <v>17272.3</v>
      </c>
      <c r="C31" s="25" t="n">
        <v>26.74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IF(C31="","",(COUNTIFS($D$2:$D$41,D31,$C$2:$C$41,"&gt;0",$C$2:$C$41,"&lt;"&amp;C31)+(COUNTIFS($D$2:$D$41,D31,$C$2:$C$41,C31)+1)/2)/COUNTIFS($D$2:$D$41,D31,$C$2:$C$41,"&gt;0"))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45382</v>
      </c>
      <c r="B32" s="24" t="n">
        <v>18143.9</v>
      </c>
      <c r="C32" s="25" t="n">
        <v>32.83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IF(C32="","",(COUNTIFS($D$2:$D$41,D32,$C$2:$C$41,"&gt;0",$C$2:$C$41,"&lt;"&amp;C32)+(COUNTIFS($D$2:$D$41,D32,$C$2:$C$41,C32)+1)/2)/COUNTIFS($D$2:$D$41,D32,$C$2:$C$41,"&gt;0"))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45473</v>
      </c>
      <c r="B33" s="24" t="n">
        <v>19077.45</v>
      </c>
      <c r="C33" s="25" t="n">
        <v>34.88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IF(C33="","",(COUNTIFS($D$2:$D$41,D33,$C$2:$C$41,"&gt;0",$C$2:$C$41,"&lt;"&amp;C33)+(COUNTIFS($D$2:$D$41,D33,$C$2:$C$41,C33)+1)/2)/COUNTIFS($D$2:$D$41,D33,$C$2:$C$41,"&gt;0"))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45565</v>
      </c>
      <c r="B34" s="24" t="n">
        <v>21433.4</v>
      </c>
      <c r="C34" s="25" t="n">
        <v>36.01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IF(C34="","",(COUNTIFS($D$2:$D$41,D34,$C$2:$C$41,"&gt;0",$C$2:$C$41,"&lt;"&amp;C34)+(COUNTIFS($D$2:$D$41,D34,$C$2:$C$41,C34)+1)/2)/COUNTIFS($D$2:$D$41,D34,$C$2:$C$41,"&gt;0"))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45657</v>
      </c>
      <c r="B35" s="24" t="n">
        <v>19187.85</v>
      </c>
      <c r="C35" s="25" t="n">
        <v>32.12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IF(C35="","",(COUNTIFS($D$2:$D$41,D35,$C$2:$C$41,"&gt;0",$C$2:$C$41,"&lt;"&amp;C35)+(COUNTIFS($D$2:$D$41,D35,$C$2:$C$41,C35)+1)/2)/COUNTIFS($D$2:$D$41,D35,$C$2:$C$41,"&gt;0"))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45747</v>
      </c>
      <c r="B36" s="24" t="n">
        <v>18798.85</v>
      </c>
      <c r="C36" s="25" t="n">
        <v>30.33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IF(C36="","",(COUNTIFS($D$2:$D$41,D36,$C$2:$C$41,"&gt;0",$C$2:$C$41,"&lt;"&amp;C36)+(COUNTIFS($D$2:$D$41,D36,$C$2:$C$41,C36)+1)/2)/COUNTIFS($D$2:$D$41,D36,$C$2:$C$41,"&gt;0"))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45838</v>
      </c>
      <c r="B37" s="24" t="n">
        <v>20165.75</v>
      </c>
      <c r="C37" s="25" t="n">
        <v>31.83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IF(C37="","",(COUNTIFS($D$2:$D$41,D37,$C$2:$C$41,"&gt;0",$C$2:$C$41,"&lt;"&amp;C37)+(COUNTIFS($D$2:$D$41,D37,$C$2:$C$41,C37)+1)/2)/COUNTIFS($D$2:$D$41,D37,$C$2:$C$41,"&gt;0"))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45930</v>
      </c>
      <c r="B38" s="24" t="n">
        <v>19921.45</v>
      </c>
      <c r="C38" s="25" t="n">
        <v>28.11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IF(C38="","",(COUNTIFS($D$2:$D$41,D38,$C$2:$C$41,"&gt;0",$C$2:$C$41,"&lt;"&amp;C38)+(COUNTIFS($D$2:$D$41,D38,$C$2:$C$41,C38)+1)/2)/COUNTIFS($D$2:$D$41,D38,$C$2:$C$41,"&gt;0"))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  <row r="39">
      <c r="A39" s="31" t="n">
        <v>46022</v>
      </c>
      <c r="B39" s="24" t="n">
        <v>21130.15</v>
      </c>
      <c r="C39" s="25" t="n">
        <v>29.2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IF(C39="","",(COUNTIFS($D$2:$D$41,D39,$C$2:$C$41,"&gt;0",$C$2:$C$41,"&lt;"&amp;C39)+(COUNTIFS($D$2:$D$41,D39,$C$2:$C$41,C39)+1)/2)/COUNTIFS($D$2:$D$41,D39,$C$2:$C$41,"&gt;0"))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46112</v>
      </c>
      <c r="B40" s="24" t="n">
        <v>18308.4</v>
      </c>
      <c r="C40" s="25" t="n">
        <v>25.21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IF(C40="","",(COUNTIFS($D$2:$D$41,D40,$C$2:$C$41,"&gt;0",$C$2:$C$41,"&lt;"&amp;C40)+(COUNTIFS($D$2:$D$41,D40,$C$2:$C$41,C40)+1)/2)/COUNTIFS($D$2:$D$41,D40,$C$2:$C$41,"&gt;0"))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46203</v>
      </c>
      <c r="B41" s="24" t="n">
        <v>19683.1</v>
      </c>
      <c r="C41" s="25" t="n">
        <v>24.73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IF(C41="","",(COUNTIFS($D$2:$D$41,D41,$C$2:$C$41,"&gt;0",$C$2:$C$41,"&lt;"&amp;C41)+(COUNTIFS($D$2:$D$41,D41,$C$2:$C$41,C41)+1)/2)/COUNTIFS($D$2:$D$41,D41,$C$2:$C$41,"&gt;0"))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19359.85</v>
      </c>
      <c r="C2" s="25" t="n">
        <v>23.9</v>
      </c>
      <c r="D2" s="26" t="n">
        <v>0.189393939394</v>
      </c>
      <c r="E2" s="26" t="n">
        <v>0.239481527511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19461.2</v>
      </c>
      <c r="C3" s="25" t="n">
        <v>24.03</v>
      </c>
      <c r="D3" s="26" t="n">
        <v>0.189393939394</v>
      </c>
      <c r="E3" s="26" t="n">
        <v>0.239037672167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19359.9</v>
      </c>
      <c r="C4" s="25" t="n">
        <v>23.9</v>
      </c>
      <c r="D4" s="26" t="n">
        <v>0.189393939394</v>
      </c>
      <c r="E4" s="26" t="n">
        <v>0.239585010309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Nifty100 Low Volatility 30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2026-09-23T03:45:21Z</dcterms:modified>
</cp:coreProperties>
</file>