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2" customWidth="1" min="5" max="5"/>
    <col width="21" customWidth="1" min="6" max="6"/>
    <col width="19" customWidth="1" min="7" max="7"/>
  </cols>
  <sheetData>
    <row r="1" ht="26" customHeight="1">
      <c r="A1" s="1" t="inlineStr">
        <is>
          <t>NIFTY Midcap 150 Valuation Tracker</t>
        </is>
      </c>
    </row>
    <row r="2">
      <c r="A2" s="2" t="inlineStr">
        <is>
          <t>As of</t>
        </is>
      </c>
      <c r="B2" s="3" t="n">
        <v>46283</v>
      </c>
      <c r="D2" s="2" t="inlineStr">
        <is>
          <t>Group</t>
        </is>
      </c>
      <c r="E2" s="4" t="inlineStr">
        <is>
          <t>Broad Market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22901.85</v>
      </c>
      <c r="D5" s="2" t="inlineStr">
        <is>
          <t>P/E</t>
        </is>
      </c>
      <c r="E5" s="7" t="n">
        <v>28.64</v>
      </c>
    </row>
    <row r="6">
      <c r="A6" s="2" t="inlineStr">
        <is>
          <t>P/E percentile</t>
        </is>
      </c>
      <c r="B6" s="8" t="n">
        <v>0.4015151515151515</v>
      </c>
      <c r="D6" s="2" t="inlineStr">
        <is>
          <t>Implied EPS</t>
        </is>
      </c>
      <c r="E6" s="9" t="n">
        <v>799.6456005586591</v>
      </c>
    </row>
    <row r="7">
      <c r="A7" s="2" t="inlineStr">
        <is>
          <t>YoY implied EPS growth</t>
        </is>
      </c>
      <c r="B7" s="8" t="n">
        <v>0.2371450922848455</v>
      </c>
      <c r="D7" s="2" t="inlineStr">
        <is>
          <t>Earnings yield</t>
        </is>
      </c>
      <c r="E7" s="10" t="n">
        <v>0.03491620111731843</v>
      </c>
    </row>
    <row r="8">
      <c r="A8" s="2" t="inlineStr">
        <is>
          <t>Valuation score</t>
        </is>
      </c>
      <c r="B8" s="11" t="n">
        <v>59.84848484848485</v>
      </c>
      <c r="D8" s="2" t="inlineStr">
        <is>
          <t>Growth score</t>
        </is>
      </c>
      <c r="E8" s="11" t="n">
        <v>97.42901845696909</v>
      </c>
    </row>
    <row r="9">
      <c r="A9" s="2" t="inlineStr">
        <is>
          <t>Composite score</t>
        </is>
      </c>
      <c r="B9" s="11" t="n">
        <v>71.12264493103012</v>
      </c>
      <c r="D9" s="2" t="inlineStr">
        <is>
          <t>Signal</t>
        </is>
      </c>
      <c r="E9" s="12" t="inlineStr">
        <is>
          <t>BUY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28.95523521396749</v>
      </c>
      <c r="C13" s="15" t="n">
        <v>23153.92645199027</v>
      </c>
      <c r="D13" s="16" t="n">
        <v>0.01100681613014975</v>
      </c>
    </row>
    <row r="14">
      <c r="A14" t="inlineStr">
        <is>
          <t>HOLD → SELL</t>
        </is>
      </c>
      <c r="B14" s="14" t="n">
        <v>36.9771447323891</v>
      </c>
      <c r="C14" s="15" t="n">
        <v>29568.61110647574</v>
      </c>
      <c r="D14" s="16" t="n">
        <v>0.2911014222202897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7</v>
      </c>
      <c r="C18" s="16" t="n">
        <v>0.3344336240888997</v>
      </c>
      <c r="D18" s="16" t="n">
        <v>0.2342406890298372</v>
      </c>
      <c r="E18" s="16" t="n">
        <v>0.3042405004517932</v>
      </c>
      <c r="F18" s="16" t="n"/>
      <c r="G18" s="16" t="n">
        <v>0</v>
      </c>
    </row>
    <row r="19">
      <c r="A19" t="inlineStr">
        <is>
          <t>Q2</t>
        </is>
      </c>
      <c r="B19" t="n">
        <v>8</v>
      </c>
      <c r="C19" s="16" t="n">
        <v>0.2653102993441867</v>
      </c>
      <c r="D19" s="16" t="n">
        <v>0.1793215921783975</v>
      </c>
      <c r="E19" s="16" t="n">
        <v>0.2087496993406504</v>
      </c>
      <c r="F19" s="16" t="n">
        <v>0.1730967340143112</v>
      </c>
      <c r="G19" s="16" t="n">
        <v>0</v>
      </c>
    </row>
    <row r="20">
      <c r="A20" t="inlineStr">
        <is>
          <t>Q3</t>
        </is>
      </c>
      <c r="B20" t="n">
        <v>8</v>
      </c>
      <c r="C20" s="16" t="n">
        <v>0.02964426021457878</v>
      </c>
      <c r="D20" s="16" t="n">
        <v>0.2211416042343128</v>
      </c>
      <c r="E20" s="16" t="n">
        <v>0.1736020897012249</v>
      </c>
      <c r="F20" s="16" t="n"/>
      <c r="G20" s="16" t="n">
        <v>0.2</v>
      </c>
    </row>
    <row r="21">
      <c r="A21" t="inlineStr">
        <is>
          <t>Q4</t>
        </is>
      </c>
      <c r="B21" t="n">
        <v>8</v>
      </c>
      <c r="C21" s="16" t="n">
        <v>-0.01141617236566639</v>
      </c>
      <c r="D21" s="16" t="n">
        <v>0.1661927584662644</v>
      </c>
      <c r="E21" s="16" t="n">
        <v>0.158578639409193</v>
      </c>
      <c r="F21" s="16" t="n"/>
      <c r="G21" s="16" t="n">
        <v>0.2</v>
      </c>
    </row>
    <row r="22">
      <c r="A22" t="inlineStr">
        <is>
          <t>Q5 Most Expensive</t>
        </is>
      </c>
      <c r="B22" t="n">
        <v>9</v>
      </c>
      <c r="C22" s="16" t="n">
        <v>0.05371975100751136</v>
      </c>
      <c r="D22" s="16" t="n">
        <v>0.2549536987899426</v>
      </c>
      <c r="E22" s="16" t="n">
        <v>0.1666948304525033</v>
      </c>
      <c r="F22" s="16" t="n"/>
      <c r="G22" s="16" t="n">
        <v>0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40</v>
      </c>
    </row>
    <row r="27">
      <c r="A27" s="2" t="inlineStr">
        <is>
          <t>Backtest start</t>
        </is>
      </c>
      <c r="B27" t="inlineStr">
        <is>
          <t>2016-06-30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9128.700000000001</v>
      </c>
      <c r="C2" s="7" t="n">
        <v>40.95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9714.950000000001</v>
      </c>
      <c r="C3" s="7" t="n">
        <v>36.98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10182.05</v>
      </c>
      <c r="C4" s="7" t="n">
        <v>34.55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10506.15</v>
      </c>
      <c r="C5" s="7" t="n">
        <v>34.6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10726</v>
      </c>
      <c r="C6" s="7" t="n">
        <v>28.2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11361.35</v>
      </c>
      <c r="C7" s="7" t="n">
        <v>33.01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11390.85</v>
      </c>
      <c r="C8" s="7" t="n">
        <v>31.61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11223.55</v>
      </c>
      <c r="C9" s="7" t="n">
        <v>29.5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11543.55</v>
      </c>
      <c r="C10" s="7" t="n">
        <v>30.54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11413.65</v>
      </c>
      <c r="C11" s="7" t="n">
        <v>30.24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10621</v>
      </c>
      <c r="C12" s="7" t="n">
        <v>26.83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11131.1</v>
      </c>
      <c r="C13" s="7" t="n">
        <v>27.14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11201.95</v>
      </c>
      <c r="C14" s="7" t="n">
        <v>27.11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10616.3</v>
      </c>
      <c r="C15" s="7" t="n">
        <v>23.74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10042.8</v>
      </c>
      <c r="C16" s="7" t="n">
        <v>22.75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11194.7</v>
      </c>
      <c r="C17" s="7" t="n">
        <v>24.69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11867</v>
      </c>
      <c r="C18" s="7" t="n">
        <v>26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11654.45</v>
      </c>
      <c r="C19" s="7" t="n">
        <v>24.69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11868.15</v>
      </c>
      <c r="C20" s="7" t="n">
        <v>24.45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12093.5</v>
      </c>
      <c r="C21" s="7" t="n">
        <v>26.31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11885.75</v>
      </c>
      <c r="C22" s="7" t="n">
        <v>26.12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11596.65</v>
      </c>
      <c r="C23" s="7" t="n">
        <v>25.21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11411.25</v>
      </c>
      <c r="C24" s="7" t="n">
        <v>23.88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11352.25</v>
      </c>
      <c r="C25" s="7" t="n">
        <v>23.47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11943.55</v>
      </c>
      <c r="C26" s="7" t="n">
        <v>24.71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12623.35</v>
      </c>
      <c r="C27" s="7" t="n">
        <v>24.98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13401.45</v>
      </c>
      <c r="C28" s="7" t="n">
        <v>26.49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14140</v>
      </c>
      <c r="C29" s="7" t="n">
        <v>27.41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14693.85</v>
      </c>
      <c r="C30" s="7" t="n">
        <v>25.32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15141.05</v>
      </c>
      <c r="C31" s="7" t="n">
        <v>26.77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14566.3</v>
      </c>
      <c r="C32" s="7" t="n">
        <v>25.08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15963.25</v>
      </c>
      <c r="C33" s="7" t="n">
        <v>24.85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17077.05</v>
      </c>
      <c r="C34" s="7" t="n">
        <v>26.51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17884.7</v>
      </c>
      <c r="C35" s="7" t="n">
        <v>27.5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17831.1</v>
      </c>
      <c r="C36" s="7" t="n">
        <v>26.96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17766</v>
      </c>
      <c r="C37" s="7" t="n">
        <v>33.63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18893</v>
      </c>
      <c r="C38" s="7" t="n">
        <v>35.49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19308.75</v>
      </c>
      <c r="C39" s="7" t="n">
        <v>39.46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20831.95</v>
      </c>
      <c r="C40" s="7" t="n">
        <v>42.33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21860.95</v>
      </c>
      <c r="C41" s="7" t="n">
        <v>45.37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21925.45</v>
      </c>
      <c r="C42" s="7" t="n">
        <v>44.22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22311.95</v>
      </c>
      <c r="C43" s="7" t="n">
        <v>45.66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20876.7</v>
      </c>
      <c r="C44" s="7" t="n">
        <v>42.98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20906.65</v>
      </c>
      <c r="C45" s="7" t="n">
        <v>41.98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21141.2</v>
      </c>
      <c r="C46" s="7" t="n">
        <v>43.3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19850.95</v>
      </c>
      <c r="C47" s="7" t="n">
        <v>38.76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17750.55</v>
      </c>
      <c r="C48" s="7" t="n">
        <v>33.44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19120.35</v>
      </c>
      <c r="C49" s="7" t="n">
        <v>33.71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19873.15</v>
      </c>
      <c r="C50" s="7" t="n">
        <v>34.01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21125.55</v>
      </c>
      <c r="C51" s="7" t="n">
        <v>34.26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21988.65</v>
      </c>
      <c r="C52" s="7" t="n">
        <v>35.27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21361.3</v>
      </c>
      <c r="C53" s="7" t="n">
        <v>33.8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20750.3</v>
      </c>
      <c r="C54" s="7" t="n">
        <v>32.1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21038.7</v>
      </c>
      <c r="C55" s="7" t="n">
        <v>32.84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22045.95</v>
      </c>
      <c r="C56" s="7" t="n">
        <v>34.12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22395.4</v>
      </c>
      <c r="C57" s="7" t="n">
        <v>33.41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22276.9</v>
      </c>
      <c r="C58" s="7" t="n">
        <v>33.56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21490.9</v>
      </c>
      <c r="C59" s="7" t="n">
        <v>31.81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21847.35</v>
      </c>
      <c r="C60" s="7" t="n">
        <v>32.56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19430.9</v>
      </c>
      <c r="C61" s="7" t="n">
        <v>30.61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22000.05</v>
      </c>
      <c r="C62" s="7" t="n">
        <v>33.45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22571.4</v>
      </c>
      <c r="C63" s="7" t="n">
        <v>28.92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22774.25</v>
      </c>
      <c r="C64" s="7" t="n">
        <v>29.17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23138.45</v>
      </c>
      <c r="C65" s="7" t="n">
        <v>30.41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23536.8</v>
      </c>
      <c r="C66" s="7" t="n">
        <v>29.44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42551</v>
      </c>
      <c r="B2" s="6" t="n">
        <v>4614.3</v>
      </c>
      <c r="C2" s="7" t="n">
        <v>35.71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IF(C2="","",(COUNTIFS($D$2:$D$42,D2,$C$2:$C$42,"&gt;0",$C$2:$C$42,"&lt;"&amp;C2)+(COUNTIFS($D$2:$D$42,D2,$C$2:$C$42,C2)+1)/2)/COUNTIFS($D$2:$D$42,D2,$C$2:$C$42,"&gt;0"))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>
        <f>IFERROR((B42/B2)^(1/10)-1,"")</f>
        <v/>
      </c>
    </row>
    <row r="3">
      <c r="A3" s="18" t="n">
        <v>42643</v>
      </c>
      <c r="B3" s="6" t="n">
        <v>5103</v>
      </c>
      <c r="C3" s="7" t="n">
        <v>37.34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IF(C3="","",(COUNTIFS($D$2:$D$42,D3,$C$2:$C$42,"&gt;0",$C$2:$C$42,"&lt;"&amp;C3)+(COUNTIFS($D$2:$D$42,D3,$C$2:$C$42,C3)+1)/2)/COUNTIFS($D$2:$D$42,D3,$C$2:$C$42,"&gt;0"))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 t="n"/>
    </row>
    <row r="4">
      <c r="A4" s="18" t="n">
        <v>42735</v>
      </c>
      <c r="B4" s="6" t="n">
        <v>4738.85</v>
      </c>
      <c r="C4" s="7" t="n">
        <v>31.81</v>
      </c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IF(C4="","",(COUNTIFS($D$2:$D$42,D4,$C$2:$C$42,"&gt;0",$C$2:$C$42,"&lt;"&amp;C4)+(COUNTIFS($D$2:$D$42,D4,$C$2:$C$42,C4)+1)/2)/COUNTIFS($D$2:$D$42,D4,$C$2:$C$42,"&gt;0"))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 t="n"/>
    </row>
    <row r="5">
      <c r="A5" s="18" t="n">
        <v>42825</v>
      </c>
      <c r="B5" s="6" t="n">
        <v>5699.36</v>
      </c>
      <c r="C5" s="7" t="n">
        <v>40.13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IF(C5="","",(COUNTIFS($D$2:$D$42,D5,$C$2:$C$42,"&gt;0",$C$2:$C$42,"&lt;"&amp;C5)+(COUNTIFS($D$2:$D$42,D5,$C$2:$C$42,C5)+1)/2)/COUNTIFS($D$2:$D$42,D5,$C$2:$C$42,"&gt;0"))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42916</v>
      </c>
      <c r="B6" s="6" t="n">
        <v>5964.59</v>
      </c>
      <c r="C6" s="7" t="n">
        <v>39.86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IF(C6="","",(COUNTIFS($D$2:$D$42,D6,$C$2:$C$42,"&gt;0",$C$2:$C$42,"&lt;"&amp;C6)+(COUNTIFS($D$2:$D$42,D6,$C$2:$C$42,C6)+1)/2)/COUNTIFS($D$2:$D$42,D6,$C$2:$C$42,"&gt;0"))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43008</v>
      </c>
      <c r="B7" s="6" t="n">
        <v>6227.38</v>
      </c>
      <c r="C7" s="7" t="n">
        <v>48.37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IF(C7="","",(COUNTIFS($D$2:$D$42,D7,$C$2:$C$42,"&gt;0",$C$2:$C$42,"&lt;"&amp;C7)+(COUNTIFS($D$2:$D$42,D7,$C$2:$C$42,C7)+1)/2)/COUNTIFS($D$2:$D$42,D7,$C$2:$C$42,"&gt;0"))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43100</v>
      </c>
      <c r="B8" s="6" t="n">
        <v>7314.16</v>
      </c>
      <c r="C8" s="7" t="n">
        <v>55.74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IF(C8="","",(COUNTIFS($D$2:$D$42,D8,$C$2:$C$42,"&gt;0",$C$2:$C$42,"&lt;"&amp;C8)+(COUNTIFS($D$2:$D$42,D8,$C$2:$C$42,C8)+1)/2)/COUNTIFS($D$2:$D$42,D8,$C$2:$C$42,"&gt;0"))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 t="n"/>
    </row>
    <row r="9">
      <c r="A9" s="18" t="n">
        <v>43190</v>
      </c>
      <c r="B9" s="6" t="n">
        <v>6598.51</v>
      </c>
      <c r="C9" s="7" t="n">
        <v>51.68</v>
      </c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IF(C9="","",(COUNTIFS($D$2:$D$42,D9,$C$2:$C$42,"&gt;0",$C$2:$C$42,"&lt;"&amp;C9)+(COUNTIFS($D$2:$D$42,D9,$C$2:$C$42,C9)+1)/2)/COUNTIFS($D$2:$D$42,D9,$C$2:$C$42,"&gt;0"))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 t="n"/>
    </row>
    <row r="10">
      <c r="A10" s="18" t="n">
        <v>43281</v>
      </c>
      <c r="B10" s="6" t="n">
        <v>6419.84</v>
      </c>
      <c r="C10" s="7" t="n">
        <v>44.99</v>
      </c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IF(C10="","",(COUNTIFS($D$2:$D$42,D10,$C$2:$C$42,"&gt;0",$C$2:$C$42,"&lt;"&amp;C10)+(COUNTIFS($D$2:$D$42,D10,$C$2:$C$42,C10)+1)/2)/COUNTIFS($D$2:$D$42,D10,$C$2:$C$42,"&gt;0"))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 t="n"/>
    </row>
    <row r="11">
      <c r="A11" s="18" t="n">
        <v>43373</v>
      </c>
      <c r="B11" s="6" t="n">
        <v>6118.61</v>
      </c>
      <c r="C11" s="7" t="n">
        <v>43.35</v>
      </c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IF(C11="","",(COUNTIFS($D$2:$D$42,D11,$C$2:$C$42,"&gt;0",$C$2:$C$42,"&lt;"&amp;C11)+(COUNTIFS($D$2:$D$42,D11,$C$2:$C$42,C11)+1)/2)/COUNTIFS($D$2:$D$42,D11,$C$2:$C$42,"&gt;0"))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 t="n"/>
    </row>
    <row r="12">
      <c r="A12" s="18" t="n">
        <v>43465</v>
      </c>
      <c r="B12" s="6" t="n">
        <v>6339.3</v>
      </c>
      <c r="C12" s="7" t="n">
        <v>40.02</v>
      </c>
      <c r="D12" s="2" t="inlineStr">
        <is>
          <t>Standalone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IF(C12="","",(COUNTIFS($D$2:$D$42,D12,$C$2:$C$42,"&gt;0",$C$2:$C$42,"&lt;"&amp;C12)+(COUNTIFS($D$2:$D$42,D12,$C$2:$C$42,C12)+1)/2)/COUNTIFS($D$2:$D$42,D12,$C$2:$C$42,"&gt;0"))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 t="n"/>
    </row>
    <row r="13">
      <c r="A13" s="18" t="n">
        <v>43555</v>
      </c>
      <c r="B13" s="6" t="n">
        <v>6503.95</v>
      </c>
      <c r="C13" s="7" t="n">
        <v>34.86</v>
      </c>
      <c r="D13" s="2" t="inlineStr">
        <is>
          <t>Standalone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IF(C13="","",(COUNTIFS($D$2:$D$42,D13,$C$2:$C$42,"&gt;0",$C$2:$C$42,"&lt;"&amp;C13)+(COUNTIFS($D$2:$D$42,D13,$C$2:$C$42,C13)+1)/2)/COUNTIFS($D$2:$D$42,D13,$C$2:$C$42,"&gt;0"))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 t="n"/>
    </row>
    <row r="14">
      <c r="A14" s="18" t="n">
        <v>43646</v>
      </c>
      <c r="B14" s="6" t="n">
        <v>6346.55</v>
      </c>
      <c r="C14" s="7" t="n">
        <v>32.84</v>
      </c>
      <c r="D14" s="2" t="inlineStr">
        <is>
          <t>Standalone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IF(C14="","",(COUNTIFS($D$2:$D$42,D14,$C$2:$C$42,"&gt;0",$C$2:$C$42,"&lt;"&amp;C14)+(COUNTIFS($D$2:$D$42,D14,$C$2:$C$42,C14)+1)/2)/COUNTIFS($D$2:$D$42,D14,$C$2:$C$42,"&gt;0"))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>
        <f>IFERROR((B34/B14)^(1/5)-1,"")</f>
        <v/>
      </c>
      <c r="L14" s="16" t="n"/>
    </row>
    <row r="15">
      <c r="A15" s="18" t="n">
        <v>43738</v>
      </c>
      <c r="B15" s="6" t="n">
        <v>5912.2</v>
      </c>
      <c r="C15" s="7" t="n">
        <v>26.65</v>
      </c>
      <c r="D15" s="2" t="inlineStr">
        <is>
          <t>Standalone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IF(C15="","",(COUNTIFS($D$2:$D$42,D15,$C$2:$C$42,"&gt;0",$C$2:$C$42,"&lt;"&amp;C15)+(COUNTIFS($D$2:$D$42,D15,$C$2:$C$42,C15)+1)/2)/COUNTIFS($D$2:$D$42,D15,$C$2:$C$42,"&gt;0"))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>
        <f>IFERROR((B35/B15)^(1/5)-1,"")</f>
        <v/>
      </c>
      <c r="L15" s="16" t="n"/>
    </row>
    <row r="16">
      <c r="A16" s="18" t="n">
        <v>43830</v>
      </c>
      <c r="B16" s="6" t="n">
        <v>6321.6</v>
      </c>
      <c r="C16" s="7" t="n">
        <v>27.13</v>
      </c>
      <c r="D16" s="2" t="inlineStr">
        <is>
          <t>Standalone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IF(C16="","",(COUNTIFS($D$2:$D$42,D16,$C$2:$C$42,"&gt;0",$C$2:$C$42,"&lt;"&amp;C16)+(COUNTIFS($D$2:$D$42,D16,$C$2:$C$42,C16)+1)/2)/COUNTIFS($D$2:$D$42,D16,$C$2:$C$42,"&gt;0"))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>
        <f>IFERROR((B36/B16)^(1/5)-1,"")</f>
        <v/>
      </c>
      <c r="L16" s="16" t="n"/>
    </row>
    <row r="17">
      <c r="A17" s="18" t="n">
        <v>43921</v>
      </c>
      <c r="B17" s="6" t="n">
        <v>4493.25</v>
      </c>
      <c r="C17" s="7" t="n">
        <v>19.67</v>
      </c>
      <c r="D17" s="2" t="inlineStr">
        <is>
          <t>Standalone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IF(C17="","",(COUNTIFS($D$2:$D$42,D17,$C$2:$C$42,"&gt;0",$C$2:$C$42,"&lt;"&amp;C17)+(COUNTIFS($D$2:$D$42,D17,$C$2:$C$42,C17)+1)/2)/COUNTIFS($D$2:$D$42,D17,$C$2:$C$42,"&gt;0"))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>
        <f>IFERROR((B37/B17)^(1/5)-1,"")</f>
        <v/>
      </c>
      <c r="L17" s="16" t="n"/>
    </row>
    <row r="18">
      <c r="A18" s="18" t="n">
        <v>44012</v>
      </c>
      <c r="B18" s="6" t="n">
        <v>5626.2</v>
      </c>
      <c r="C18" s="7" t="n">
        <v>66.98</v>
      </c>
      <c r="D18" s="2" t="inlineStr">
        <is>
          <t>Standalone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IF(C18="","",(COUNTIFS($D$2:$D$42,D18,$C$2:$C$42,"&gt;0",$C$2:$C$42,"&lt;"&amp;C18)+(COUNTIFS($D$2:$D$42,D18,$C$2:$C$42,C18)+1)/2)/COUNTIFS($D$2:$D$42,D18,$C$2:$C$42,"&gt;0"))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>
        <f>IFERROR((B38/B18)^(1/5)-1,"")</f>
        <v/>
      </c>
      <c r="L18" s="16" t="n"/>
    </row>
    <row r="19">
      <c r="A19" s="18" t="n">
        <v>44104</v>
      </c>
      <c r="B19" s="6" t="n">
        <v>6481.45</v>
      </c>
      <c r="C19" s="7" t="n"/>
      <c r="D19" s="2" t="inlineStr">
        <is>
          <t>Standalone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IF(C19="","",(COUNTIFS($D$2:$D$42,D19,$C$2:$C$42,"&gt;0",$C$2:$C$42,"&lt;"&amp;C19)+(COUNTIFS($D$2:$D$42,D19,$C$2:$C$42,C19)+1)/2)/COUNTIFS($D$2:$D$42,D19,$C$2:$C$42,"&gt;0"))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>
        <f>IFERROR((B39/B19)^(1/5)-1,"")</f>
        <v/>
      </c>
      <c r="L19" s="16" t="n"/>
    </row>
    <row r="20">
      <c r="A20" s="18" t="n">
        <v>44196</v>
      </c>
      <c r="B20" s="6" t="n">
        <v>7862.9</v>
      </c>
      <c r="C20" s="7" t="n">
        <v>145.06</v>
      </c>
      <c r="D20" s="2" t="inlineStr">
        <is>
          <t>Standalone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IF(C20="","",(COUNTIFS($D$2:$D$42,D20,$C$2:$C$42,"&gt;0",$C$2:$C$42,"&lt;"&amp;C20)+(COUNTIFS($D$2:$D$42,D20,$C$2:$C$42,C20)+1)/2)/COUNTIFS($D$2:$D$42,D20,$C$2:$C$42,"&gt;0"))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>
        <f>IFERROR((B40/B20)^(1/5)-1,"")</f>
        <v/>
      </c>
      <c r="L20" s="16" t="n"/>
    </row>
    <row r="21">
      <c r="A21" s="18" t="n">
        <v>44286</v>
      </c>
      <c r="B21" s="6" t="n">
        <v>8988.9</v>
      </c>
      <c r="C21" s="7" t="n">
        <v>40.58</v>
      </c>
      <c r="D21" s="2" t="inlineStr">
        <is>
          <t>Consolidated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IF(C21="","",(COUNTIFS($D$2:$D$42,D21,$C$2:$C$42,"&gt;0",$C$2:$C$42,"&lt;"&amp;C21)+(COUNTIFS($D$2:$D$42,D21,$C$2:$C$42,C21)+1)/2)/COUNTIFS($D$2:$D$42,D21,$C$2:$C$42,"&gt;0"))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>
        <f>IFERROR((B41/B21)^(1/5)-1,"")</f>
        <v/>
      </c>
      <c r="L21" s="16" t="n"/>
    </row>
    <row r="22">
      <c r="A22" s="18" t="n">
        <v>44377</v>
      </c>
      <c r="B22" s="6" t="n">
        <v>10182.05</v>
      </c>
      <c r="C22" s="7" t="n">
        <v>34.55</v>
      </c>
      <c r="D22" s="2" t="inlineStr">
        <is>
          <t>Consolidated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IF(C22="","",(COUNTIFS($D$2:$D$42,D22,$C$2:$C$42,"&gt;0",$C$2:$C$42,"&lt;"&amp;C22)+(COUNTIFS($D$2:$D$42,D22,$C$2:$C$42,C22)+1)/2)/COUNTIFS($D$2:$D$42,D22,$C$2:$C$42,"&gt;0"))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>
        <f>IFERROR((B34/B22)^(1/3)-1,"")</f>
        <v/>
      </c>
      <c r="K22" s="16">
        <f>IFERROR((B42/B22)^(1/5)-1,"")</f>
        <v/>
      </c>
      <c r="L22" s="16" t="n"/>
    </row>
    <row r="23">
      <c r="A23" s="18" t="n">
        <v>44469</v>
      </c>
      <c r="B23" s="6" t="n">
        <v>11361.35</v>
      </c>
      <c r="C23" s="7" t="n">
        <v>33.01</v>
      </c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IF(C23="","",(COUNTIFS($D$2:$D$42,D23,$C$2:$C$42,"&gt;0",$C$2:$C$42,"&lt;"&amp;C23)+(COUNTIFS($D$2:$D$42,D23,$C$2:$C$42,C23)+1)/2)/COUNTIFS($D$2:$D$42,D23,$C$2:$C$42,"&gt;0"))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>
        <f>IFERROR((B35/B23)^(1/3)-1,"")</f>
        <v/>
      </c>
      <c r="K23" s="16" t="n"/>
      <c r="L23" s="16" t="n"/>
    </row>
    <row r="24">
      <c r="A24" s="18" t="n">
        <v>44561</v>
      </c>
      <c r="B24" s="6" t="n">
        <v>11543.55</v>
      </c>
      <c r="C24" s="7" t="n">
        <v>30.54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IF(C24="","",(COUNTIFS($D$2:$D$42,D24,$C$2:$C$42,"&gt;0",$C$2:$C$42,"&lt;"&amp;C24)+(COUNTIFS($D$2:$D$42,D24,$C$2:$C$42,C24)+1)/2)/COUNTIFS($D$2:$D$42,D24,$C$2:$C$42,"&gt;0"))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>
        <f>IFERROR((B36/B24)^(1/3)-1,"")</f>
        <v/>
      </c>
      <c r="K24" s="16" t="n"/>
      <c r="L24" s="16" t="n"/>
    </row>
    <row r="25">
      <c r="A25" s="18" t="n">
        <v>44651</v>
      </c>
      <c r="B25" s="6" t="n">
        <v>11131.1</v>
      </c>
      <c r="C25" s="7" t="n">
        <v>27.14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IF(C25="","",(COUNTIFS($D$2:$D$42,D25,$C$2:$C$42,"&gt;0",$C$2:$C$42,"&lt;"&amp;C25)+(COUNTIFS($D$2:$D$42,D25,$C$2:$C$42,C25)+1)/2)/COUNTIFS($D$2:$D$42,D25,$C$2:$C$42,"&gt;0"))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>
        <f>IFERROR((B37/B25)^(1/3)-1,"")</f>
        <v/>
      </c>
      <c r="K25" s="16" t="n"/>
      <c r="L25" s="16" t="n"/>
    </row>
    <row r="26">
      <c r="A26" s="18" t="n">
        <v>44742</v>
      </c>
      <c r="B26" s="6" t="n">
        <v>10042.8</v>
      </c>
      <c r="C26" s="7" t="n">
        <v>22.75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IF(C26="","",(COUNTIFS($D$2:$D$42,D26,$C$2:$C$42,"&gt;0",$C$2:$C$42,"&lt;"&amp;C26)+(COUNTIFS($D$2:$D$42,D26,$C$2:$C$42,C26)+1)/2)/COUNTIFS($D$2:$D$42,D26,$C$2:$C$42,"&gt;0"))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>
        <f>IFERROR((B38/B26)^(1/3)-1,"")</f>
        <v/>
      </c>
      <c r="K26" s="16" t="n"/>
      <c r="L26" s="16" t="n"/>
    </row>
    <row r="27">
      <c r="A27" s="18" t="n">
        <v>44834</v>
      </c>
      <c r="B27" s="6" t="n">
        <v>11654.45</v>
      </c>
      <c r="C27" s="7" t="n">
        <v>24.69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IF(C27="","",(COUNTIFS($D$2:$D$42,D27,$C$2:$C$42,"&gt;0",$C$2:$C$42,"&lt;"&amp;C27)+(COUNTIFS($D$2:$D$42,D27,$C$2:$C$42,C27)+1)/2)/COUNTIFS($D$2:$D$42,D27,$C$2:$C$42,"&gt;0"))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>
        <f>IFERROR((B39/B27)^(1/3)-1,"")</f>
        <v/>
      </c>
      <c r="K27" s="16" t="n"/>
      <c r="L27" s="16" t="n"/>
    </row>
    <row r="28">
      <c r="A28" s="18" t="n">
        <v>44926</v>
      </c>
      <c r="B28" s="6" t="n">
        <v>11885.75</v>
      </c>
      <c r="C28" s="7" t="n">
        <v>26.12</v>
      </c>
      <c r="D28" s="2" t="inlineStr">
        <is>
          <t>Consolidated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IF(C28="","",(COUNTIFS($D$2:$D$42,D28,$C$2:$C$42,"&gt;0",$C$2:$C$42,"&lt;"&amp;C28)+(COUNTIFS($D$2:$D$42,D28,$C$2:$C$42,C28)+1)/2)/COUNTIFS($D$2:$D$42,D28,$C$2:$C$42,"&gt;0"))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>
        <f>IFERROR((B40/B28)^(1/3)-1,"")</f>
        <v/>
      </c>
      <c r="K28" s="16" t="n"/>
      <c r="L28" s="16" t="n"/>
    </row>
    <row r="29">
      <c r="A29" s="18" t="n">
        <v>45016</v>
      </c>
      <c r="B29" s="6" t="n">
        <v>11352.25</v>
      </c>
      <c r="C29" s="7" t="n">
        <v>23.47</v>
      </c>
      <c r="D29" s="2" t="inlineStr">
        <is>
          <t>Consolidated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IF(C29="","",(COUNTIFS($D$2:$D$42,D29,$C$2:$C$42,"&gt;0",$C$2:$C$42,"&lt;"&amp;C29)+(COUNTIFS($D$2:$D$42,D29,$C$2:$C$42,C29)+1)/2)/COUNTIFS($D$2:$D$42,D29,$C$2:$C$42,"&gt;0"))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>
        <f>IFERROR((B41/B29)^(1/3)-1,"")</f>
        <v/>
      </c>
      <c r="K29" s="16" t="n"/>
      <c r="L29" s="16" t="n"/>
    </row>
    <row r="30">
      <c r="A30" s="18" t="n">
        <v>45107</v>
      </c>
      <c r="B30" s="6" t="n">
        <v>13401.45</v>
      </c>
      <c r="C30" s="7" t="n">
        <v>26.49</v>
      </c>
      <c r="D30" s="2" t="inlineStr">
        <is>
          <t>Consolidated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IF(C30="","",(COUNTIFS($D$2:$D$42,D30,$C$2:$C$42,"&gt;0",$C$2:$C$42,"&lt;"&amp;C30)+(COUNTIFS($D$2:$D$42,D30,$C$2:$C$42,C30)+1)/2)/COUNTIFS($D$2:$D$42,D30,$C$2:$C$42,"&gt;0"))</f>
        <v/>
      </c>
      <c r="H30">
        <f>IF(G30="","",IF(G30&lt;=20%,"Q1 Cheapest",IF(G30&lt;=40%,"Q2",IF(G30&lt;=60%,"Q3",IF(G30&lt;=80%,"Q4","Q5 Most Expensive")))))</f>
        <v/>
      </c>
      <c r="I30" s="16">
        <f>IFERROR(B34/B30-1,"")</f>
        <v/>
      </c>
      <c r="J30" s="16">
        <f>IFERROR((B42/B30)^(1/3)-1,"")</f>
        <v/>
      </c>
      <c r="K30" s="16" t="n"/>
      <c r="L30" s="16" t="n"/>
    </row>
    <row r="31">
      <c r="A31" s="18" t="n">
        <v>45199</v>
      </c>
      <c r="B31" s="6" t="n">
        <v>15141.05</v>
      </c>
      <c r="C31" s="7" t="n">
        <v>26.77</v>
      </c>
      <c r="D31" s="2" t="inlineStr">
        <is>
          <t>Consolidated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IF(C31="","",(COUNTIFS($D$2:$D$42,D31,$C$2:$C$42,"&gt;0",$C$2:$C$42,"&lt;"&amp;C31)+(COUNTIFS($D$2:$D$42,D31,$C$2:$C$42,C31)+1)/2)/COUNTIFS($D$2:$D$42,D31,$C$2:$C$42,"&gt;0"))</f>
        <v/>
      </c>
      <c r="H31">
        <f>IF(G31="","",IF(G31&lt;=20%,"Q1 Cheapest",IF(G31&lt;=40%,"Q2",IF(G31&lt;=60%,"Q3",IF(G31&lt;=80%,"Q4","Q5 Most Expensive")))))</f>
        <v/>
      </c>
      <c r="I31" s="16">
        <f>IFERROR(B35/B31-1,"")</f>
        <v/>
      </c>
      <c r="J31" s="16" t="n"/>
      <c r="K31" s="16" t="n"/>
      <c r="L31" s="16" t="n"/>
    </row>
    <row r="32">
      <c r="A32" s="18" t="n">
        <v>45291</v>
      </c>
      <c r="B32" s="6" t="n">
        <v>17077.05</v>
      </c>
      <c r="C32" s="7" t="n">
        <v>26.51</v>
      </c>
      <c r="D32" s="2" t="inlineStr">
        <is>
          <t>Consolidated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IF(C32="","",(COUNTIFS($D$2:$D$42,D32,$C$2:$C$42,"&gt;0",$C$2:$C$42,"&lt;"&amp;C32)+(COUNTIFS($D$2:$D$42,D32,$C$2:$C$42,C32)+1)/2)/COUNTIFS($D$2:$D$42,D32,$C$2:$C$42,"&gt;0"))</f>
        <v/>
      </c>
      <c r="H32">
        <f>IF(G32="","",IF(G32&lt;=20%,"Q1 Cheapest",IF(G32&lt;=40%,"Q2",IF(G32&lt;=60%,"Q3",IF(G32&lt;=80%,"Q4","Q5 Most Expensive")))))</f>
        <v/>
      </c>
      <c r="I32" s="16">
        <f>IFERROR(B36/B32-1,"")</f>
        <v/>
      </c>
      <c r="J32" s="16" t="n"/>
      <c r="K32" s="16" t="n"/>
      <c r="L32" s="16" t="n"/>
    </row>
    <row r="33">
      <c r="A33" s="18" t="n">
        <v>45382</v>
      </c>
      <c r="B33" s="6" t="n">
        <v>17766</v>
      </c>
      <c r="C33" s="7" t="n">
        <v>33.63</v>
      </c>
      <c r="D33" s="2" t="inlineStr">
        <is>
          <t>Consolidated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IF(C33="","",(COUNTIFS($D$2:$D$42,D33,$C$2:$C$42,"&gt;0",$C$2:$C$42,"&lt;"&amp;C33)+(COUNTIFS($D$2:$D$42,D33,$C$2:$C$42,C33)+1)/2)/COUNTIFS($D$2:$D$42,D33,$C$2:$C$42,"&gt;0"))</f>
        <v/>
      </c>
      <c r="H33">
        <f>IF(G33="","",IF(G33&lt;=20%,"Q1 Cheapest",IF(G33&lt;=40%,"Q2",IF(G33&lt;=60%,"Q3",IF(G33&lt;=80%,"Q4","Q5 Most Expensive")))))</f>
        <v/>
      </c>
      <c r="I33" s="16">
        <f>IFERROR(B37/B33-1,"")</f>
        <v/>
      </c>
      <c r="J33" s="16" t="n"/>
      <c r="K33" s="16" t="n"/>
      <c r="L33" s="16" t="n"/>
    </row>
    <row r="34">
      <c r="A34" s="18" t="n">
        <v>45473</v>
      </c>
      <c r="B34" s="6" t="n">
        <v>20831.95</v>
      </c>
      <c r="C34" s="7" t="n">
        <v>42.33</v>
      </c>
      <c r="D34" s="2" t="inlineStr">
        <is>
          <t>Consolidated</t>
        </is>
      </c>
      <c r="E34" s="21">
        <f>IFERROR(B34/C34,"")</f>
        <v/>
      </c>
      <c r="F34" s="16">
        <f>IF(AND(D34=D30,E30&lt;&gt;""),E34/E30-1,"")</f>
        <v/>
      </c>
      <c r="G34" s="16">
        <f>IF(C34="","",(COUNTIFS($D$2:$D$42,D34,$C$2:$C$42,"&gt;0",$C$2:$C$42,"&lt;"&amp;C34)+(COUNTIFS($D$2:$D$42,D34,$C$2:$C$42,C34)+1)/2)/COUNTIFS($D$2:$D$42,D34,$C$2:$C$42,"&gt;0"))</f>
        <v/>
      </c>
      <c r="H34">
        <f>IF(G34="","",IF(G34&lt;=20%,"Q1 Cheapest",IF(G34&lt;=40%,"Q2",IF(G34&lt;=60%,"Q3",IF(G34&lt;=80%,"Q4","Q5 Most Expensive")))))</f>
        <v/>
      </c>
      <c r="I34" s="16">
        <f>IFERROR(B38/B34-1,"")</f>
        <v/>
      </c>
      <c r="J34" s="16" t="n"/>
      <c r="K34" s="16" t="n"/>
      <c r="L34" s="16" t="n"/>
    </row>
    <row r="35">
      <c r="A35" s="18" t="n">
        <v>45565</v>
      </c>
      <c r="B35" s="6" t="n">
        <v>22311.95</v>
      </c>
      <c r="C35" s="7" t="n">
        <v>45.66</v>
      </c>
      <c r="D35" s="2" t="inlineStr">
        <is>
          <t>Consolidated</t>
        </is>
      </c>
      <c r="E35" s="21">
        <f>IFERROR(B35/C35,"")</f>
        <v/>
      </c>
      <c r="F35" s="16">
        <f>IF(AND(D35=D31,E31&lt;&gt;""),E35/E31-1,"")</f>
        <v/>
      </c>
      <c r="G35" s="16">
        <f>IF(C35="","",(COUNTIFS($D$2:$D$42,D35,$C$2:$C$42,"&gt;0",$C$2:$C$42,"&lt;"&amp;C35)+(COUNTIFS($D$2:$D$42,D35,$C$2:$C$42,C35)+1)/2)/COUNTIFS($D$2:$D$42,D35,$C$2:$C$42,"&gt;0"))</f>
        <v/>
      </c>
      <c r="H35">
        <f>IF(G35="","",IF(G35&lt;=20%,"Q1 Cheapest",IF(G35&lt;=40%,"Q2",IF(G35&lt;=60%,"Q3",IF(G35&lt;=80%,"Q4","Q5 Most Expensive")))))</f>
        <v/>
      </c>
      <c r="I35" s="16">
        <f>IFERROR(B39/B35-1,"")</f>
        <v/>
      </c>
      <c r="J35" s="16" t="n"/>
      <c r="K35" s="16" t="n"/>
      <c r="L35" s="16" t="n"/>
    </row>
    <row r="36">
      <c r="A36" s="18" t="n">
        <v>45657</v>
      </c>
      <c r="B36" s="6" t="n">
        <v>21141.2</v>
      </c>
      <c r="C36" s="7" t="n">
        <v>43.3</v>
      </c>
      <c r="D36" s="2" t="inlineStr">
        <is>
          <t>Consolidated</t>
        </is>
      </c>
      <c r="E36" s="21">
        <f>IFERROR(B36/C36,"")</f>
        <v/>
      </c>
      <c r="F36" s="16">
        <f>IF(AND(D36=D32,E32&lt;&gt;""),E36/E32-1,"")</f>
        <v/>
      </c>
      <c r="G36" s="16">
        <f>IF(C36="","",(COUNTIFS($D$2:$D$42,D36,$C$2:$C$42,"&gt;0",$C$2:$C$42,"&lt;"&amp;C36)+(COUNTIFS($D$2:$D$42,D36,$C$2:$C$42,C36)+1)/2)/COUNTIFS($D$2:$D$42,D36,$C$2:$C$42,"&gt;0"))</f>
        <v/>
      </c>
      <c r="H36">
        <f>IF(G36="","",IF(G36&lt;=20%,"Q1 Cheapest",IF(G36&lt;=40%,"Q2",IF(G36&lt;=60%,"Q3",IF(G36&lt;=80%,"Q4","Q5 Most Expensive")))))</f>
        <v/>
      </c>
      <c r="I36" s="16">
        <f>IFERROR(B40/B36-1,"")</f>
        <v/>
      </c>
      <c r="J36" s="16" t="n"/>
      <c r="K36" s="16" t="n"/>
      <c r="L36" s="16" t="n"/>
    </row>
    <row r="37">
      <c r="A37" s="18" t="n">
        <v>45747</v>
      </c>
      <c r="B37" s="6" t="n">
        <v>19120.35</v>
      </c>
      <c r="C37" s="7" t="n">
        <v>33.71</v>
      </c>
      <c r="D37" s="2" t="inlineStr">
        <is>
          <t>Consolidated</t>
        </is>
      </c>
      <c r="E37" s="21">
        <f>IFERROR(B37/C37,"")</f>
        <v/>
      </c>
      <c r="F37" s="16">
        <f>IF(AND(D37=D33,E33&lt;&gt;""),E37/E33-1,"")</f>
        <v/>
      </c>
      <c r="G37" s="16">
        <f>IF(C37="","",(COUNTIFS($D$2:$D$42,D37,$C$2:$C$42,"&gt;0",$C$2:$C$42,"&lt;"&amp;C37)+(COUNTIFS($D$2:$D$42,D37,$C$2:$C$42,C37)+1)/2)/COUNTIFS($D$2:$D$42,D37,$C$2:$C$42,"&gt;0"))</f>
        <v/>
      </c>
      <c r="H37">
        <f>IF(G37="","",IF(G37&lt;=20%,"Q1 Cheapest",IF(G37&lt;=40%,"Q2",IF(G37&lt;=60%,"Q3",IF(G37&lt;=80%,"Q4","Q5 Most Expensive")))))</f>
        <v/>
      </c>
      <c r="I37" s="16">
        <f>IFERROR(B41/B37-1,"")</f>
        <v/>
      </c>
      <c r="J37" s="16" t="n"/>
      <c r="K37" s="16" t="n"/>
      <c r="L37" s="16" t="n"/>
    </row>
    <row r="38">
      <c r="A38" s="18" t="n">
        <v>45838</v>
      </c>
      <c r="B38" s="6" t="n">
        <v>21988.65</v>
      </c>
      <c r="C38" s="7" t="n">
        <v>35.27</v>
      </c>
      <c r="D38" s="2" t="inlineStr">
        <is>
          <t>Consolidated</t>
        </is>
      </c>
      <c r="E38" s="21">
        <f>IFERROR(B38/C38,"")</f>
        <v/>
      </c>
      <c r="F38" s="16">
        <f>IF(AND(D38=D34,E34&lt;&gt;""),E38/E34-1,"")</f>
        <v/>
      </c>
      <c r="G38" s="16">
        <f>IF(C38="","",(COUNTIFS($D$2:$D$42,D38,$C$2:$C$42,"&gt;0",$C$2:$C$42,"&lt;"&amp;C38)+(COUNTIFS($D$2:$D$42,D38,$C$2:$C$42,C38)+1)/2)/COUNTIFS($D$2:$D$42,D38,$C$2:$C$42,"&gt;0"))</f>
        <v/>
      </c>
      <c r="H38">
        <f>IF(G38="","",IF(G38&lt;=20%,"Q1 Cheapest",IF(G38&lt;=40%,"Q2",IF(G38&lt;=60%,"Q3",IF(G38&lt;=80%,"Q4","Q5 Most Expensive")))))</f>
        <v/>
      </c>
      <c r="I38" s="16">
        <f>IFERROR(B42/B38-1,"")</f>
        <v/>
      </c>
      <c r="J38" s="16" t="n"/>
      <c r="K38" s="16" t="n"/>
      <c r="L38" s="16" t="n"/>
    </row>
    <row r="39">
      <c r="A39" s="18" t="n">
        <v>45930</v>
      </c>
      <c r="B39" s="6" t="n">
        <v>21038.7</v>
      </c>
      <c r="C39" s="7" t="n">
        <v>32.84</v>
      </c>
      <c r="D39" s="2" t="inlineStr">
        <is>
          <t>Consolidated</t>
        </is>
      </c>
      <c r="E39" s="21">
        <f>IFERROR(B39/C39,"")</f>
        <v/>
      </c>
      <c r="F39" s="16">
        <f>IF(AND(D39=D35,E35&lt;&gt;""),E39/E35-1,"")</f>
        <v/>
      </c>
      <c r="G39" s="16">
        <f>IF(C39="","",(COUNTIFS($D$2:$D$42,D39,$C$2:$C$42,"&gt;0",$C$2:$C$42,"&lt;"&amp;C39)+(COUNTIFS($D$2:$D$42,D39,$C$2:$C$42,C39)+1)/2)/COUNTIFS($D$2:$D$42,D39,$C$2:$C$42,"&gt;0"))</f>
        <v/>
      </c>
      <c r="H39">
        <f>IF(G39="","",IF(G39&lt;=20%,"Q1 Cheapest",IF(G39&lt;=40%,"Q2",IF(G39&lt;=60%,"Q3",IF(G39&lt;=80%,"Q4","Q5 Most Expensive")))))</f>
        <v/>
      </c>
      <c r="I39" s="16" t="n"/>
      <c r="J39" s="16" t="n"/>
      <c r="K39" s="16" t="n"/>
      <c r="L39" s="16" t="n"/>
    </row>
    <row r="40">
      <c r="A40" s="18" t="n">
        <v>46022</v>
      </c>
      <c r="B40" s="6" t="n">
        <v>22276.9</v>
      </c>
      <c r="C40" s="7" t="n">
        <v>33.56</v>
      </c>
      <c r="D40" s="2" t="inlineStr">
        <is>
          <t>Consolidated</t>
        </is>
      </c>
      <c r="E40" s="21">
        <f>IFERROR(B40/C40,"")</f>
        <v/>
      </c>
      <c r="F40" s="16">
        <f>IF(AND(D40=D36,E36&lt;&gt;""),E40/E36-1,"")</f>
        <v/>
      </c>
      <c r="G40" s="16">
        <f>IF(C40="","",(COUNTIFS($D$2:$D$42,D40,$C$2:$C$42,"&gt;0",$C$2:$C$42,"&lt;"&amp;C40)+(COUNTIFS($D$2:$D$42,D40,$C$2:$C$42,C40)+1)/2)/COUNTIFS($D$2:$D$42,D40,$C$2:$C$42,"&gt;0"))</f>
        <v/>
      </c>
      <c r="H40">
        <f>IF(G40="","",IF(G40&lt;=20%,"Q1 Cheapest",IF(G40&lt;=40%,"Q2",IF(G40&lt;=60%,"Q3",IF(G40&lt;=80%,"Q4","Q5 Most Expensive")))))</f>
        <v/>
      </c>
      <c r="I40" s="16" t="n"/>
      <c r="J40" s="16" t="n"/>
      <c r="K40" s="16" t="n"/>
      <c r="L40" s="16" t="n"/>
    </row>
    <row r="41">
      <c r="A41" s="18" t="n">
        <v>46112</v>
      </c>
      <c r="B41" s="6" t="n">
        <v>19430.9</v>
      </c>
      <c r="C41" s="7" t="n">
        <v>30.61</v>
      </c>
      <c r="D41" s="2" t="inlineStr">
        <is>
          <t>Consolidated</t>
        </is>
      </c>
      <c r="E41" s="21">
        <f>IFERROR(B41/C41,"")</f>
        <v/>
      </c>
      <c r="F41" s="16">
        <f>IF(AND(D41=D37,E37&lt;&gt;""),E41/E37-1,"")</f>
        <v/>
      </c>
      <c r="G41" s="16">
        <f>IF(C41="","",(COUNTIFS($D$2:$D$42,D41,$C$2:$C$42,"&gt;0",$C$2:$C$42,"&lt;"&amp;C41)+(COUNTIFS($D$2:$D$42,D41,$C$2:$C$42,C41)+1)/2)/COUNTIFS($D$2:$D$42,D41,$C$2:$C$42,"&gt;0"))</f>
        <v/>
      </c>
      <c r="H41">
        <f>IF(G41="","",IF(G41&lt;=20%,"Q1 Cheapest",IF(G41&lt;=40%,"Q2",IF(G41&lt;=60%,"Q3",IF(G41&lt;=80%,"Q4","Q5 Most Expensive")))))</f>
        <v/>
      </c>
      <c r="I41" s="16" t="n"/>
      <c r="J41" s="16" t="n"/>
      <c r="K41" s="16" t="n"/>
      <c r="L41" s="16" t="n"/>
    </row>
    <row r="42">
      <c r="A42" s="18" t="n">
        <v>46203</v>
      </c>
      <c r="B42" s="6" t="n">
        <v>22774.25</v>
      </c>
      <c r="C42" s="7" t="n">
        <v>29.17</v>
      </c>
      <c r="D42" s="2" t="inlineStr">
        <is>
          <t>Consolidated</t>
        </is>
      </c>
      <c r="E42" s="21">
        <f>IFERROR(B42/C42,"")</f>
        <v/>
      </c>
      <c r="F42" s="16">
        <f>IF(AND(D42=D38,E38&lt;&gt;""),E42/E38-1,"")</f>
        <v/>
      </c>
      <c r="G42" s="16">
        <f>IF(C42="","",(COUNTIFS($D$2:$D$42,D42,$C$2:$C$42,"&gt;0",$C$2:$C$42,"&lt;"&amp;C42)+(COUNTIFS($D$2:$D$42,D42,$C$2:$C$42,C42)+1)/2)/COUNTIFS($D$2:$D$42,D42,$C$2:$C$42,"&gt;0"))</f>
        <v/>
      </c>
      <c r="H42">
        <f>IF(G42="","",IF(G42&lt;=20%,"Q1 Cheapest",IF(G42&lt;=40%,"Q2",IF(G42&lt;=60%,"Q3",IF(G42&lt;=80%,"Q4","Q5 Most Expensive")))))</f>
        <v/>
      </c>
      <c r="I42" s="16" t="n"/>
      <c r="J42" s="16" t="n"/>
      <c r="K42" s="16" t="n"/>
      <c r="L42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22901.85</v>
      </c>
      <c r="C2" s="7" t="n">
        <v>28.64</v>
      </c>
      <c r="D2" s="8" t="n">
        <v>0.401515151515</v>
      </c>
      <c r="E2" s="8" t="n">
        <v>0.237145092285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2026-09-21T10:05:34Z</dcterms:created>
  <dcterms:modified xsi:type="dcterms:W3CDTF">2026-09-21T10:05:34Z</dcterms:modified>
</cp:coreProperties>
</file>