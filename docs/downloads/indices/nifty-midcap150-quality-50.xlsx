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Midcap150 Quality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23819.4</v>
      </c>
      <c r="D5" s="2" t="inlineStr">
        <is>
          <t>P/E</t>
        </is>
      </c>
      <c r="E5" s="7" t="n">
        <v>31</v>
      </c>
    </row>
    <row r="6">
      <c r="A6" s="2" t="inlineStr">
        <is>
          <t>P/E percentile</t>
        </is>
      </c>
      <c r="B6" s="8" t="n">
        <v>0.4166666666666667</v>
      </c>
      <c r="D6" s="2" t="inlineStr">
        <is>
          <t>Implied EPS</t>
        </is>
      </c>
      <c r="E6" s="9" t="n">
        <v>768.3677419354839</v>
      </c>
    </row>
    <row r="7">
      <c r="A7" s="2" t="inlineStr">
        <is>
          <t>YoY implied EPS growth</t>
        </is>
      </c>
      <c r="B7" s="8" t="n">
        <v>0.1452423084867553</v>
      </c>
      <c r="D7" s="2" t="inlineStr">
        <is>
          <t>Earnings yield</t>
        </is>
      </c>
      <c r="E7" s="10" t="n">
        <v>0.03225806451612903</v>
      </c>
    </row>
    <row r="8">
      <c r="A8" s="2" t="inlineStr">
        <is>
          <t>Valuation score</t>
        </is>
      </c>
      <c r="B8" s="11" t="n">
        <v>58.33333333333333</v>
      </c>
      <c r="D8" s="2" t="inlineStr">
        <is>
          <t>Growth score</t>
        </is>
      </c>
      <c r="E8" s="11" t="n">
        <v>78.09692339470213</v>
      </c>
    </row>
    <row r="9">
      <c r="A9" s="2" t="inlineStr">
        <is>
          <t>Composite score</t>
        </is>
      </c>
      <c r="B9" s="11" t="n">
        <v>64.26241035174397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29.31266714551287</v>
      </c>
      <c r="C13" s="15" t="n">
        <v>22522.90786470417</v>
      </c>
      <c r="D13" s="16" t="n">
        <v>-0.05443009208023009</v>
      </c>
    </row>
    <row r="14">
      <c r="A14" t="inlineStr">
        <is>
          <t>HOLD → SELL</t>
        </is>
      </c>
      <c r="B14" s="14" t="n">
        <v>35.23450857496954</v>
      </c>
      <c r="C14" s="15" t="n">
        <v>27073.05979195579</v>
      </c>
      <c r="D14" s="16" t="n">
        <v>0.1365970508054688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0.123545477902829</v>
      </c>
      <c r="D18" s="16" t="n">
        <v>0.1072627273591971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0.1299653581405376</v>
      </c>
      <c r="D19" s="16" t="n">
        <v>0.1166551253074766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0.174993096335704</v>
      </c>
      <c r="D20" s="16" t="n">
        <v>0.1448931264675519</v>
      </c>
      <c r="E20" s="16" t="n">
        <v>0.08290008353332823</v>
      </c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0.3879018903098785</v>
      </c>
      <c r="D21" s="16" t="n">
        <v>0.1110177676060859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-0.03173260657199234</v>
      </c>
      <c r="D22" s="16" t="n">
        <v>0.1622739780360514</v>
      </c>
      <c r="E22" s="16" t="n">
        <v>0.1303167776007972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24</v>
      </c>
    </row>
    <row r="27">
      <c r="A27" s="2" t="inlineStr">
        <is>
          <t>Backtest start</t>
        </is>
      </c>
      <c r="B27" t="inlineStr">
        <is>
          <t>2020-09-30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14233.29</v>
      </c>
      <c r="C2" s="7" t="n">
        <v>30.15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15155.58</v>
      </c>
      <c r="C3" s="7" t="n">
        <v>30.51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16042.58</v>
      </c>
      <c r="C4" s="7" t="n">
        <v>32.55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16844.98</v>
      </c>
      <c r="C5" s="7" t="n">
        <v>33.15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17051.57</v>
      </c>
      <c r="C6" s="7" t="n">
        <v>31.39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17561.37</v>
      </c>
      <c r="C7" s="7" t="n">
        <v>32.33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17652.19</v>
      </c>
      <c r="C8" s="7" t="n">
        <v>31.53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17435.65</v>
      </c>
      <c r="C9" s="7" t="n">
        <v>31.28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17802.02</v>
      </c>
      <c r="C10" s="7" t="n">
        <v>29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17271.75</v>
      </c>
      <c r="C11" s="7" t="n">
        <v>27.84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16159.3</v>
      </c>
      <c r="C12" s="7" t="n">
        <v>26.06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16679.45</v>
      </c>
      <c r="C13" s="7" t="n">
        <v>26.9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16551.15</v>
      </c>
      <c r="C14" s="7" t="n">
        <v>26.42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15764.75</v>
      </c>
      <c r="C15" s="7" t="n">
        <v>25.27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15003.1</v>
      </c>
      <c r="C16" s="7" t="n">
        <v>25.86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16336.95</v>
      </c>
      <c r="C17" s="7" t="n">
        <v>27.65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17024.85</v>
      </c>
      <c r="C18" s="7" t="n">
        <v>28.93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16699.45</v>
      </c>
      <c r="C19" s="7" t="n">
        <v>28.39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16424.55</v>
      </c>
      <c r="C20" s="7" t="n">
        <v>27.84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16608.2</v>
      </c>
      <c r="C21" s="7" t="n">
        <v>28.23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16031.05</v>
      </c>
      <c r="C22" s="7" t="n">
        <v>29.29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15895.2</v>
      </c>
      <c r="C23" s="7" t="n">
        <v>28.97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15723.75</v>
      </c>
      <c r="C24" s="7" t="n">
        <v>28.66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15269</v>
      </c>
      <c r="C25" s="7" t="n">
        <v>27.78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15983.95</v>
      </c>
      <c r="C26" s="7" t="n">
        <v>29.11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16794.1</v>
      </c>
      <c r="C27" s="7" t="n">
        <v>30.9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17420.2</v>
      </c>
      <c r="C28" s="7" t="n">
        <v>32.57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18155.85</v>
      </c>
      <c r="C29" s="7" t="n">
        <v>33.78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18842.2</v>
      </c>
      <c r="C30" s="7" t="n">
        <v>34.38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18869.8</v>
      </c>
      <c r="C31" s="7" t="n">
        <v>34.44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18354</v>
      </c>
      <c r="C32" s="7" t="n">
        <v>33.37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19423.75</v>
      </c>
      <c r="C33" s="7" t="n">
        <v>34.79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20473</v>
      </c>
      <c r="C34" s="7" t="n">
        <v>29.05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20853.05</v>
      </c>
      <c r="C35" s="7" t="n">
        <v>29.09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20651.3</v>
      </c>
      <c r="C36" s="7" t="n">
        <v>28.5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20261.85</v>
      </c>
      <c r="C37" s="7" t="n">
        <v>27.97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21370.55</v>
      </c>
      <c r="C38" s="7" t="n">
        <v>29.32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22516.35</v>
      </c>
      <c r="C39" s="7" t="n">
        <v>30.42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24425.8</v>
      </c>
      <c r="C40" s="7" t="n">
        <v>40.36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25472.75</v>
      </c>
      <c r="C41" s="7" t="n">
        <v>41.58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25515.65</v>
      </c>
      <c r="C42" s="7" t="n">
        <v>41.08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25920.5</v>
      </c>
      <c r="C43" s="7" t="n">
        <v>41.73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24618.35</v>
      </c>
      <c r="C44" s="7" t="n">
        <v>39.1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24513.2</v>
      </c>
      <c r="C45" s="7" t="n">
        <v>38.74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24416.8</v>
      </c>
      <c r="C46" s="7" t="n">
        <v>40.98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23091</v>
      </c>
      <c r="C47" s="7" t="n">
        <v>38.66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20477.95</v>
      </c>
      <c r="C48" s="7" t="n">
        <v>33.75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22004.05</v>
      </c>
      <c r="C49" s="7" t="n">
        <v>36.23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22892.5</v>
      </c>
      <c r="C50" s="7" t="n">
        <v>37.39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24346.2</v>
      </c>
      <c r="C51" s="7" t="n">
        <v>38.83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25114.7</v>
      </c>
      <c r="C52" s="7" t="n">
        <v>38.13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24467.55</v>
      </c>
      <c r="C53" s="7" t="n">
        <v>36.74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23646.2</v>
      </c>
      <c r="C54" s="7" t="n">
        <v>35.25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23602.85</v>
      </c>
      <c r="C55" s="7" t="n">
        <v>35.21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24195</v>
      </c>
      <c r="C56" s="7" t="n">
        <v>35.73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24296.8</v>
      </c>
      <c r="C57" s="7" t="n">
        <v>35.67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24057.85</v>
      </c>
      <c r="C58" s="7" t="n">
        <v>33.78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23115.8</v>
      </c>
      <c r="C59" s="7" t="n">
        <v>32.2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23421.2</v>
      </c>
      <c r="C60" s="7" t="n">
        <v>32.2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20728.25</v>
      </c>
      <c r="C61" s="7" t="n">
        <v>28.48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23260.05</v>
      </c>
      <c r="C62" s="7" t="n">
        <v>31.51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23786.45</v>
      </c>
      <c r="C63" s="7" t="n">
        <v>31.73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23890</v>
      </c>
      <c r="C64" s="7" t="n">
        <v>32.41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24475.65</v>
      </c>
      <c r="C65" s="7" t="n">
        <v>32.46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24679.95</v>
      </c>
      <c r="C66" s="7" t="n">
        <v>32.12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44104</v>
      </c>
      <c r="B2" s="6" t="n">
        <v>11237.61</v>
      </c>
      <c r="C2" s="7" t="n">
        <v>27.29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IF(C2="","",(COUNTIFS($D$2:$D$25,D2,$C$2:$C$25,"&gt;0",$C$2:$C$25,"&lt;"&amp;C2)+(COUNTIFS($D$2:$D$25,D2,$C$2:$C$25,C2)+1)/2)/COUNTIFS($D$2:$D$25,D2,$C$2:$C$25,"&gt;0"))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44196</v>
      </c>
      <c r="B3" s="6" t="n">
        <v>13039.35</v>
      </c>
      <c r="C3" s="7" t="n">
        <v>32.74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IF(C3="","",(COUNTIFS($D$2:$D$25,D3,$C$2:$C$25,"&gt;0",$C$2:$C$25,"&lt;"&amp;C3)+(COUNTIFS($D$2:$D$25,D3,$C$2:$C$25,C3)+1)/2)/COUNTIFS($D$2:$D$25,D3,$C$2:$C$25,"&gt;0"))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44286</v>
      </c>
      <c r="B4" s="6" t="n">
        <v>14195.36</v>
      </c>
      <c r="C4" s="7" t="n">
        <v>30.58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IF(C4="","",(COUNTIFS($D$2:$D$25,D4,$C$2:$C$25,"&gt;0",$C$2:$C$25,"&lt;"&amp;C4)+(COUNTIFS($D$2:$D$25,D4,$C$2:$C$25,C4)+1)/2)/COUNTIFS($D$2:$D$25,D4,$C$2:$C$25,"&gt;0"))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44377</v>
      </c>
      <c r="B5" s="6" t="n">
        <v>16042.58</v>
      </c>
      <c r="C5" s="7" t="n">
        <v>32.55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IF(C5="","",(COUNTIFS($D$2:$D$25,D5,$C$2:$C$25,"&gt;0",$C$2:$C$25,"&lt;"&amp;C5)+(COUNTIFS($D$2:$D$25,D5,$C$2:$C$25,C5)+1)/2)/COUNTIFS($D$2:$D$25,D5,$C$2:$C$25,"&gt;0"))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44469</v>
      </c>
      <c r="B6" s="6" t="n">
        <v>17561.37</v>
      </c>
      <c r="C6" s="7" t="n">
        <v>32.33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IF(C6="","",(COUNTIFS($D$2:$D$25,D6,$C$2:$C$25,"&gt;0",$C$2:$C$25,"&lt;"&amp;C6)+(COUNTIFS($D$2:$D$25,D6,$C$2:$C$25,C6)+1)/2)/COUNTIFS($D$2:$D$25,D6,$C$2:$C$25,"&gt;0"))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44561</v>
      </c>
      <c r="B7" s="6" t="n">
        <v>17802.02</v>
      </c>
      <c r="C7" s="7" t="n">
        <v>29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IF(C7="","",(COUNTIFS($D$2:$D$25,D7,$C$2:$C$25,"&gt;0",$C$2:$C$25,"&lt;"&amp;C7)+(COUNTIFS($D$2:$D$25,D7,$C$2:$C$25,C7)+1)/2)/COUNTIFS($D$2:$D$25,D7,$C$2:$C$25,"&gt;0"))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44651</v>
      </c>
      <c r="B8" s="6" t="n">
        <v>16679.45</v>
      </c>
      <c r="C8" s="7" t="n">
        <v>26.9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IF(C8="","",(COUNTIFS($D$2:$D$25,D8,$C$2:$C$25,"&gt;0",$C$2:$C$25,"&lt;"&amp;C8)+(COUNTIFS($D$2:$D$25,D8,$C$2:$C$25,C8)+1)/2)/COUNTIFS($D$2:$D$25,D8,$C$2:$C$25,"&gt;0"))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44742</v>
      </c>
      <c r="B9" s="6" t="n">
        <v>15003.1</v>
      </c>
      <c r="C9" s="7" t="n">
        <v>25.86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IF(C9="","",(COUNTIFS($D$2:$D$25,D9,$C$2:$C$25,"&gt;0",$C$2:$C$25,"&lt;"&amp;C9)+(COUNTIFS($D$2:$D$25,D9,$C$2:$C$25,C9)+1)/2)/COUNTIFS($D$2:$D$25,D9,$C$2:$C$25,"&gt;0"))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44834</v>
      </c>
      <c r="B10" s="6" t="n">
        <v>16699.45</v>
      </c>
      <c r="C10" s="7" t="n">
        <v>28.39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IF(C10="","",(COUNTIFS($D$2:$D$25,D10,$C$2:$C$25,"&gt;0",$C$2:$C$25,"&lt;"&amp;C10)+(COUNTIFS($D$2:$D$25,D10,$C$2:$C$25,C10)+1)/2)/COUNTIFS($D$2:$D$25,D10,$C$2:$C$25,"&gt;0"))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44926</v>
      </c>
      <c r="B11" s="6" t="n">
        <v>16031.05</v>
      </c>
      <c r="C11" s="7" t="n">
        <v>29.29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IF(C11="","",(COUNTIFS($D$2:$D$25,D11,$C$2:$C$25,"&gt;0",$C$2:$C$25,"&lt;"&amp;C11)+(COUNTIFS($D$2:$D$25,D11,$C$2:$C$25,C11)+1)/2)/COUNTIFS($D$2:$D$25,D11,$C$2:$C$25,"&gt;0"))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45016</v>
      </c>
      <c r="B12" s="6" t="n">
        <v>15269</v>
      </c>
      <c r="C12" s="7" t="n">
        <v>27.78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IF(C12="","",(COUNTIFS($D$2:$D$25,D12,$C$2:$C$25,"&gt;0",$C$2:$C$25,"&lt;"&amp;C12)+(COUNTIFS($D$2:$D$25,D12,$C$2:$C$25,C12)+1)/2)/COUNTIFS($D$2:$D$25,D12,$C$2:$C$25,"&gt;0"))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45107</v>
      </c>
      <c r="B13" s="6" t="n">
        <v>17420.2</v>
      </c>
      <c r="C13" s="7" t="n">
        <v>32.57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IF(C13="","",(COUNTIFS($D$2:$D$25,D13,$C$2:$C$25,"&gt;0",$C$2:$C$25,"&lt;"&amp;C13)+(COUNTIFS($D$2:$D$25,D13,$C$2:$C$25,C13)+1)/2)/COUNTIFS($D$2:$D$25,D13,$C$2:$C$25,"&gt;0"))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45199</v>
      </c>
      <c r="B14" s="6" t="n">
        <v>18869.8</v>
      </c>
      <c r="C14" s="7" t="n">
        <v>34.44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IF(C14="","",(COUNTIFS($D$2:$D$25,D14,$C$2:$C$25,"&gt;0",$C$2:$C$25,"&lt;"&amp;C14)+(COUNTIFS($D$2:$D$25,D14,$C$2:$C$25,C14)+1)/2)/COUNTIFS($D$2:$D$25,D14,$C$2:$C$25,"&gt;0"))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45291</v>
      </c>
      <c r="B15" s="6" t="n">
        <v>20473</v>
      </c>
      <c r="C15" s="7" t="n">
        <v>29.05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IF(C15="","",(COUNTIFS($D$2:$D$25,D15,$C$2:$C$25,"&gt;0",$C$2:$C$25,"&lt;"&amp;C15)+(COUNTIFS($D$2:$D$25,D15,$C$2:$C$25,C15)+1)/2)/COUNTIFS($D$2:$D$25,D15,$C$2:$C$25,"&gt;0"))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45382</v>
      </c>
      <c r="B16" s="6" t="n">
        <v>20261.85</v>
      </c>
      <c r="C16" s="7" t="n">
        <v>27.97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IF(C16="","",(COUNTIFS($D$2:$D$25,D16,$C$2:$C$25,"&gt;0",$C$2:$C$25,"&lt;"&amp;C16)+(COUNTIFS($D$2:$D$25,D16,$C$2:$C$25,C16)+1)/2)/COUNTIFS($D$2:$D$25,D16,$C$2:$C$25,"&gt;0"))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45473</v>
      </c>
      <c r="B17" s="6" t="n">
        <v>24425.8</v>
      </c>
      <c r="C17" s="7" t="n">
        <v>40.36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IF(C17="","",(COUNTIFS($D$2:$D$25,D17,$C$2:$C$25,"&gt;0",$C$2:$C$25,"&lt;"&amp;C17)+(COUNTIFS($D$2:$D$25,D17,$C$2:$C$25,C17)+1)/2)/COUNTIFS($D$2:$D$25,D17,$C$2:$C$25,"&gt;0"))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45565</v>
      </c>
      <c r="B18" s="6" t="n">
        <v>25920.5</v>
      </c>
      <c r="C18" s="7" t="n">
        <v>41.73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IF(C18="","",(COUNTIFS($D$2:$D$25,D18,$C$2:$C$25,"&gt;0",$C$2:$C$25,"&lt;"&amp;C18)+(COUNTIFS($D$2:$D$25,D18,$C$2:$C$25,C18)+1)/2)/COUNTIFS($D$2:$D$25,D18,$C$2:$C$25,"&gt;0"))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45657</v>
      </c>
      <c r="B19" s="6" t="n">
        <v>24416.8</v>
      </c>
      <c r="C19" s="7" t="n">
        <v>40.98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IF(C19="","",(COUNTIFS($D$2:$D$25,D19,$C$2:$C$25,"&gt;0",$C$2:$C$25,"&lt;"&amp;C19)+(COUNTIFS($D$2:$D$25,D19,$C$2:$C$25,C19)+1)/2)/COUNTIFS($D$2:$D$25,D19,$C$2:$C$25,"&gt;0"))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45747</v>
      </c>
      <c r="B20" s="6" t="n">
        <v>22004.05</v>
      </c>
      <c r="C20" s="7" t="n">
        <v>36.23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IF(C20="","",(COUNTIFS($D$2:$D$25,D20,$C$2:$C$25,"&gt;0",$C$2:$C$25,"&lt;"&amp;C20)+(COUNTIFS($D$2:$D$25,D20,$C$2:$C$25,C20)+1)/2)/COUNTIFS($D$2:$D$25,D20,$C$2:$C$25,"&gt;0"))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45838</v>
      </c>
      <c r="B21" s="6" t="n">
        <v>25114.7</v>
      </c>
      <c r="C21" s="7" t="n">
        <v>38.13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IF(C21="","",(COUNTIFS($D$2:$D$25,D21,$C$2:$C$25,"&gt;0",$C$2:$C$25,"&lt;"&amp;C21)+(COUNTIFS($D$2:$D$25,D21,$C$2:$C$25,C21)+1)/2)/COUNTIFS($D$2:$D$25,D21,$C$2:$C$25,"&gt;0"))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45930</v>
      </c>
      <c r="B22" s="6" t="n">
        <v>23602.85</v>
      </c>
      <c r="C22" s="7" t="n">
        <v>35.21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IF(C22="","",(COUNTIFS($D$2:$D$25,D22,$C$2:$C$25,"&gt;0",$C$2:$C$25,"&lt;"&amp;C22)+(COUNTIFS($D$2:$D$25,D22,$C$2:$C$25,C22)+1)/2)/COUNTIFS($D$2:$D$25,D22,$C$2:$C$25,"&gt;0"))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46022</v>
      </c>
      <c r="B23" s="6" t="n">
        <v>24057.85</v>
      </c>
      <c r="C23" s="7" t="n">
        <v>33.78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IF(C23="","",(COUNTIFS($D$2:$D$25,D23,$C$2:$C$25,"&gt;0",$C$2:$C$25,"&lt;"&amp;C23)+(COUNTIFS($D$2:$D$25,D23,$C$2:$C$25,C23)+1)/2)/COUNTIFS($D$2:$D$25,D23,$C$2:$C$25,"&gt;0"))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46112</v>
      </c>
      <c r="B24" s="6" t="n">
        <v>20728.25</v>
      </c>
      <c r="C24" s="7" t="n">
        <v>28.48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IF(C24="","",(COUNTIFS($D$2:$D$25,D24,$C$2:$C$25,"&gt;0",$C$2:$C$25,"&lt;"&amp;C24)+(COUNTIFS($D$2:$D$25,D24,$C$2:$C$25,C24)+1)/2)/COUNTIFS($D$2:$D$25,D24,$C$2:$C$25,"&gt;0"))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46203</v>
      </c>
      <c r="B25" s="6" t="n">
        <v>23890</v>
      </c>
      <c r="C25" s="7" t="n">
        <v>32.41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IF(C25="","",(COUNTIFS($D$2:$D$25,D25,$C$2:$C$25,"&gt;0",$C$2:$C$25,"&lt;"&amp;C25)+(COUNTIFS($D$2:$D$25,D25,$C$2:$C$25,C25)+1)/2)/COUNTIFS($D$2:$D$25,D25,$C$2:$C$25,"&gt;0"))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23819.4</v>
      </c>
      <c r="C2" s="7" t="n">
        <v>31</v>
      </c>
      <c r="D2" s="8" t="n">
        <v>0.416666666667</v>
      </c>
      <c r="E2" s="8" t="n">
        <v>0.145242308487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2026-09-21T10:07:37Z</dcterms:created>
  <dcterms:modified xsi:type="dcterms:W3CDTF">2026-09-21T10:07:37Z</dcterms:modified>
</cp:coreProperties>
</file>