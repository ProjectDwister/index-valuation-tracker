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Sources &amp; 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-mmm-yyyy"/>
    <numFmt numFmtId="166" formatCode="#,##0.00;[Red](#,##0.00);-"/>
    <numFmt numFmtId="167" formatCode="0.00x;[Red](0.00x);-"/>
    <numFmt numFmtId="168" formatCode="0.0%"/>
    <numFmt numFmtId="169" formatCode="#,##0.0;[Red](#,##0.0);-"/>
    <numFmt numFmtId="170" formatCode="0.0"/>
    <numFmt numFmtId="171" formatCode="0.00x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5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0" fontId="3" fillId="0" borderId="0" pivotButton="0" quotePrefix="0" xfId="0"/>
    <xf numFmtId="170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1" fontId="0" fillId="0" borderId="0" pivotButton="0" quotePrefix="0" xfId="0"/>
    <xf numFmtId="3" fontId="0" fillId="0" borderId="0" pivotButton="0" quotePrefix="0" xfId="0"/>
    <xf numFmtId="168" fontId="0" fillId="0" borderId="0" pivotButton="0" quotePrefix="0" xfId="0"/>
    <xf numFmtId="0" fontId="7" fillId="0" borderId="0" pivotButton="0" quotePrefix="0" xfId="1"/>
    <xf numFmtId="165" fontId="0" fillId="0" borderId="0" pivotButton="0" quotePrefix="0" xfId="0"/>
    <xf numFmtId="166" fontId="5" fillId="0" borderId="0" pivotButton="0" quotePrefix="0" xfId="0"/>
    <xf numFmtId="10" fontId="5" fillId="0" borderId="0" pivotButton="0" quotePrefix="0" xfId="0"/>
    <xf numFmtId="166" fontId="0" fillId="0" borderId="0" pivotButton="0" quotePrefix="0" xfId="0"/>
    <xf numFmtId="170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2" customWidth="1" min="4" max="4"/>
    <col width="29" customWidth="1" min="5" max="5"/>
    <col width="17" customWidth="1" min="6" max="6"/>
    <col width="19" customWidth="1" min="7" max="7"/>
  </cols>
  <sheetData>
    <row r="1" ht="26" customHeight="1">
      <c r="A1" s="1" t="inlineStr">
        <is>
          <t>NIFTY REITS &amp; Invits Valuation Tracker</t>
        </is>
      </c>
    </row>
    <row r="2">
      <c r="A2" s="2" t="inlineStr">
        <is>
          <t>As of</t>
        </is>
      </c>
      <c r="B2" s="3" t="n">
        <v>46283</v>
      </c>
      <c r="D2" s="2" t="inlineStr">
        <is>
          <t>Group</t>
        </is>
      </c>
      <c r="E2" s="4" t="inlineStr">
        <is>
          <t>Strategy / Thematic / Other</t>
        </is>
      </c>
    </row>
    <row r="3"/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6" t="n">
        <v>1416.67</v>
      </c>
      <c r="D5" s="2" t="inlineStr">
        <is>
          <t>P/E</t>
        </is>
      </c>
      <c r="E5" s="7" t="n">
        <v>51.27</v>
      </c>
    </row>
    <row r="6">
      <c r="A6" s="2" t="inlineStr">
        <is>
          <t>P/E percentile</t>
        </is>
      </c>
      <c r="B6" s="8" t="n">
        <v>0.8452380952380952</v>
      </c>
      <c r="D6" s="2" t="inlineStr">
        <is>
          <t>Implied EPS</t>
        </is>
      </c>
      <c r="E6" s="9" t="n">
        <v>27.63155841622781</v>
      </c>
    </row>
    <row r="7">
      <c r="A7" s="2" t="inlineStr">
        <is>
          <t>YoY implied EPS growth</t>
        </is>
      </c>
      <c r="B7" s="8" t="n">
        <v>-0.4576120583520836</v>
      </c>
      <c r="D7" s="2" t="inlineStr">
        <is>
          <t>Earnings yield</t>
        </is>
      </c>
      <c r="E7" s="10" t="n">
        <v>0.01950458357714063</v>
      </c>
    </row>
    <row r="8">
      <c r="A8" s="2" t="inlineStr">
        <is>
          <t>Valuation score</t>
        </is>
      </c>
      <c r="B8" s="11" t="n">
        <v>15.47619047619048</v>
      </c>
      <c r="D8" s="2" t="inlineStr">
        <is>
          <t>Growth score</t>
        </is>
      </c>
      <c r="E8" s="11" t="n">
        <v>20</v>
      </c>
    </row>
    <row r="9">
      <c r="A9" s="2" t="inlineStr">
        <is>
          <t>Composite score</t>
        </is>
      </c>
      <c r="B9" s="11" t="n">
        <v>16.83333333333333</v>
      </c>
      <c r="D9" s="2" t="inlineStr">
        <is>
          <t>Signal</t>
        </is>
      </c>
      <c r="E9" s="12" t="inlineStr">
        <is>
          <t>SELL</t>
        </is>
      </c>
    </row>
    <row r="10"/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14" t="n">
        <v>21.94542857142857</v>
      </c>
      <c r="C13" s="15" t="n">
        <v>606.3863915405835</v>
      </c>
      <c r="D13" s="16" t="n">
        <v>-0.5719635542924015</v>
      </c>
    </row>
    <row r="14">
      <c r="A14" t="inlineStr">
        <is>
          <t>HOLD → SELL</t>
        </is>
      </c>
      <c r="B14" s="14" t="n">
        <v>32.51771428571428</v>
      </c>
      <c r="C14" s="15" t="n">
        <v>898.51512184792</v>
      </c>
      <c r="D14" s="16" t="n">
        <v>-0.365755523976706</v>
      </c>
    </row>
    <row r="15"/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2</v>
      </c>
      <c r="C18" s="16" t="n">
        <v>0.1913940045596978</v>
      </c>
      <c r="D18" s="16" t="n"/>
      <c r="E18" s="16" t="n"/>
      <c r="F18" s="16" t="n"/>
      <c r="G18" s="16" t="n"/>
    </row>
    <row r="19">
      <c r="A19" t="inlineStr">
        <is>
          <t>Q2</t>
        </is>
      </c>
      <c r="B19" t="n">
        <v>3</v>
      </c>
      <c r="C19" s="16" t="n">
        <v>0.1278465041737127</v>
      </c>
      <c r="D19" s="16" t="n"/>
      <c r="E19" s="16" t="n"/>
      <c r="F19" s="16" t="n"/>
      <c r="G19" s="16" t="n"/>
    </row>
    <row r="20">
      <c r="A20" t="inlineStr">
        <is>
          <t>Q3</t>
        </is>
      </c>
      <c r="B20" t="n">
        <v>2</v>
      </c>
      <c r="C20" s="16" t="n">
        <v>0.1001624020899951</v>
      </c>
      <c r="D20" s="16" t="n"/>
      <c r="E20" s="16" t="n"/>
      <c r="F20" s="16" t="n"/>
      <c r="G20" s="16" t="n"/>
    </row>
    <row r="21">
      <c r="A21" t="inlineStr">
        <is>
          <t>Q4</t>
        </is>
      </c>
      <c r="B21" t="n">
        <v>3</v>
      </c>
      <c r="C21" s="16" t="n">
        <v>0.1077681556210259</v>
      </c>
      <c r="D21" s="16" t="n"/>
      <c r="E21" s="16" t="n"/>
      <c r="F21" s="16" t="n"/>
      <c r="G21" s="16" t="n"/>
    </row>
    <row r="22">
      <c r="A22" t="inlineStr">
        <is>
          <t>Q5 Most Expensive</t>
        </is>
      </c>
      <c r="B22" t="n">
        <v>3</v>
      </c>
      <c r="C22" s="16" t="n">
        <v>0.147696254900892</v>
      </c>
      <c r="D22" s="16" t="n">
        <v>0.1209508299328759</v>
      </c>
      <c r="E22" s="16" t="n"/>
      <c r="F22" s="16" t="n"/>
      <c r="G22" s="16" t="n">
        <v>0</v>
      </c>
    </row>
    <row r="23"/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41</v>
      </c>
    </row>
    <row r="26">
      <c r="A26" s="2" t="inlineStr">
        <is>
          <t>Quarter-end P/E observations</t>
        </is>
      </c>
      <c r="B26" t="n">
        <v>13</v>
      </c>
    </row>
    <row r="27">
      <c r="A27" s="2" t="inlineStr">
        <is>
          <t>Backtest start</t>
        </is>
      </c>
      <c r="B27" t="inlineStr">
        <is>
          <t>2023-06-30</t>
        </is>
      </c>
    </row>
    <row r="28">
      <c r="A28" s="2" t="inlineStr">
        <is>
          <t>Backtest end</t>
        </is>
      </c>
      <c r="B28" t="inlineStr">
        <is>
          <t>2026-06-30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18" t="n">
        <v>45046</v>
      </c>
      <c r="B2" s="6" t="n">
        <v>1030.89</v>
      </c>
      <c r="C2" s="7" t="n">
        <v>50.17</v>
      </c>
      <c r="D2" s="19">
        <f>IFERROR(B2/C2,"")</f>
        <v/>
      </c>
      <c r="E2" s="20">
        <f>IFERROR(1/C2,"")</f>
        <v/>
      </c>
    </row>
    <row r="3">
      <c r="A3" s="18" t="n">
        <v>45077</v>
      </c>
      <c r="B3" s="6" t="n">
        <v>996.79</v>
      </c>
      <c r="C3" s="7" t="n">
        <v>58.21</v>
      </c>
      <c r="D3" s="19">
        <f>IFERROR(B3/C3,"")</f>
        <v/>
      </c>
      <c r="E3" s="20">
        <f>IFERROR(1/C3,"")</f>
        <v/>
      </c>
    </row>
    <row r="4">
      <c r="A4" s="18" t="n">
        <v>45107</v>
      </c>
      <c r="B4" s="6" t="n">
        <v>977.53</v>
      </c>
      <c r="C4" s="7" t="n">
        <v>71.79000000000001</v>
      </c>
      <c r="D4" s="19">
        <f>IFERROR(B4/C4,"")</f>
        <v/>
      </c>
      <c r="E4" s="20">
        <f>IFERROR(1/C4,"")</f>
        <v/>
      </c>
    </row>
    <row r="5">
      <c r="A5" s="18" t="n">
        <v>45138</v>
      </c>
      <c r="B5" s="6" t="n">
        <v>1005.42</v>
      </c>
      <c r="C5" s="7" t="n">
        <v>70.20999999999999</v>
      </c>
      <c r="D5" s="19">
        <f>IFERROR(B5/C5,"")</f>
        <v/>
      </c>
      <c r="E5" s="20">
        <f>IFERROR(1/C5,"")</f>
        <v/>
      </c>
    </row>
    <row r="6">
      <c r="A6" s="18" t="n">
        <v>45169</v>
      </c>
      <c r="B6" s="6" t="n">
        <v>985.9400000000001</v>
      </c>
      <c r="C6" s="7" t="n">
        <v>74.8</v>
      </c>
      <c r="D6" s="19">
        <f>IFERROR(B6/C6,"")</f>
        <v/>
      </c>
      <c r="E6" s="20">
        <f>IFERROR(1/C6,"")</f>
        <v/>
      </c>
    </row>
    <row r="7">
      <c r="A7" s="18" t="n">
        <v>45199</v>
      </c>
      <c r="B7" s="6" t="n">
        <v>968.67</v>
      </c>
      <c r="C7" s="7" t="n">
        <v>86.03</v>
      </c>
      <c r="D7" s="19">
        <f>IFERROR(B7/C7,"")</f>
        <v/>
      </c>
      <c r="E7" s="20">
        <f>IFERROR(1/C7,"")</f>
        <v/>
      </c>
    </row>
    <row r="8">
      <c r="A8" s="18" t="n">
        <v>45230</v>
      </c>
      <c r="B8" s="6" t="n">
        <v>976.59</v>
      </c>
      <c r="C8" s="7" t="n">
        <v>66.89</v>
      </c>
      <c r="D8" s="19">
        <f>IFERROR(B8/C8,"")</f>
        <v/>
      </c>
      <c r="E8" s="20">
        <f>IFERROR(1/C8,"")</f>
        <v/>
      </c>
    </row>
    <row r="9">
      <c r="A9" s="18" t="n">
        <v>45260</v>
      </c>
      <c r="B9" s="6" t="n">
        <v>998.17</v>
      </c>
      <c r="C9" s="7" t="n">
        <v>32.6</v>
      </c>
      <c r="D9" s="19">
        <f>IFERROR(B9/C9,"")</f>
        <v/>
      </c>
      <c r="E9" s="20">
        <f>IFERROR(1/C9,"")</f>
        <v/>
      </c>
    </row>
    <row r="10">
      <c r="A10" s="18" t="n">
        <v>45291</v>
      </c>
      <c r="B10" s="6" t="n">
        <v>1008.09</v>
      </c>
      <c r="C10" s="7" t="n">
        <v>33.07</v>
      </c>
      <c r="D10" s="19">
        <f>IFERROR(B10/C10,"")</f>
        <v/>
      </c>
      <c r="E10" s="20">
        <f>IFERROR(1/C10,"")</f>
        <v/>
      </c>
    </row>
    <row r="11">
      <c r="A11" s="18" t="n">
        <v>45322</v>
      </c>
      <c r="B11" s="6" t="n">
        <v>1051.1</v>
      </c>
      <c r="C11" s="7" t="n">
        <v>34.64</v>
      </c>
      <c r="D11" s="19">
        <f>IFERROR(B11/C11,"")</f>
        <v/>
      </c>
      <c r="E11" s="20">
        <f>IFERROR(1/C11,"")</f>
        <v/>
      </c>
    </row>
    <row r="12">
      <c r="A12" s="18" t="n">
        <v>45351</v>
      </c>
      <c r="B12" s="6" t="n">
        <v>1068.12</v>
      </c>
      <c r="C12" s="7" t="n">
        <v>32.8</v>
      </c>
      <c r="D12" s="19">
        <f>IFERROR(B12/C12,"")</f>
        <v/>
      </c>
      <c r="E12" s="20">
        <f>IFERROR(1/C12,"")</f>
        <v/>
      </c>
    </row>
    <row r="13">
      <c r="A13" s="18" t="n">
        <v>45382</v>
      </c>
      <c r="B13" s="6" t="n">
        <v>1065.9</v>
      </c>
      <c r="C13" s="7" t="n">
        <v>32.27</v>
      </c>
      <c r="D13" s="19">
        <f>IFERROR(B13/C13,"")</f>
        <v/>
      </c>
      <c r="E13" s="20">
        <f>IFERROR(1/C13,"")</f>
        <v/>
      </c>
    </row>
    <row r="14">
      <c r="A14" s="18" t="n">
        <v>45412</v>
      </c>
      <c r="B14" s="6" t="n">
        <v>1077.76</v>
      </c>
      <c r="C14" s="7" t="n">
        <v>32.51</v>
      </c>
      <c r="D14" s="19">
        <f>IFERROR(B14/C14,"")</f>
        <v/>
      </c>
      <c r="E14" s="20">
        <f>IFERROR(1/C14,"")</f>
        <v/>
      </c>
    </row>
    <row r="15">
      <c r="A15" s="18" t="n">
        <v>45443</v>
      </c>
      <c r="B15" s="6" t="n">
        <v>1058.37</v>
      </c>
      <c r="C15" s="7" t="n">
        <v>31.69</v>
      </c>
      <c r="D15" s="19">
        <f>IFERROR(B15/C15,"")</f>
        <v/>
      </c>
      <c r="E15" s="20">
        <f>IFERROR(1/C15,"")</f>
        <v/>
      </c>
    </row>
    <row r="16">
      <c r="A16" s="18" t="n">
        <v>45473</v>
      </c>
      <c r="B16" s="6" t="n">
        <v>1082.58</v>
      </c>
      <c r="C16" s="7" t="n">
        <v>29.43</v>
      </c>
      <c r="D16" s="19">
        <f>IFERROR(B16/C16,"")</f>
        <v/>
      </c>
      <c r="E16" s="20">
        <f>IFERROR(1/C16,"")</f>
        <v/>
      </c>
    </row>
    <row r="17">
      <c r="A17" s="18" t="n">
        <v>45504</v>
      </c>
      <c r="B17" s="6" t="n">
        <v>1120.88</v>
      </c>
      <c r="C17" s="7" t="n">
        <v>30.79</v>
      </c>
      <c r="D17" s="19">
        <f>IFERROR(B17/C17,"")</f>
        <v/>
      </c>
      <c r="E17" s="20">
        <f>IFERROR(1/C17,"")</f>
        <v/>
      </c>
    </row>
    <row r="18">
      <c r="A18" s="18" t="n">
        <v>45535</v>
      </c>
      <c r="B18" s="6" t="n">
        <v>1122.84</v>
      </c>
      <c r="C18" s="7" t="n">
        <v>30.39</v>
      </c>
      <c r="D18" s="19">
        <f>IFERROR(B18/C18,"")</f>
        <v/>
      </c>
      <c r="E18" s="20">
        <f>IFERROR(1/C18,"")</f>
        <v/>
      </c>
    </row>
    <row r="19">
      <c r="A19" s="18" t="n">
        <v>45565</v>
      </c>
      <c r="B19" s="6" t="n">
        <v>1150.71</v>
      </c>
      <c r="C19" s="7" t="n">
        <v>30.3</v>
      </c>
      <c r="D19" s="19">
        <f>IFERROR(B19/C19,"")</f>
        <v/>
      </c>
      <c r="E19" s="20">
        <f>IFERROR(1/C19,"")</f>
        <v/>
      </c>
    </row>
    <row r="20">
      <c r="A20" s="18" t="n">
        <v>45596</v>
      </c>
      <c r="B20" s="6" t="n">
        <v>1171.73</v>
      </c>
      <c r="C20" s="7" t="n">
        <v>30.99</v>
      </c>
      <c r="D20" s="19">
        <f>IFERROR(B20/C20,"")</f>
        <v/>
      </c>
      <c r="E20" s="20">
        <f>IFERROR(1/C20,"")</f>
        <v/>
      </c>
    </row>
    <row r="21">
      <c r="A21" s="18" t="n">
        <v>45626</v>
      </c>
      <c r="B21" s="6" t="n">
        <v>1142.44</v>
      </c>
      <c r="C21" s="7" t="n">
        <v>30.12</v>
      </c>
      <c r="D21" s="19">
        <f>IFERROR(B21/C21,"")</f>
        <v/>
      </c>
      <c r="E21" s="20">
        <f>IFERROR(1/C21,"")</f>
        <v/>
      </c>
    </row>
    <row r="22">
      <c r="A22" s="18" t="n">
        <v>45657</v>
      </c>
      <c r="B22" s="6" t="n">
        <v>1116.73</v>
      </c>
      <c r="C22" s="7" t="n">
        <v>21.43</v>
      </c>
      <c r="D22" s="19">
        <f>IFERROR(B22/C22,"")</f>
        <v/>
      </c>
      <c r="E22" s="20">
        <f>IFERROR(1/C22,"")</f>
        <v/>
      </c>
    </row>
    <row r="23">
      <c r="A23" s="18" t="n">
        <v>45688</v>
      </c>
      <c r="B23" s="6" t="n">
        <v>1141.52</v>
      </c>
      <c r="C23" s="7" t="n">
        <v>21.75</v>
      </c>
      <c r="D23" s="19">
        <f>IFERROR(B23/C23,"")</f>
        <v/>
      </c>
      <c r="E23" s="20">
        <f>IFERROR(1/C23,"")</f>
        <v/>
      </c>
    </row>
    <row r="24">
      <c r="A24" s="18" t="n">
        <v>45716</v>
      </c>
      <c r="B24" s="6" t="n">
        <v>1118.67</v>
      </c>
      <c r="C24" s="7" t="n">
        <v>21.43</v>
      </c>
      <c r="D24" s="19">
        <f>IFERROR(B24/C24,"")</f>
        <v/>
      </c>
      <c r="E24" s="20">
        <f>IFERROR(1/C24,"")</f>
        <v/>
      </c>
    </row>
    <row r="25">
      <c r="A25" s="18" t="n">
        <v>45747</v>
      </c>
      <c r="B25" s="6" t="n">
        <v>1107.07</v>
      </c>
      <c r="C25" s="7" t="n">
        <v>21.55</v>
      </c>
      <c r="D25" s="19">
        <f>IFERROR(B25/C25,"")</f>
        <v/>
      </c>
      <c r="E25" s="20">
        <f>IFERROR(1/C25,"")</f>
        <v/>
      </c>
    </row>
    <row r="26">
      <c r="A26" s="18" t="n">
        <v>45777</v>
      </c>
      <c r="B26" s="6" t="n">
        <v>1139.13</v>
      </c>
      <c r="C26" s="7" t="n">
        <v>22.13</v>
      </c>
      <c r="D26" s="19">
        <f>IFERROR(B26/C26,"")</f>
        <v/>
      </c>
      <c r="E26" s="20">
        <f>IFERROR(1/C26,"")</f>
        <v/>
      </c>
    </row>
    <row r="27">
      <c r="A27" s="18" t="n">
        <v>45808</v>
      </c>
      <c r="B27" s="6" t="n">
        <v>1169.78</v>
      </c>
      <c r="C27" s="7" t="n">
        <v>22.55</v>
      </c>
      <c r="D27" s="19">
        <f>IFERROR(B27/C27,"")</f>
        <v/>
      </c>
      <c r="E27" s="20">
        <f>IFERROR(1/C27,"")</f>
        <v/>
      </c>
    </row>
    <row r="28">
      <c r="A28" s="18" t="n">
        <v>45838</v>
      </c>
      <c r="B28" s="6" t="n">
        <v>1205.46</v>
      </c>
      <c r="C28" s="7" t="n">
        <v>23.85</v>
      </c>
      <c r="D28" s="19">
        <f>IFERROR(B28/C28,"")</f>
        <v/>
      </c>
      <c r="E28" s="20">
        <f>IFERROR(1/C28,"")</f>
        <v/>
      </c>
    </row>
    <row r="29">
      <c r="A29" s="18" t="n">
        <v>45869</v>
      </c>
      <c r="B29" s="6" t="n">
        <v>1240.1</v>
      </c>
      <c r="C29" s="7" t="n">
        <v>24.43</v>
      </c>
      <c r="D29" s="19">
        <f>IFERROR(B29/C29,"")</f>
        <v/>
      </c>
      <c r="E29" s="20">
        <f>IFERROR(1/C29,"")</f>
        <v/>
      </c>
    </row>
    <row r="30">
      <c r="A30" s="18" t="n">
        <v>45900</v>
      </c>
      <c r="B30" s="6" t="n">
        <v>1250.33</v>
      </c>
      <c r="C30" s="7" t="n">
        <v>24.55</v>
      </c>
      <c r="D30" s="19">
        <f>IFERROR(B30/C30,"")</f>
        <v/>
      </c>
      <c r="E30" s="20">
        <f>IFERROR(1/C30,"")</f>
        <v/>
      </c>
    </row>
    <row r="31">
      <c r="A31" s="18" t="n">
        <v>45930</v>
      </c>
      <c r="B31" s="6" t="n">
        <v>1336.78</v>
      </c>
      <c r="C31" s="7" t="n">
        <v>26.46</v>
      </c>
      <c r="D31" s="19">
        <f>IFERROR(B31/C31,"")</f>
        <v/>
      </c>
      <c r="E31" s="20">
        <f>IFERROR(1/C31,"")</f>
        <v/>
      </c>
    </row>
    <row r="32">
      <c r="A32" s="18" t="n">
        <v>45961</v>
      </c>
      <c r="B32" s="6" t="n">
        <v>1353.91</v>
      </c>
      <c r="C32" s="7" t="n">
        <v>27.4</v>
      </c>
      <c r="D32" s="19">
        <f>IFERROR(B32/C32,"")</f>
        <v/>
      </c>
      <c r="E32" s="20">
        <f>IFERROR(1/C32,"")</f>
        <v/>
      </c>
    </row>
    <row r="33">
      <c r="A33" s="18" t="n">
        <v>45991</v>
      </c>
      <c r="B33" s="6" t="n">
        <v>1345.93</v>
      </c>
      <c r="C33" s="7" t="n">
        <v>27.23</v>
      </c>
      <c r="D33" s="19">
        <f>IFERROR(B33/C33,"")</f>
        <v/>
      </c>
      <c r="E33" s="20">
        <f>IFERROR(1/C33,"")</f>
        <v/>
      </c>
    </row>
    <row r="34">
      <c r="A34" s="18" t="n">
        <v>46022</v>
      </c>
      <c r="B34" s="6" t="n">
        <v>1340.64</v>
      </c>
      <c r="C34" s="7" t="n">
        <v>32.37</v>
      </c>
      <c r="D34" s="19">
        <f>IFERROR(B34/C34,"")</f>
        <v/>
      </c>
      <c r="E34" s="20">
        <f>IFERROR(1/C34,"")</f>
        <v/>
      </c>
    </row>
    <row r="35">
      <c r="A35" s="18" t="n">
        <v>46053</v>
      </c>
      <c r="B35" s="6" t="n">
        <v>1356.61</v>
      </c>
      <c r="C35" s="7" t="n">
        <v>46.22</v>
      </c>
      <c r="D35" s="19">
        <f>IFERROR(B35/C35,"")</f>
        <v/>
      </c>
      <c r="E35" s="20">
        <f>IFERROR(1/C35,"")</f>
        <v/>
      </c>
    </row>
    <row r="36">
      <c r="A36" s="18" t="n">
        <v>46081</v>
      </c>
      <c r="B36" s="6" t="n">
        <v>1367.09</v>
      </c>
      <c r="C36" s="7" t="n">
        <v>46.27</v>
      </c>
      <c r="D36" s="19">
        <f>IFERROR(B36/C36,"")</f>
        <v/>
      </c>
      <c r="E36" s="20">
        <f>IFERROR(1/C36,"")</f>
        <v/>
      </c>
    </row>
    <row r="37">
      <c r="A37" s="18" t="n">
        <v>46112</v>
      </c>
      <c r="B37" s="6" t="n">
        <v>1308.87</v>
      </c>
      <c r="C37" s="7" t="n">
        <v>40.08</v>
      </c>
      <c r="D37" s="19">
        <f>IFERROR(B37/C37,"")</f>
        <v/>
      </c>
      <c r="E37" s="20">
        <f>IFERROR(1/C37,"")</f>
        <v/>
      </c>
    </row>
    <row r="38">
      <c r="A38" s="18" t="n">
        <v>46142</v>
      </c>
      <c r="B38" s="6" t="n">
        <v>1339.9</v>
      </c>
      <c r="C38" s="7" t="n">
        <v>41.66</v>
      </c>
      <c r="D38" s="19">
        <f>IFERROR(B38/C38,"")</f>
        <v/>
      </c>
      <c r="E38" s="20">
        <f>IFERROR(1/C38,"")</f>
        <v/>
      </c>
    </row>
    <row r="39">
      <c r="A39" s="18" t="n">
        <v>46173</v>
      </c>
      <c r="B39" s="6" t="n">
        <v>1341.24</v>
      </c>
      <c r="C39" s="7" t="n">
        <v>46.13</v>
      </c>
      <c r="D39" s="19">
        <f>IFERROR(B39/C39,"")</f>
        <v/>
      </c>
      <c r="E39" s="20">
        <f>IFERROR(1/C39,"")</f>
        <v/>
      </c>
    </row>
    <row r="40">
      <c r="A40" s="18" t="n">
        <v>46203</v>
      </c>
      <c r="B40" s="6" t="n">
        <v>1376.86</v>
      </c>
      <c r="C40" s="7" t="n">
        <v>50.2</v>
      </c>
      <c r="D40" s="19">
        <f>IFERROR(B40/C40,"")</f>
        <v/>
      </c>
      <c r="E40" s="20">
        <f>IFERROR(1/C40,"")</f>
        <v/>
      </c>
    </row>
    <row r="41">
      <c r="A41" s="18" t="n">
        <v>46234</v>
      </c>
      <c r="B41" s="6" t="n">
        <v>1409.57</v>
      </c>
      <c r="C41" s="7" t="n">
        <v>51.22</v>
      </c>
      <c r="D41" s="19">
        <f>IFERROR(B41/C41,"")</f>
        <v/>
      </c>
      <c r="E41" s="20">
        <f>IFERROR(1/C41,"")</f>
        <v/>
      </c>
    </row>
    <row r="42">
      <c r="A42" s="18" t="n">
        <v>46265</v>
      </c>
      <c r="B42" s="6" t="n">
        <v>1414.44</v>
      </c>
      <c r="C42" s="7" t="n">
        <v>51.19</v>
      </c>
      <c r="D42" s="19">
        <f>IFERROR(B42/C42,"")</f>
        <v/>
      </c>
      <c r="E42" s="20">
        <f>IFERROR(1/C42,"")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1" customWidth="1" min="10" max="10"/>
    <col width="13" customWidth="1" min="11" max="11"/>
    <col width="14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18" t="n">
        <v>45107</v>
      </c>
      <c r="B2" s="6" t="n">
        <v>977.53</v>
      </c>
      <c r="C2" s="7" t="n">
        <v>71.79000000000001</v>
      </c>
      <c r="D2" s="2" t="inlineStr">
        <is>
          <t>Consolidated</t>
        </is>
      </c>
      <c r="E2" s="21">
        <f>IFERROR(B2/C2,"")</f>
        <v/>
      </c>
      <c r="F2" s="16" t="n"/>
      <c r="G2" s="16">
        <f>IF(C2="","",(COUNTIFS($D$2:$D$14,D2,$C$2:$C$14,"&gt;0",$C$2:$C$14,"&lt;"&amp;C2)+(COUNTIFS($D$2:$D$14,D2,$C$2:$C$14,C2)+1)/2)/COUNTIFS($D$2:$D$14,D2,$C$2:$C$14,"&gt;0"))</f>
        <v/>
      </c>
      <c r="H2">
        <f>IF(G2="","",IF(G2&lt;=20%,"Q1 Cheapest",IF(G2&lt;=40%,"Q2",IF(G2&lt;=60%,"Q3",IF(G2&lt;=80%,"Q4","Q5 Most Expensive")))))</f>
        <v/>
      </c>
      <c r="I2" s="16">
        <f>IFERROR(B6/B2-1,"")</f>
        <v/>
      </c>
      <c r="J2" s="16">
        <f>IFERROR((B14/B2)^(1/3)-1,"")</f>
        <v/>
      </c>
      <c r="K2" s="16" t="n"/>
      <c r="L2" s="16" t="n"/>
    </row>
    <row r="3">
      <c r="A3" s="18" t="n">
        <v>45199</v>
      </c>
      <c r="B3" s="6" t="n">
        <v>968.67</v>
      </c>
      <c r="C3" s="7" t="n">
        <v>86.03</v>
      </c>
      <c r="D3" s="2" t="inlineStr">
        <is>
          <t>Consolidated</t>
        </is>
      </c>
      <c r="E3" s="21">
        <f>IFERROR(B3/C3,"")</f>
        <v/>
      </c>
      <c r="F3" s="16" t="n"/>
      <c r="G3" s="16">
        <f>IF(C3="","",(COUNTIFS($D$2:$D$14,D3,$C$2:$C$14,"&gt;0",$C$2:$C$14,"&lt;"&amp;C3)+(COUNTIFS($D$2:$D$14,D3,$C$2:$C$14,C3)+1)/2)/COUNTIFS($D$2:$D$14,D3,$C$2:$C$14,"&gt;0"))</f>
        <v/>
      </c>
      <c r="H3">
        <f>IF(G3="","",IF(G3&lt;=20%,"Q1 Cheapest",IF(G3&lt;=40%,"Q2",IF(G3&lt;=60%,"Q3",IF(G3&lt;=80%,"Q4","Q5 Most Expensive")))))</f>
        <v/>
      </c>
      <c r="I3" s="16">
        <f>IFERROR(B7/B3-1,"")</f>
        <v/>
      </c>
      <c r="J3" s="16" t="n"/>
      <c r="K3" s="16" t="n"/>
      <c r="L3" s="16" t="n"/>
    </row>
    <row r="4">
      <c r="A4" s="18" t="n">
        <v>45291</v>
      </c>
      <c r="B4" s="6" t="n">
        <v>1008.09</v>
      </c>
      <c r="C4" s="7" t="n">
        <v>33.07</v>
      </c>
      <c r="D4" s="2" t="inlineStr">
        <is>
          <t>Consolidated</t>
        </is>
      </c>
      <c r="E4" s="21">
        <f>IFERROR(B4/C4,"")</f>
        <v/>
      </c>
      <c r="F4" s="16" t="n"/>
      <c r="G4" s="16">
        <f>IF(C4="","",(COUNTIFS($D$2:$D$14,D4,$C$2:$C$14,"&gt;0",$C$2:$C$14,"&lt;"&amp;C4)+(COUNTIFS($D$2:$D$14,D4,$C$2:$C$14,C4)+1)/2)/COUNTIFS($D$2:$D$14,D4,$C$2:$C$14,"&gt;0"))</f>
        <v/>
      </c>
      <c r="H4">
        <f>IF(G4="","",IF(G4&lt;=20%,"Q1 Cheapest",IF(G4&lt;=40%,"Q2",IF(G4&lt;=60%,"Q3",IF(G4&lt;=80%,"Q4","Q5 Most Expensive")))))</f>
        <v/>
      </c>
      <c r="I4" s="16">
        <f>IFERROR(B8/B4-1,"")</f>
        <v/>
      </c>
      <c r="J4" s="16" t="n"/>
      <c r="K4" s="16" t="n"/>
      <c r="L4" s="16" t="n"/>
    </row>
    <row r="5">
      <c r="A5" s="18" t="n">
        <v>45382</v>
      </c>
      <c r="B5" s="6" t="n">
        <v>1065.9</v>
      </c>
      <c r="C5" s="7" t="n">
        <v>32.27</v>
      </c>
      <c r="D5" s="2" t="inlineStr">
        <is>
          <t>Consolidated</t>
        </is>
      </c>
      <c r="E5" s="21">
        <f>IFERROR(B5/C5,"")</f>
        <v/>
      </c>
      <c r="F5" s="16" t="n"/>
      <c r="G5" s="16">
        <f>IF(C5="","",(COUNTIFS($D$2:$D$14,D5,$C$2:$C$14,"&gt;0",$C$2:$C$14,"&lt;"&amp;C5)+(COUNTIFS($D$2:$D$14,D5,$C$2:$C$14,C5)+1)/2)/COUNTIFS($D$2:$D$14,D5,$C$2:$C$14,"&gt;0"))</f>
        <v/>
      </c>
      <c r="H5">
        <f>IF(G5="","",IF(G5&lt;=20%,"Q1 Cheapest",IF(G5&lt;=40%,"Q2",IF(G5&lt;=60%,"Q3",IF(G5&lt;=80%,"Q4","Q5 Most Expensive")))))</f>
        <v/>
      </c>
      <c r="I5" s="16">
        <f>IFERROR(B9/B5-1,"")</f>
        <v/>
      </c>
      <c r="J5" s="16" t="n"/>
      <c r="K5" s="16" t="n"/>
      <c r="L5" s="16" t="n"/>
    </row>
    <row r="6">
      <c r="A6" s="18" t="n">
        <v>45473</v>
      </c>
      <c r="B6" s="6" t="n">
        <v>1082.58</v>
      </c>
      <c r="C6" s="7" t="n">
        <v>29.43</v>
      </c>
      <c r="D6" s="2" t="inlineStr">
        <is>
          <t>Consolidated</t>
        </is>
      </c>
      <c r="E6" s="21">
        <f>IFERROR(B6/C6,"")</f>
        <v/>
      </c>
      <c r="F6" s="16">
        <f>IF(AND(D6=D2,E2&lt;&gt;""),E6/E2-1,"")</f>
        <v/>
      </c>
      <c r="G6" s="16">
        <f>IF(C6="","",(COUNTIFS($D$2:$D$14,D6,$C$2:$C$14,"&gt;0",$C$2:$C$14,"&lt;"&amp;C6)+(COUNTIFS($D$2:$D$14,D6,$C$2:$C$14,C6)+1)/2)/COUNTIFS($D$2:$D$14,D6,$C$2:$C$14,"&gt;0"))</f>
        <v/>
      </c>
      <c r="H6">
        <f>IF(G6="","",IF(G6&lt;=20%,"Q1 Cheapest",IF(G6&lt;=40%,"Q2",IF(G6&lt;=60%,"Q3",IF(G6&lt;=80%,"Q4","Q5 Most Expensive")))))</f>
        <v/>
      </c>
      <c r="I6" s="16">
        <f>IFERROR(B10/B6-1,"")</f>
        <v/>
      </c>
      <c r="J6" s="16" t="n"/>
      <c r="K6" s="16" t="n"/>
      <c r="L6" s="16" t="n"/>
    </row>
    <row r="7">
      <c r="A7" s="18" t="n">
        <v>45565</v>
      </c>
      <c r="B7" s="6" t="n">
        <v>1150.71</v>
      </c>
      <c r="C7" s="7" t="n">
        <v>30.3</v>
      </c>
      <c r="D7" s="2" t="inlineStr">
        <is>
          <t>Consolidated</t>
        </is>
      </c>
      <c r="E7" s="21">
        <f>IFERROR(B7/C7,"")</f>
        <v/>
      </c>
      <c r="F7" s="16">
        <f>IF(AND(D7=D3,E3&lt;&gt;""),E7/E3-1,"")</f>
        <v/>
      </c>
      <c r="G7" s="16">
        <f>IF(C7="","",(COUNTIFS($D$2:$D$14,D7,$C$2:$C$14,"&gt;0",$C$2:$C$14,"&lt;"&amp;C7)+(COUNTIFS($D$2:$D$14,D7,$C$2:$C$14,C7)+1)/2)/COUNTIFS($D$2:$D$14,D7,$C$2:$C$14,"&gt;0"))</f>
        <v/>
      </c>
      <c r="H7">
        <f>IF(G7="","",IF(G7&lt;=20%,"Q1 Cheapest",IF(G7&lt;=40%,"Q2",IF(G7&lt;=60%,"Q3",IF(G7&lt;=80%,"Q4","Q5 Most Expensive")))))</f>
        <v/>
      </c>
      <c r="I7" s="16">
        <f>IFERROR(B11/B7-1,"")</f>
        <v/>
      </c>
      <c r="J7" s="16" t="n"/>
      <c r="K7" s="16" t="n"/>
      <c r="L7" s="16" t="n"/>
    </row>
    <row r="8">
      <c r="A8" s="18" t="n">
        <v>45657</v>
      </c>
      <c r="B8" s="6" t="n">
        <v>1116.73</v>
      </c>
      <c r="C8" s="7" t="n">
        <v>21.43</v>
      </c>
      <c r="D8" s="2" t="inlineStr">
        <is>
          <t>Consolidated</t>
        </is>
      </c>
      <c r="E8" s="21">
        <f>IFERROR(B8/C8,"")</f>
        <v/>
      </c>
      <c r="F8" s="16">
        <f>IF(AND(D8=D4,E4&lt;&gt;""),E8/E4-1,"")</f>
        <v/>
      </c>
      <c r="G8" s="16">
        <f>IF(C8="","",(COUNTIFS($D$2:$D$14,D8,$C$2:$C$14,"&gt;0",$C$2:$C$14,"&lt;"&amp;C8)+(COUNTIFS($D$2:$D$14,D8,$C$2:$C$14,C8)+1)/2)/COUNTIFS($D$2:$D$14,D8,$C$2:$C$14,"&gt;0"))</f>
        <v/>
      </c>
      <c r="H8">
        <f>IF(G8="","",IF(G8&lt;=20%,"Q1 Cheapest",IF(G8&lt;=40%,"Q2",IF(G8&lt;=60%,"Q3",IF(G8&lt;=80%,"Q4","Q5 Most Expensive")))))</f>
        <v/>
      </c>
      <c r="I8" s="16">
        <f>IFERROR(B12/B8-1,"")</f>
        <v/>
      </c>
      <c r="J8" s="16" t="n"/>
      <c r="K8" s="16" t="n"/>
      <c r="L8" s="16" t="n"/>
    </row>
    <row r="9">
      <c r="A9" s="18" t="n">
        <v>45747</v>
      </c>
      <c r="B9" s="6" t="n">
        <v>1107.07</v>
      </c>
      <c r="C9" s="7" t="n">
        <v>21.55</v>
      </c>
      <c r="D9" s="2" t="inlineStr">
        <is>
          <t>Consolidated</t>
        </is>
      </c>
      <c r="E9" s="21">
        <f>IFERROR(B9/C9,"")</f>
        <v/>
      </c>
      <c r="F9" s="16">
        <f>IF(AND(D9=D5,E5&lt;&gt;""),E9/E5-1,"")</f>
        <v/>
      </c>
      <c r="G9" s="16">
        <f>IF(C9="","",(COUNTIFS($D$2:$D$14,D9,$C$2:$C$14,"&gt;0",$C$2:$C$14,"&lt;"&amp;C9)+(COUNTIFS($D$2:$D$14,D9,$C$2:$C$14,C9)+1)/2)/COUNTIFS($D$2:$D$14,D9,$C$2:$C$14,"&gt;0"))</f>
        <v/>
      </c>
      <c r="H9">
        <f>IF(G9="","",IF(G9&lt;=20%,"Q1 Cheapest",IF(G9&lt;=40%,"Q2",IF(G9&lt;=60%,"Q3",IF(G9&lt;=80%,"Q4","Q5 Most Expensive")))))</f>
        <v/>
      </c>
      <c r="I9" s="16">
        <f>IFERROR(B13/B9-1,"")</f>
        <v/>
      </c>
      <c r="J9" s="16" t="n"/>
      <c r="K9" s="16" t="n"/>
      <c r="L9" s="16" t="n"/>
    </row>
    <row r="10">
      <c r="A10" s="18" t="n">
        <v>45838</v>
      </c>
      <c r="B10" s="6" t="n">
        <v>1205.46</v>
      </c>
      <c r="C10" s="7" t="n">
        <v>23.85</v>
      </c>
      <c r="D10" s="2" t="inlineStr">
        <is>
          <t>Consolidated</t>
        </is>
      </c>
      <c r="E10" s="21">
        <f>IFERROR(B10/C10,"")</f>
        <v/>
      </c>
      <c r="F10" s="16">
        <f>IF(AND(D10=D6,E6&lt;&gt;""),E10/E6-1,"")</f>
        <v/>
      </c>
      <c r="G10" s="16">
        <f>IF(C10="","",(COUNTIFS($D$2:$D$14,D10,$C$2:$C$14,"&gt;0",$C$2:$C$14,"&lt;"&amp;C10)+(COUNTIFS($D$2:$D$14,D10,$C$2:$C$14,C10)+1)/2)/COUNTIFS($D$2:$D$14,D10,$C$2:$C$14,"&gt;0"))</f>
        <v/>
      </c>
      <c r="H10">
        <f>IF(G10="","",IF(G10&lt;=20%,"Q1 Cheapest",IF(G10&lt;=40%,"Q2",IF(G10&lt;=60%,"Q3",IF(G10&lt;=80%,"Q4","Q5 Most Expensive")))))</f>
        <v/>
      </c>
      <c r="I10" s="16">
        <f>IFERROR(B14/B10-1,"")</f>
        <v/>
      </c>
      <c r="J10" s="16" t="n"/>
      <c r="K10" s="16" t="n"/>
      <c r="L10" s="16" t="n"/>
    </row>
    <row r="11">
      <c r="A11" s="18" t="n">
        <v>45930</v>
      </c>
      <c r="B11" s="6" t="n">
        <v>1336.78</v>
      </c>
      <c r="C11" s="7" t="n">
        <v>26.46</v>
      </c>
      <c r="D11" s="2" t="inlineStr">
        <is>
          <t>Consolidated</t>
        </is>
      </c>
      <c r="E11" s="21">
        <f>IFERROR(B11/C11,"")</f>
        <v/>
      </c>
      <c r="F11" s="16">
        <f>IF(AND(D11=D7,E7&lt;&gt;""),E11/E7-1,"")</f>
        <v/>
      </c>
      <c r="G11" s="16">
        <f>IF(C11="","",(COUNTIFS($D$2:$D$14,D11,$C$2:$C$14,"&gt;0",$C$2:$C$14,"&lt;"&amp;C11)+(COUNTIFS($D$2:$D$14,D11,$C$2:$C$14,C11)+1)/2)/COUNTIFS($D$2:$D$14,D11,$C$2:$C$14,"&gt;0"))</f>
        <v/>
      </c>
      <c r="H11">
        <f>IF(G11="","",IF(G11&lt;=20%,"Q1 Cheapest",IF(G11&lt;=40%,"Q2",IF(G11&lt;=60%,"Q3",IF(G11&lt;=80%,"Q4","Q5 Most Expensive")))))</f>
        <v/>
      </c>
      <c r="I11" s="16" t="n"/>
      <c r="J11" s="16" t="n"/>
      <c r="K11" s="16" t="n"/>
      <c r="L11" s="16" t="n"/>
    </row>
    <row r="12">
      <c r="A12" s="18" t="n">
        <v>46022</v>
      </c>
      <c r="B12" s="6" t="n">
        <v>1340.64</v>
      </c>
      <c r="C12" s="7" t="n">
        <v>32.37</v>
      </c>
      <c r="D12" s="2" t="inlineStr">
        <is>
          <t>Consolidated</t>
        </is>
      </c>
      <c r="E12" s="21">
        <f>IFERROR(B12/C12,"")</f>
        <v/>
      </c>
      <c r="F12" s="16">
        <f>IF(AND(D12=D8,E8&lt;&gt;""),E12/E8-1,"")</f>
        <v/>
      </c>
      <c r="G12" s="16">
        <f>IF(C12="","",(COUNTIFS($D$2:$D$14,D12,$C$2:$C$14,"&gt;0",$C$2:$C$14,"&lt;"&amp;C12)+(COUNTIFS($D$2:$D$14,D12,$C$2:$C$14,C12)+1)/2)/COUNTIFS($D$2:$D$14,D12,$C$2:$C$14,"&gt;0"))</f>
        <v/>
      </c>
      <c r="H12">
        <f>IF(G12="","",IF(G12&lt;=20%,"Q1 Cheapest",IF(G12&lt;=40%,"Q2",IF(G12&lt;=60%,"Q3",IF(G12&lt;=80%,"Q4","Q5 Most Expensive")))))</f>
        <v/>
      </c>
      <c r="I12" s="16" t="n"/>
      <c r="J12" s="16" t="n"/>
      <c r="K12" s="16" t="n"/>
      <c r="L12" s="16" t="n"/>
    </row>
    <row r="13">
      <c r="A13" s="18" t="n">
        <v>46112</v>
      </c>
      <c r="B13" s="6" t="n">
        <v>1308.87</v>
      </c>
      <c r="C13" s="7" t="n">
        <v>40.08</v>
      </c>
      <c r="D13" s="2" t="inlineStr">
        <is>
          <t>Consolidated</t>
        </is>
      </c>
      <c r="E13" s="21">
        <f>IFERROR(B13/C13,"")</f>
        <v/>
      </c>
      <c r="F13" s="16">
        <f>IF(AND(D13=D9,E9&lt;&gt;""),E13/E9-1,"")</f>
        <v/>
      </c>
      <c r="G13" s="16">
        <f>IF(C13="","",(COUNTIFS($D$2:$D$14,D13,$C$2:$C$14,"&gt;0",$C$2:$C$14,"&lt;"&amp;C13)+(COUNTIFS($D$2:$D$14,D13,$C$2:$C$14,C13)+1)/2)/COUNTIFS($D$2:$D$14,D13,$C$2:$C$14,"&gt;0"))</f>
        <v/>
      </c>
      <c r="H13">
        <f>IF(G13="","",IF(G13&lt;=20%,"Q1 Cheapest",IF(G13&lt;=40%,"Q2",IF(G13&lt;=60%,"Q3",IF(G13&lt;=80%,"Q4","Q5 Most Expensive")))))</f>
        <v/>
      </c>
      <c r="I13" s="16" t="n"/>
      <c r="J13" s="16" t="n"/>
      <c r="K13" s="16" t="n"/>
      <c r="L13" s="16" t="n"/>
    </row>
    <row r="14">
      <c r="A14" s="18" t="n">
        <v>46203</v>
      </c>
      <c r="B14" s="6" t="n">
        <v>1376.86</v>
      </c>
      <c r="C14" s="7" t="n">
        <v>50.2</v>
      </c>
      <c r="D14" s="2" t="inlineStr">
        <is>
          <t>Consolidated</t>
        </is>
      </c>
      <c r="E14" s="21">
        <f>IFERROR(B14/C14,"")</f>
        <v/>
      </c>
      <c r="F14" s="16">
        <f>IF(AND(D14=D10,E10&lt;&gt;""),E14/E10-1,"")</f>
        <v/>
      </c>
      <c r="G14" s="16">
        <f>IF(C14="","",(COUNTIFS($D$2:$D$14,D14,$C$2:$C$14,"&gt;0",$C$2:$C$14,"&lt;"&amp;C14)+(COUNTIFS($D$2:$D$14,D14,$C$2:$C$14,C14)+1)/2)/COUNTIFS($D$2:$D$14,D14,$C$2:$C$14,"&gt;0"))</f>
        <v/>
      </c>
      <c r="H14">
        <f>IF(G14="","",IF(G14&lt;=20%,"Q1 Cheapest",IF(G14&lt;=40%,"Q2",IF(G14&lt;=60%,"Q3",IF(G14&lt;=80%,"Q4","Q5 Most Expensive")))))</f>
        <v/>
      </c>
      <c r="I14" s="16" t="n"/>
      <c r="J14" s="16" t="n"/>
      <c r="K14" s="16" t="n"/>
      <c r="L14" s="16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6" customWidth="1" min="4" max="4"/>
    <col width="17" customWidth="1" min="5" max="5"/>
    <col width="26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18" t="n">
        <v>46283</v>
      </c>
      <c r="B2" s="6" t="n">
        <v>1416.67</v>
      </c>
      <c r="C2" s="7" t="n">
        <v>51.27</v>
      </c>
      <c r="D2" s="8" t="n">
        <v>0.845238095238</v>
      </c>
      <c r="E2" s="8" t="n">
        <v>-0.457612058352</v>
      </c>
      <c r="F2" s="22">
        <f>IF(D2="","",100*(1-D2))</f>
        <v/>
      </c>
      <c r="G2" s="22">
        <f>IF(E2="","",IF(E2&lt;=0,20,IF(E2&lt;5%,20+400*E2,IF(E2&lt;10%,40+400*(E2-5%),IF(E2&lt;15%,60+400*(E2-10%),IF(E2&lt;25%,80+200*(E2-15%),100))))))</f>
        <v/>
      </c>
      <c r="H2" s="22">
        <f>IF(OR(F2="",G2=""),"",70%*F2+30%*G2)</f>
        <v/>
      </c>
      <c r="I2">
        <f>IF(H2="","",IF(H2&gt;=70,"BUY",IF(H2&gt;=40,"HOLD","SELL")))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2026-09-21T10:07:40Z</dcterms:created>
  <dcterms:modified xsi:type="dcterms:W3CDTF">2026-09-21T10:07:40Z</dcterms:modified>
</cp:coreProperties>
</file>