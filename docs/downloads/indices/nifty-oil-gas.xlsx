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Oil &amp; Gas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10948.7</v>
      </c>
      <c r="D5" s="2" t="inlineStr">
        <is>
          <t>P/E</t>
        </is>
      </c>
      <c r="E5" s="7" t="n">
        <v>10.84</v>
      </c>
    </row>
    <row r="6">
      <c r="A6" s="2" t="inlineStr">
        <is>
          <t>P/E percentile</t>
        </is>
      </c>
      <c r="B6" s="8" t="n">
        <v>0.5075757575757576</v>
      </c>
      <c r="D6" s="2" t="inlineStr">
        <is>
          <t>Implied EPS</t>
        </is>
      </c>
      <c r="E6" s="9" t="n">
        <v>1010.027675276753</v>
      </c>
    </row>
    <row r="7">
      <c r="A7" s="2" t="inlineStr">
        <is>
          <t>YoY implied EPS growth</t>
        </is>
      </c>
      <c r="B7" s="8" t="n">
        <v>0.07030385961130059</v>
      </c>
      <c r="D7" s="2" t="inlineStr">
        <is>
          <t>Earnings yield</t>
        </is>
      </c>
      <c r="E7" s="10" t="n">
        <v>0.09225092250922509</v>
      </c>
    </row>
    <row r="8">
      <c r="A8" s="2" t="inlineStr">
        <is>
          <t>Valuation score</t>
        </is>
      </c>
      <c r="B8" s="11" t="n">
        <v>49.24242424242424</v>
      </c>
      <c r="D8" s="2" t="inlineStr">
        <is>
          <t>Growth score</t>
        </is>
      </c>
      <c r="E8" s="11" t="n">
        <v>48.12154384452023</v>
      </c>
    </row>
    <row r="9">
      <c r="A9" s="2" t="inlineStr">
        <is>
          <t>Composite score</t>
        </is>
      </c>
      <c r="B9" s="11" t="n">
        <v>48.90616012305304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8.994052872138306</v>
      </c>
      <c r="C13" s="15" t="n">
        <v>9084.242313762055</v>
      </c>
      <c r="D13" s="16" t="n">
        <v>-0.1702903254484958</v>
      </c>
    </row>
    <row r="14">
      <c r="A14" t="inlineStr">
        <is>
          <t>HOLD → SELL</t>
        </is>
      </c>
      <c r="B14" s="14" t="n">
        <v>11.88198881135576</v>
      </c>
      <c r="C14" s="15" t="n">
        <v>12001.13753679804</v>
      </c>
      <c r="D14" s="16" t="n">
        <v>0.09612442909185948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-0.008551843909113677</v>
      </c>
      <c r="D18" s="16" t="n">
        <v>0.1303647364450711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5</v>
      </c>
      <c r="C19" s="16" t="n">
        <v>0.3988700065982947</v>
      </c>
      <c r="D19" s="16" t="n">
        <v>0.1950791174881593</v>
      </c>
      <c r="E19" s="16" t="n">
        <v>0.2388676712811317</v>
      </c>
      <c r="F19" s="16" t="n"/>
      <c r="G19" s="16" t="n">
        <v>0</v>
      </c>
    </row>
    <row r="20">
      <c r="A20" t="inlineStr">
        <is>
          <t>Q3</t>
        </is>
      </c>
      <c r="B20" t="n">
        <v>6</v>
      </c>
      <c r="C20" s="16" t="n">
        <v>0.03387014482136097</v>
      </c>
      <c r="D20" s="16" t="n">
        <v>0.1756431710087843</v>
      </c>
      <c r="E20" s="16" t="n">
        <v>0.1502698346230938</v>
      </c>
      <c r="F20" s="16" t="n"/>
      <c r="G20" s="16" t="n">
        <v>0</v>
      </c>
    </row>
    <row r="21">
      <c r="A21" t="inlineStr">
        <is>
          <t>Q4</t>
        </is>
      </c>
      <c r="B21" t="n">
        <v>5</v>
      </c>
      <c r="C21" s="16" t="n">
        <v>0.0804940074797813</v>
      </c>
      <c r="D21" s="16" t="n">
        <v>0.1715433967363338</v>
      </c>
      <c r="E21" s="16" t="n">
        <v>0.1807677967161985</v>
      </c>
      <c r="F21" s="16" t="n"/>
      <c r="G21" s="16" t="n">
        <v>0</v>
      </c>
    </row>
    <row r="22">
      <c r="A22" t="inlineStr">
        <is>
          <t>Q5 Most Expensive</t>
        </is>
      </c>
      <c r="B22" t="n">
        <v>6</v>
      </c>
      <c r="C22" s="16" t="n">
        <v>0.3049099147860773</v>
      </c>
      <c r="D22" s="16" t="n">
        <v>0.1470145367860074</v>
      </c>
      <c r="E22" s="16" t="n">
        <v>0.1456707864841031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26</v>
      </c>
    </row>
    <row r="27">
      <c r="A27" s="2" t="inlineStr">
        <is>
          <t>Backtest start</t>
        </is>
      </c>
      <c r="B27" t="inlineStr">
        <is>
          <t>2020-03-31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6265.34</v>
      </c>
      <c r="C2" s="7" t="n">
        <v>17.54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6887.25</v>
      </c>
      <c r="C3" s="7" t="n">
        <v>12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6762.85</v>
      </c>
      <c r="C4" s="7" t="n">
        <v>10.66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6526.35</v>
      </c>
      <c r="C5" s="7" t="n">
        <v>10.21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7174.7</v>
      </c>
      <c r="C6" s="7" t="n">
        <v>10.03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7774.4</v>
      </c>
      <c r="C7" s="7" t="n">
        <v>10.41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7704.3</v>
      </c>
      <c r="C8" s="7" t="n">
        <v>10.22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7390.1</v>
      </c>
      <c r="C9" s="7" t="n">
        <v>8.859999999999999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7348.8</v>
      </c>
      <c r="C10" s="7" t="n">
        <v>8.93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7754.6</v>
      </c>
      <c r="C11" s="7" t="n">
        <v>9.33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7268.35</v>
      </c>
      <c r="C12" s="7" t="n">
        <v>8.050000000000001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7866.25</v>
      </c>
      <c r="C13" s="7" t="n">
        <v>8.68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8194.9</v>
      </c>
      <c r="C14" s="7" t="n">
        <v>9.039999999999999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7828.5</v>
      </c>
      <c r="C15" s="7" t="n">
        <v>9.17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7600.7</v>
      </c>
      <c r="C16" s="7" t="n">
        <v>8.779999999999999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7841.7</v>
      </c>
      <c r="C17" s="7" t="n">
        <v>8.970000000000001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8357.75</v>
      </c>
      <c r="C18" s="7" t="n">
        <v>11.51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7643.9</v>
      </c>
      <c r="C19" s="7" t="n">
        <v>10.59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8076.4</v>
      </c>
      <c r="C20" s="7" t="n">
        <v>11.19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8609.6</v>
      </c>
      <c r="C21" s="7" t="n">
        <v>15.48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8438.25</v>
      </c>
      <c r="C22" s="7" t="n">
        <v>15.21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7586.3</v>
      </c>
      <c r="C23" s="7" t="n">
        <v>14.7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6941.65</v>
      </c>
      <c r="C24" s="7" t="n">
        <v>14.18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7148.85</v>
      </c>
      <c r="C25" s="7" t="n">
        <v>14.23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7491.8</v>
      </c>
      <c r="C26" s="7" t="n">
        <v>14.76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7432.15</v>
      </c>
      <c r="C27" s="7" t="n">
        <v>14.61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7535.7</v>
      </c>
      <c r="C28" s="7" t="n">
        <v>14.63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8141.15</v>
      </c>
      <c r="C29" s="7" t="n">
        <v>12.45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7729.05</v>
      </c>
      <c r="C30" s="7" t="n">
        <v>8.779999999999999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7902.8</v>
      </c>
      <c r="C31" s="7" t="n">
        <v>8.91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7609.45</v>
      </c>
      <c r="C32" s="7" t="n">
        <v>7.87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8476.4</v>
      </c>
      <c r="C33" s="7" t="n">
        <v>7.2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9496.15</v>
      </c>
      <c r="C34" s="7" t="n">
        <v>8.199999999999999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10728.65</v>
      </c>
      <c r="C35" s="7" t="n">
        <v>8.66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11457.5</v>
      </c>
      <c r="C36" s="7" t="n">
        <v>9.25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11440.9</v>
      </c>
      <c r="C37" s="7" t="n">
        <v>9.380000000000001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11826.5</v>
      </c>
      <c r="C38" s="7" t="n">
        <v>9.69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11625</v>
      </c>
      <c r="C39" s="7" t="n">
        <v>9.51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12223.35</v>
      </c>
      <c r="C40" s="7" t="n">
        <v>10.13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13254.85</v>
      </c>
      <c r="C41" s="7" t="n">
        <v>12.04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13456.9</v>
      </c>
      <c r="C42" s="7" t="n">
        <v>13.05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13035.6</v>
      </c>
      <c r="C43" s="7" t="n">
        <v>12.8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11347.1</v>
      </c>
      <c r="C44" s="7" t="n">
        <v>13.16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11103.75</v>
      </c>
      <c r="C45" s="7" t="n">
        <v>13.23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10744.25</v>
      </c>
      <c r="C46" s="7" t="n">
        <v>12.87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10588.1</v>
      </c>
      <c r="C47" s="7" t="n">
        <v>12.89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9590.6</v>
      </c>
      <c r="C48" s="7" t="n">
        <v>11.74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10549.7</v>
      </c>
      <c r="C49" s="7" t="n">
        <v>12.68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11179.55</v>
      </c>
      <c r="C50" s="7" t="n">
        <v>13.39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11388.4</v>
      </c>
      <c r="C51" s="7" t="n">
        <v>13.71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11800.95</v>
      </c>
      <c r="C52" s="7" t="n">
        <v>14.05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11262.25</v>
      </c>
      <c r="C53" s="7" t="n">
        <v>13.13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10789.75</v>
      </c>
      <c r="C54" s="7" t="n">
        <v>11.44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11280.5</v>
      </c>
      <c r="C55" s="7" t="n">
        <v>12.04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11990.25</v>
      </c>
      <c r="C56" s="7" t="n">
        <v>11.84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12034.4</v>
      </c>
      <c r="C57" s="7" t="n">
        <v>11.38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12231.2</v>
      </c>
      <c r="C58" s="7" t="n">
        <v>11.33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11791.7</v>
      </c>
      <c r="C59" s="7" t="n">
        <v>10.51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12264.9</v>
      </c>
      <c r="C60" s="7" t="n">
        <v>10.36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10788.05</v>
      </c>
      <c r="C61" s="7" t="n">
        <v>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11694.65</v>
      </c>
      <c r="C62" s="7" t="n">
        <v>9.74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11200.25</v>
      </c>
      <c r="C63" s="7" t="n">
        <v>8.99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11030.25</v>
      </c>
      <c r="C64" s="7" t="n">
        <v>8.76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11247.7</v>
      </c>
      <c r="C65" s="7" t="n">
        <v>10.81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11103.8</v>
      </c>
      <c r="C66" s="7" t="n">
        <v>10.99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43921</v>
      </c>
      <c r="B2" s="6" t="n">
        <v>3615.06</v>
      </c>
      <c r="C2" s="7" t="n">
        <v>9.42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IF(C2="","",(COUNTIFS($D$2:$D$27,D2,$C$2:$C$27,"&gt;0",$C$2:$C$27,"&lt;"&amp;C2)+(COUNTIFS($D$2:$D$27,D2,$C$2:$C$27,C2)+1)/2)/COUNTIFS($D$2:$D$27,D2,$C$2:$C$27,"&gt;0"))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44012</v>
      </c>
      <c r="B3" s="6" t="n">
        <v>4787.17</v>
      </c>
      <c r="C3" s="7" t="n">
        <v>14.88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IF(C3="","",(COUNTIFS($D$2:$D$27,D3,$C$2:$C$27,"&gt;0",$C$2:$C$27,"&lt;"&amp;C3)+(COUNTIFS($D$2:$D$27,D3,$C$2:$C$27,C3)+1)/2)/COUNTIFS($D$2:$D$27,D3,$C$2:$C$27,"&gt;0"))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44104</v>
      </c>
      <c r="B4" s="6" t="n">
        <v>4914.8</v>
      </c>
      <c r="C4" s="7" t="n">
        <v>17.89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IF(C4="","",(COUNTIFS($D$2:$D$27,D4,$C$2:$C$27,"&gt;0",$C$2:$C$27,"&lt;"&amp;C4)+(COUNTIFS($D$2:$D$27,D4,$C$2:$C$27,C4)+1)/2)/COUNTIFS($D$2:$D$27,D4,$C$2:$C$27,"&gt;0"))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44196</v>
      </c>
      <c r="B5" s="6" t="n">
        <v>5524.05</v>
      </c>
      <c r="C5" s="7" t="n">
        <v>18.83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IF(C5="","",(COUNTIFS($D$2:$D$27,D5,$C$2:$C$27,"&gt;0",$C$2:$C$27,"&lt;"&amp;C5)+(COUNTIFS($D$2:$D$27,D5,$C$2:$C$27,C5)+1)/2)/COUNTIFS($D$2:$D$27,D5,$C$2:$C$27,"&gt;0"))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44286</v>
      </c>
      <c r="B6" s="6" t="n">
        <v>6147.95</v>
      </c>
      <c r="C6" s="7" t="n">
        <v>17.26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IF(C6="","",(COUNTIFS($D$2:$D$27,D6,$C$2:$C$27,"&gt;0",$C$2:$C$27,"&lt;"&amp;C6)+(COUNTIFS($D$2:$D$27,D6,$C$2:$C$27,C6)+1)/2)/COUNTIFS($D$2:$D$27,D6,$C$2:$C$27,"&gt;0"))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44377</v>
      </c>
      <c r="B7" s="6" t="n">
        <v>6762.85</v>
      </c>
      <c r="C7" s="7" t="n">
        <v>10.66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IF(C7="","",(COUNTIFS($D$2:$D$27,D7,$C$2:$C$27,"&gt;0",$C$2:$C$27,"&lt;"&amp;C7)+(COUNTIFS($D$2:$D$27,D7,$C$2:$C$27,C7)+1)/2)/COUNTIFS($D$2:$D$27,D7,$C$2:$C$27,"&gt;0"))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44469</v>
      </c>
      <c r="B8" s="6" t="n">
        <v>7774.4</v>
      </c>
      <c r="C8" s="7" t="n">
        <v>10.41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IF(C8="","",(COUNTIFS($D$2:$D$27,D8,$C$2:$C$27,"&gt;0",$C$2:$C$27,"&lt;"&amp;C8)+(COUNTIFS($D$2:$D$27,D8,$C$2:$C$27,C8)+1)/2)/COUNTIFS($D$2:$D$27,D8,$C$2:$C$27,"&gt;0"))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44561</v>
      </c>
      <c r="B9" s="6" t="n">
        <v>7348.8</v>
      </c>
      <c r="C9" s="7" t="n">
        <v>8.93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IF(C9="","",(COUNTIFS($D$2:$D$27,D9,$C$2:$C$27,"&gt;0",$C$2:$C$27,"&lt;"&amp;C9)+(COUNTIFS($D$2:$D$27,D9,$C$2:$C$27,C9)+1)/2)/COUNTIFS($D$2:$D$27,D9,$C$2:$C$27,"&gt;0"))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44651</v>
      </c>
      <c r="B10" s="6" t="n">
        <v>7866.25</v>
      </c>
      <c r="C10" s="7" t="n">
        <v>8.68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IF(C10="","",(COUNTIFS($D$2:$D$27,D10,$C$2:$C$27,"&gt;0",$C$2:$C$27,"&lt;"&amp;C10)+(COUNTIFS($D$2:$D$27,D10,$C$2:$C$27,C10)+1)/2)/COUNTIFS($D$2:$D$27,D10,$C$2:$C$27,"&gt;0"))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44742</v>
      </c>
      <c r="B11" s="6" t="n">
        <v>7600.7</v>
      </c>
      <c r="C11" s="7" t="n">
        <v>8.779999999999999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IF(C11="","",(COUNTIFS($D$2:$D$27,D11,$C$2:$C$27,"&gt;0",$C$2:$C$27,"&lt;"&amp;C11)+(COUNTIFS($D$2:$D$27,D11,$C$2:$C$27,C11)+1)/2)/COUNTIFS($D$2:$D$27,D11,$C$2:$C$27,"&gt;0"))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44834</v>
      </c>
      <c r="B12" s="6" t="n">
        <v>7643.9</v>
      </c>
      <c r="C12" s="7" t="n">
        <v>10.59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IF(C12="","",(COUNTIFS($D$2:$D$27,D12,$C$2:$C$27,"&gt;0",$C$2:$C$27,"&lt;"&amp;C12)+(COUNTIFS($D$2:$D$27,D12,$C$2:$C$27,C12)+1)/2)/COUNTIFS($D$2:$D$27,D12,$C$2:$C$27,"&gt;0"))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44926</v>
      </c>
      <c r="B13" s="6" t="n">
        <v>8438.25</v>
      </c>
      <c r="C13" s="7" t="n">
        <v>15.21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IF(C13="","",(COUNTIFS($D$2:$D$27,D13,$C$2:$C$27,"&gt;0",$C$2:$C$27,"&lt;"&amp;C13)+(COUNTIFS($D$2:$D$27,D13,$C$2:$C$27,C13)+1)/2)/COUNTIFS($D$2:$D$27,D13,$C$2:$C$27,"&gt;0"))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45016</v>
      </c>
      <c r="B14" s="6" t="n">
        <v>7148.85</v>
      </c>
      <c r="C14" s="7" t="n">
        <v>14.23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IF(C14="","",(COUNTIFS($D$2:$D$27,D14,$C$2:$C$27,"&gt;0",$C$2:$C$27,"&lt;"&amp;C14)+(COUNTIFS($D$2:$D$27,D14,$C$2:$C$27,C14)+1)/2)/COUNTIFS($D$2:$D$27,D14,$C$2:$C$27,"&gt;0"))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 t="n"/>
      <c r="L14" s="16" t="n"/>
    </row>
    <row r="15">
      <c r="A15" s="18" t="n">
        <v>45107</v>
      </c>
      <c r="B15" s="6" t="n">
        <v>7535.7</v>
      </c>
      <c r="C15" s="7" t="n">
        <v>14.63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IF(C15="","",(COUNTIFS($D$2:$D$27,D15,$C$2:$C$27,"&gt;0",$C$2:$C$27,"&lt;"&amp;C15)+(COUNTIFS($D$2:$D$27,D15,$C$2:$C$27,C15)+1)/2)/COUNTIFS($D$2:$D$27,D15,$C$2:$C$27,"&gt;0"))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45199</v>
      </c>
      <c r="B16" s="6" t="n">
        <v>7902.8</v>
      </c>
      <c r="C16" s="7" t="n">
        <v>8.91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IF(C16="","",(COUNTIFS($D$2:$D$27,D16,$C$2:$C$27,"&gt;0",$C$2:$C$27,"&lt;"&amp;C16)+(COUNTIFS($D$2:$D$27,D16,$C$2:$C$27,C16)+1)/2)/COUNTIFS($D$2:$D$27,D16,$C$2:$C$27,"&gt;0"))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45291</v>
      </c>
      <c r="B17" s="6" t="n">
        <v>9496.15</v>
      </c>
      <c r="C17" s="7" t="n">
        <v>8.199999999999999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IF(C17="","",(COUNTIFS($D$2:$D$27,D17,$C$2:$C$27,"&gt;0",$C$2:$C$27,"&lt;"&amp;C17)+(COUNTIFS($D$2:$D$27,D17,$C$2:$C$27,C17)+1)/2)/COUNTIFS($D$2:$D$27,D17,$C$2:$C$27,"&gt;0"))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45382</v>
      </c>
      <c r="B18" s="6" t="n">
        <v>11440.9</v>
      </c>
      <c r="C18" s="7" t="n">
        <v>9.380000000000001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IF(C18="","",(COUNTIFS($D$2:$D$27,D18,$C$2:$C$27,"&gt;0",$C$2:$C$27,"&lt;"&amp;C18)+(COUNTIFS($D$2:$D$27,D18,$C$2:$C$27,C18)+1)/2)/COUNTIFS($D$2:$D$27,D18,$C$2:$C$27,"&gt;0"))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45473</v>
      </c>
      <c r="B19" s="6" t="n">
        <v>12223.35</v>
      </c>
      <c r="C19" s="7" t="n">
        <v>10.13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IF(C19="","",(COUNTIFS($D$2:$D$27,D19,$C$2:$C$27,"&gt;0",$C$2:$C$27,"&lt;"&amp;C19)+(COUNTIFS($D$2:$D$27,D19,$C$2:$C$27,C19)+1)/2)/COUNTIFS($D$2:$D$27,D19,$C$2:$C$27,"&gt;0"))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45565</v>
      </c>
      <c r="B20" s="6" t="n">
        <v>13035.6</v>
      </c>
      <c r="C20" s="7" t="n">
        <v>12.8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IF(C20="","",(COUNTIFS($D$2:$D$27,D20,$C$2:$C$27,"&gt;0",$C$2:$C$27,"&lt;"&amp;C20)+(COUNTIFS($D$2:$D$27,D20,$C$2:$C$27,C20)+1)/2)/COUNTIFS($D$2:$D$27,D20,$C$2:$C$27,"&gt;0"))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45657</v>
      </c>
      <c r="B21" s="6" t="n">
        <v>10744.25</v>
      </c>
      <c r="C21" s="7" t="n">
        <v>12.87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IF(C21="","",(COUNTIFS($D$2:$D$27,D21,$C$2:$C$27,"&gt;0",$C$2:$C$27,"&lt;"&amp;C21)+(COUNTIFS($D$2:$D$27,D21,$C$2:$C$27,C21)+1)/2)/COUNTIFS($D$2:$D$27,D21,$C$2:$C$27,"&gt;0"))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45747</v>
      </c>
      <c r="B22" s="6" t="n">
        <v>10549.7</v>
      </c>
      <c r="C22" s="7" t="n">
        <v>12.68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IF(C22="","",(COUNTIFS($D$2:$D$27,D22,$C$2:$C$27,"&gt;0",$C$2:$C$27,"&lt;"&amp;C22)+(COUNTIFS($D$2:$D$27,D22,$C$2:$C$27,C22)+1)/2)/COUNTIFS($D$2:$D$27,D22,$C$2:$C$27,"&gt;0"))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 t="n"/>
      <c r="K22" s="16" t="n"/>
      <c r="L22" s="16" t="n"/>
    </row>
    <row r="23">
      <c r="A23" s="18" t="n">
        <v>45838</v>
      </c>
      <c r="B23" s="6" t="n">
        <v>11800.95</v>
      </c>
      <c r="C23" s="7" t="n">
        <v>14.05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IF(C23="","",(COUNTIFS($D$2:$D$27,D23,$C$2:$C$27,"&gt;0",$C$2:$C$27,"&lt;"&amp;C23)+(COUNTIFS($D$2:$D$27,D23,$C$2:$C$27,C23)+1)/2)/COUNTIFS($D$2:$D$27,D23,$C$2:$C$27,"&gt;0"))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45930</v>
      </c>
      <c r="B24" s="6" t="n">
        <v>11280.5</v>
      </c>
      <c r="C24" s="7" t="n">
        <v>12.04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IF(C24="","",(COUNTIFS($D$2:$D$27,D24,$C$2:$C$27,"&gt;0",$C$2:$C$27,"&lt;"&amp;C24)+(COUNTIFS($D$2:$D$27,D24,$C$2:$C$27,C24)+1)/2)/COUNTIFS($D$2:$D$27,D24,$C$2:$C$27,"&gt;0"))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  <row r="25">
      <c r="A25" s="18" t="n">
        <v>46022</v>
      </c>
      <c r="B25" s="6" t="n">
        <v>12231.2</v>
      </c>
      <c r="C25" s="7" t="n">
        <v>11.33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IF(C25="","",(COUNTIFS($D$2:$D$27,D25,$C$2:$C$27,"&gt;0",$C$2:$C$27,"&lt;"&amp;C25)+(COUNTIFS($D$2:$D$27,D25,$C$2:$C$27,C25)+1)/2)/COUNTIFS($D$2:$D$27,D25,$C$2:$C$27,"&gt;0"))</f>
        <v/>
      </c>
      <c r="H25">
        <f>IF(G25="","",IF(G25&lt;=20%,"Q1 Cheapest",IF(G25&lt;=40%,"Q2",IF(G25&lt;=60%,"Q3",IF(G25&lt;=80%,"Q4","Q5 Most Expensive")))))</f>
        <v/>
      </c>
      <c r="I25" s="16" t="n"/>
      <c r="J25" s="16" t="n"/>
      <c r="K25" s="16" t="n"/>
      <c r="L25" s="16" t="n"/>
    </row>
    <row r="26">
      <c r="A26" s="18" t="n">
        <v>46112</v>
      </c>
      <c r="B26" s="6" t="n">
        <v>10788.05</v>
      </c>
      <c r="C26" s="7" t="n">
        <v>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IF(C26="","",(COUNTIFS($D$2:$D$27,D26,$C$2:$C$27,"&gt;0",$C$2:$C$27,"&lt;"&amp;C26)+(COUNTIFS($D$2:$D$27,D26,$C$2:$C$27,C26)+1)/2)/COUNTIFS($D$2:$D$27,D26,$C$2:$C$27,"&gt;0"))</f>
        <v/>
      </c>
      <c r="H26">
        <f>IF(G26="","",IF(G26&lt;=20%,"Q1 Cheapest",IF(G26&lt;=40%,"Q2",IF(G26&lt;=60%,"Q3",IF(G26&lt;=80%,"Q4","Q5 Most Expensive")))))</f>
        <v/>
      </c>
      <c r="I26" s="16" t="n"/>
      <c r="J26" s="16" t="n"/>
      <c r="K26" s="16" t="n"/>
      <c r="L26" s="16" t="n"/>
    </row>
    <row r="27">
      <c r="A27" s="18" t="n">
        <v>46203</v>
      </c>
      <c r="B27" s="6" t="n">
        <v>11030.25</v>
      </c>
      <c r="C27" s="7" t="n">
        <v>8.76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IF(C27="","",(COUNTIFS($D$2:$D$27,D27,$C$2:$C$27,"&gt;0",$C$2:$C$27,"&lt;"&amp;C27)+(COUNTIFS($D$2:$D$27,D27,$C$2:$C$27,C27)+1)/2)/COUNTIFS($D$2:$D$27,D27,$C$2:$C$27,"&gt;0"))</f>
        <v/>
      </c>
      <c r="H27">
        <f>IF(G27="","",IF(G27&lt;=20%,"Q1 Cheapest",IF(G27&lt;=40%,"Q2",IF(G27&lt;=60%,"Q3",IF(G27&lt;=80%,"Q4","Q5 Most Expensive")))))</f>
        <v/>
      </c>
      <c r="I27" s="16" t="n"/>
      <c r="J27" s="16" t="n"/>
      <c r="K27" s="16" t="n"/>
      <c r="L2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10948.7</v>
      </c>
      <c r="C2" s="7" t="n">
        <v>10.84</v>
      </c>
      <c r="D2" s="8" t="n">
        <v>0.507575757576</v>
      </c>
      <c r="E2" s="8" t="n">
        <v>0.07030385961130001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2026-09-21T11:26:09Z</dcterms:created>
  <dcterms:modified xsi:type="dcterms:W3CDTF">2026-09-21T11:26:09Z</dcterms:modified>
</cp:coreProperties>
</file>