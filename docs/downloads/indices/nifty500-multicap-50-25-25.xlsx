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Multicap 50:25:25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16298.25</v>
      </c>
      <c r="D5" s="2" t="inlineStr">
        <is>
          <t>P/E</t>
        </is>
      </c>
      <c r="E5" s="7" t="n">
        <v>24.13</v>
      </c>
    </row>
    <row r="6">
      <c r="A6" s="2" t="inlineStr">
        <is>
          <t>P/E percentile</t>
        </is>
      </c>
      <c r="B6" s="8" t="n">
        <v>0.3409090909090909</v>
      </c>
      <c r="D6" s="2" t="inlineStr">
        <is>
          <t>Implied EPS</t>
        </is>
      </c>
      <c r="E6" s="9" t="n">
        <v>675.4351429755492</v>
      </c>
    </row>
    <row r="7">
      <c r="A7" s="2" t="inlineStr">
        <is>
          <t>YoY implied EPS growth</t>
        </is>
      </c>
      <c r="B7" s="8" t="n">
        <v>0.0997475439991391</v>
      </c>
      <c r="D7" s="2" t="inlineStr">
        <is>
          <t>Earnings yield</t>
        </is>
      </c>
      <c r="E7" s="10" t="n">
        <v>0.04144218814753419</v>
      </c>
    </row>
    <row r="8">
      <c r="A8" s="2" t="inlineStr">
        <is>
          <t>Valuation score</t>
        </is>
      </c>
      <c r="B8" s="11" t="n">
        <v>65.90909090909092</v>
      </c>
      <c r="D8" s="2" t="inlineStr">
        <is>
          <t>Growth score</t>
        </is>
      </c>
      <c r="E8" s="11" t="n">
        <v>59.89901759965564</v>
      </c>
    </row>
    <row r="9">
      <c r="A9" s="2" t="inlineStr">
        <is>
          <t>Composite score</t>
        </is>
      </c>
      <c r="B9" s="11" t="n">
        <v>64.10606891626033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23.46175394124851</v>
      </c>
      <c r="C13" s="15" t="n">
        <v>15846.89312776434</v>
      </c>
      <c r="D13" s="16" t="n">
        <v>-0.02769357889562729</v>
      </c>
    </row>
    <row r="14">
      <c r="A14" t="inlineStr">
        <is>
          <t>HOLD → SELL</t>
        </is>
      </c>
      <c r="B14" s="14" t="n">
        <v>26.36629893279712</v>
      </c>
      <c r="C14" s="15" t="n">
        <v>17808.72488940989</v>
      </c>
      <c r="D14" s="16" t="n">
        <v>0.09267712112710824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0.2926476781713111</v>
      </c>
      <c r="D18" s="16" t="n">
        <v>0.1778545001290174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0.4314929722824961</v>
      </c>
      <c r="D19" s="16" t="n">
        <v>0.1454474634605737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0.07511346285351667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5</v>
      </c>
      <c r="C21" s="16" t="n">
        <v>0.0303665694166334</v>
      </c>
      <c r="D21" s="16" t="n">
        <v>0.1688142935025836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0.0204552464553423</v>
      </c>
      <c r="D22" s="16" t="n">
        <v>0.2132180785891534</v>
      </c>
      <c r="E22" s="16" t="n">
        <v>0.1316569188685692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23</v>
      </c>
    </row>
    <row r="27">
      <c r="A27" s="2" t="inlineStr">
        <is>
          <t>Backtest start</t>
        </is>
      </c>
      <c r="B27" t="inlineStr">
        <is>
          <t>2020-12-31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7911.86</v>
      </c>
      <c r="C2" s="7" t="n">
        <v>38.35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8508.6</v>
      </c>
      <c r="C3" s="7" t="n">
        <v>33.9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8771.93</v>
      </c>
      <c r="C4" s="7" t="n">
        <v>32.03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9038.879999999999</v>
      </c>
      <c r="C5" s="7" t="n">
        <v>30.25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9384.299999999999</v>
      </c>
      <c r="C6" s="7" t="n">
        <v>27.8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9786.700000000001</v>
      </c>
      <c r="C7" s="7" t="n">
        <v>28.88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9807.450000000001</v>
      </c>
      <c r="C8" s="7" t="n">
        <v>28.01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9594.85</v>
      </c>
      <c r="C9" s="7" t="n">
        <v>26.25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9891.1</v>
      </c>
      <c r="C10" s="7" t="n">
        <v>27.12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9837.049999999999</v>
      </c>
      <c r="C11" s="7" t="n">
        <v>26.48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9283.299999999999</v>
      </c>
      <c r="C12" s="7" t="n">
        <v>23.84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9712.950000000001</v>
      </c>
      <c r="C13" s="7" t="n">
        <v>24.29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9687.6</v>
      </c>
      <c r="C14" s="7" t="n">
        <v>23.92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9162.200000000001</v>
      </c>
      <c r="C15" s="7" t="n">
        <v>21.4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8654.6</v>
      </c>
      <c r="C16" s="7" t="n">
        <v>20.33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9490.450000000001</v>
      </c>
      <c r="C17" s="7" t="n">
        <v>21.71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9961.049999999999</v>
      </c>
      <c r="C18" s="7" t="n">
        <v>22.05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9707.85</v>
      </c>
      <c r="C19" s="7" t="n">
        <v>21.4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10022.05</v>
      </c>
      <c r="C20" s="7" t="n">
        <v>21.79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10330.2</v>
      </c>
      <c r="C21" s="7" t="n">
        <v>22.75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10058.75</v>
      </c>
      <c r="C22" s="7" t="n">
        <v>22.37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9759.35</v>
      </c>
      <c r="C23" s="7" t="n">
        <v>21.44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9487.75</v>
      </c>
      <c r="C24" s="7" t="n">
        <v>20.75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9466.799999999999</v>
      </c>
      <c r="C25" s="7" t="n">
        <v>20.43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9951.6</v>
      </c>
      <c r="C26" s="7" t="n">
        <v>21.36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10380.2</v>
      </c>
      <c r="C27" s="7" t="n">
        <v>22.18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10895</v>
      </c>
      <c r="C28" s="7" t="n">
        <v>23.29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11421.6</v>
      </c>
      <c r="C29" s="7" t="n">
        <v>24.33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11546.8</v>
      </c>
      <c r="C30" s="7" t="n">
        <v>23.6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11821.05</v>
      </c>
      <c r="C31" s="7" t="n">
        <v>24.07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11494.65</v>
      </c>
      <c r="C32" s="7" t="n">
        <v>22.49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12415.05</v>
      </c>
      <c r="C33" s="7" t="n">
        <v>23.49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13342.2</v>
      </c>
      <c r="C34" s="7" t="n">
        <v>25.24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13783.5</v>
      </c>
      <c r="C35" s="7" t="n">
        <v>25.41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13894</v>
      </c>
      <c r="C36" s="7" t="n">
        <v>25.46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13850.1</v>
      </c>
      <c r="C37" s="7" t="n">
        <v>26.05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14588.6</v>
      </c>
      <c r="C38" s="7" t="n">
        <v>26.65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14644.75</v>
      </c>
      <c r="C39" s="7" t="n">
        <v>26.55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15748.25</v>
      </c>
      <c r="C40" s="7" t="n">
        <v>28.37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16455.75</v>
      </c>
      <c r="C41" s="7" t="n">
        <v>29.42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16597.3</v>
      </c>
      <c r="C42" s="7" t="n">
        <v>29.37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16921.75</v>
      </c>
      <c r="C43" s="7" t="n">
        <v>30.29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15922.95</v>
      </c>
      <c r="C44" s="7" t="n">
        <v>28.44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15919</v>
      </c>
      <c r="C45" s="7" t="n">
        <v>28.36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15793.6</v>
      </c>
      <c r="C46" s="7" t="n">
        <v>28.23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14984.85</v>
      </c>
      <c r="C47" s="7" t="n">
        <v>26.29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13637.1</v>
      </c>
      <c r="C48" s="7" t="n">
        <v>23.4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14681</v>
      </c>
      <c r="C49" s="7" t="n">
        <v>25.46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15127.35</v>
      </c>
      <c r="C50" s="7" t="n">
        <v>26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15879.4</v>
      </c>
      <c r="C51" s="7" t="n">
        <v>26.77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16519.4</v>
      </c>
      <c r="C52" s="7" t="n">
        <v>27.5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16010</v>
      </c>
      <c r="C53" s="7" t="n">
        <v>26.35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15627.45</v>
      </c>
      <c r="C54" s="7" t="n">
        <v>25.44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15817</v>
      </c>
      <c r="C55" s="7" t="n">
        <v>25.54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16489.45</v>
      </c>
      <c r="C56" s="7" t="n">
        <v>26.38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16533.4</v>
      </c>
      <c r="C57" s="7" t="n">
        <v>25.98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16485.1</v>
      </c>
      <c r="C58" s="7" t="n">
        <v>26.05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15868.9</v>
      </c>
      <c r="C59" s="7" t="n">
        <v>24.81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15962.65</v>
      </c>
      <c r="C60" s="7" t="n">
        <v>24.74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14189.1</v>
      </c>
      <c r="C61" s="7" t="n">
        <v>22.75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15892.95</v>
      </c>
      <c r="C62" s="7" t="n">
        <v>25.18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15974.95</v>
      </c>
      <c r="C63" s="7" t="n">
        <v>24.43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16280.55</v>
      </c>
      <c r="C64" s="7" t="n">
        <v>24.79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16578.6</v>
      </c>
      <c r="C65" s="7" t="n">
        <v>25.05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16671.8</v>
      </c>
      <c r="C66" s="7" t="n">
        <v>24.68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44196</v>
      </c>
      <c r="B2" s="6" t="n">
        <v>7104.65</v>
      </c>
      <c r="C2" s="7" t="n">
        <v>48.38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IF(C2="","",(COUNTIFS($D$2:$D$24,D2,$C$2:$C$24,"&gt;0",$C$2:$C$24,"&lt;"&amp;C2)+(COUNTIFS($D$2:$D$24,D2,$C$2:$C$24,C2)+1)/2)/COUNTIFS($D$2:$D$24,D2,$C$2:$C$24,"&gt;0"))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44286</v>
      </c>
      <c r="B3" s="6" t="n">
        <v>7797.6</v>
      </c>
      <c r="C3" s="7" t="n">
        <v>37.98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IF(C3="","",(COUNTIFS($D$2:$D$24,D3,$C$2:$C$24,"&gt;0",$C$2:$C$24,"&lt;"&amp;C3)+(COUNTIFS($D$2:$D$24,D3,$C$2:$C$24,C3)+1)/2)/COUNTIFS($D$2:$D$24,D3,$C$2:$C$24,"&gt;0"))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44377</v>
      </c>
      <c r="B4" s="6" t="n">
        <v>8771.93</v>
      </c>
      <c r="C4" s="7" t="n">
        <v>32.03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IF(C4="","",(COUNTIFS($D$2:$D$24,D4,$C$2:$C$24,"&gt;0",$C$2:$C$24,"&lt;"&amp;C4)+(COUNTIFS($D$2:$D$24,D4,$C$2:$C$24,C4)+1)/2)/COUNTIFS($D$2:$D$24,D4,$C$2:$C$24,"&gt;0"))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44469</v>
      </c>
      <c r="B5" s="6" t="n">
        <v>9786.700000000001</v>
      </c>
      <c r="C5" s="7" t="n">
        <v>28.88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IF(C5="","",(COUNTIFS($D$2:$D$24,D5,$C$2:$C$24,"&gt;0",$C$2:$C$24,"&lt;"&amp;C5)+(COUNTIFS($D$2:$D$24,D5,$C$2:$C$24,C5)+1)/2)/COUNTIFS($D$2:$D$24,D5,$C$2:$C$24,"&gt;0"))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44561</v>
      </c>
      <c r="B6" s="6" t="n">
        <v>9891.1</v>
      </c>
      <c r="C6" s="7" t="n">
        <v>27.12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IF(C6="","",(COUNTIFS($D$2:$D$24,D6,$C$2:$C$24,"&gt;0",$C$2:$C$24,"&lt;"&amp;C6)+(COUNTIFS($D$2:$D$24,D6,$C$2:$C$24,C6)+1)/2)/COUNTIFS($D$2:$D$24,D6,$C$2:$C$24,"&gt;0"))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44651</v>
      </c>
      <c r="B7" s="6" t="n">
        <v>9712.950000000001</v>
      </c>
      <c r="C7" s="7" t="n">
        <v>24.29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IF(C7="","",(COUNTIFS($D$2:$D$24,D7,$C$2:$C$24,"&gt;0",$C$2:$C$24,"&lt;"&amp;C7)+(COUNTIFS($D$2:$D$24,D7,$C$2:$C$24,C7)+1)/2)/COUNTIFS($D$2:$D$24,D7,$C$2:$C$24,"&gt;0"))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44742</v>
      </c>
      <c r="B8" s="6" t="n">
        <v>8654.6</v>
      </c>
      <c r="C8" s="7" t="n">
        <v>20.33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IF(C8="","",(COUNTIFS($D$2:$D$24,D8,$C$2:$C$24,"&gt;0",$C$2:$C$24,"&lt;"&amp;C8)+(COUNTIFS($D$2:$D$24,D8,$C$2:$C$24,C8)+1)/2)/COUNTIFS($D$2:$D$24,D8,$C$2:$C$24,"&gt;0"))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44834</v>
      </c>
      <c r="B9" s="6" t="n">
        <v>9707.85</v>
      </c>
      <c r="C9" s="7" t="n">
        <v>21.4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IF(C9="","",(COUNTIFS($D$2:$D$24,D9,$C$2:$C$24,"&gt;0",$C$2:$C$24,"&lt;"&amp;C9)+(COUNTIFS($D$2:$D$24,D9,$C$2:$C$24,C9)+1)/2)/COUNTIFS($D$2:$D$24,D9,$C$2:$C$24,"&gt;0"))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44926</v>
      </c>
      <c r="B10" s="6" t="n">
        <v>10058.75</v>
      </c>
      <c r="C10" s="7" t="n">
        <v>22.37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IF(C10="","",(COUNTIFS($D$2:$D$24,D10,$C$2:$C$24,"&gt;0",$C$2:$C$24,"&lt;"&amp;C10)+(COUNTIFS($D$2:$D$24,D10,$C$2:$C$24,C10)+1)/2)/COUNTIFS($D$2:$D$24,D10,$C$2:$C$24,"&gt;0"))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45016</v>
      </c>
      <c r="B11" s="6" t="n">
        <v>9466.799999999999</v>
      </c>
      <c r="C11" s="7" t="n">
        <v>20.43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IF(C11="","",(COUNTIFS($D$2:$D$24,D11,$C$2:$C$24,"&gt;0",$C$2:$C$24,"&lt;"&amp;C11)+(COUNTIFS($D$2:$D$24,D11,$C$2:$C$24,C11)+1)/2)/COUNTIFS($D$2:$D$24,D11,$C$2:$C$24,"&gt;0"))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45107</v>
      </c>
      <c r="B12" s="6" t="n">
        <v>10895</v>
      </c>
      <c r="C12" s="7" t="n">
        <v>23.29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IF(C12="","",(COUNTIFS($D$2:$D$24,D12,$C$2:$C$24,"&gt;0",$C$2:$C$24,"&lt;"&amp;C12)+(COUNTIFS($D$2:$D$24,D12,$C$2:$C$24,C12)+1)/2)/COUNTIFS($D$2:$D$24,D12,$C$2:$C$24,"&gt;0"))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45199</v>
      </c>
      <c r="B13" s="6" t="n">
        <v>11821.05</v>
      </c>
      <c r="C13" s="7" t="n">
        <v>24.07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IF(C13="","",(COUNTIFS($D$2:$D$24,D13,$C$2:$C$24,"&gt;0",$C$2:$C$24,"&lt;"&amp;C13)+(COUNTIFS($D$2:$D$24,D13,$C$2:$C$24,C13)+1)/2)/COUNTIFS($D$2:$D$24,D13,$C$2:$C$24,"&gt;0"))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45291</v>
      </c>
      <c r="B14" s="6" t="n">
        <v>13342.2</v>
      </c>
      <c r="C14" s="7" t="n">
        <v>25.24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IF(C14="","",(COUNTIFS($D$2:$D$24,D14,$C$2:$C$24,"&gt;0",$C$2:$C$24,"&lt;"&amp;C14)+(COUNTIFS($D$2:$D$24,D14,$C$2:$C$24,C14)+1)/2)/COUNTIFS($D$2:$D$24,D14,$C$2:$C$24,"&gt;0"))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45382</v>
      </c>
      <c r="B15" s="6" t="n">
        <v>13850.1</v>
      </c>
      <c r="C15" s="7" t="n">
        <v>26.05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IF(C15="","",(COUNTIFS($D$2:$D$24,D15,$C$2:$C$24,"&gt;0",$C$2:$C$24,"&lt;"&amp;C15)+(COUNTIFS($D$2:$D$24,D15,$C$2:$C$24,C15)+1)/2)/COUNTIFS($D$2:$D$24,D15,$C$2:$C$24,"&gt;0"))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45473</v>
      </c>
      <c r="B16" s="6" t="n">
        <v>15748.25</v>
      </c>
      <c r="C16" s="7" t="n">
        <v>28.37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IF(C16="","",(COUNTIFS($D$2:$D$24,D16,$C$2:$C$24,"&gt;0",$C$2:$C$24,"&lt;"&amp;C16)+(COUNTIFS($D$2:$D$24,D16,$C$2:$C$24,C16)+1)/2)/COUNTIFS($D$2:$D$24,D16,$C$2:$C$24,"&gt;0"))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45565</v>
      </c>
      <c r="B17" s="6" t="n">
        <v>16921.75</v>
      </c>
      <c r="C17" s="7" t="n">
        <v>30.29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IF(C17="","",(COUNTIFS($D$2:$D$24,D17,$C$2:$C$24,"&gt;0",$C$2:$C$24,"&lt;"&amp;C17)+(COUNTIFS($D$2:$D$24,D17,$C$2:$C$24,C17)+1)/2)/COUNTIFS($D$2:$D$24,D17,$C$2:$C$24,"&gt;0"))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45657</v>
      </c>
      <c r="B18" s="6" t="n">
        <v>15793.6</v>
      </c>
      <c r="C18" s="7" t="n">
        <v>28.23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IF(C18="","",(COUNTIFS($D$2:$D$24,D18,$C$2:$C$24,"&gt;0",$C$2:$C$24,"&lt;"&amp;C18)+(COUNTIFS($D$2:$D$24,D18,$C$2:$C$24,C18)+1)/2)/COUNTIFS($D$2:$D$24,D18,$C$2:$C$24,"&gt;0"))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45747</v>
      </c>
      <c r="B19" s="6" t="n">
        <v>14681</v>
      </c>
      <c r="C19" s="7" t="n">
        <v>25.46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IF(C19="","",(COUNTIFS($D$2:$D$24,D19,$C$2:$C$24,"&gt;0",$C$2:$C$24,"&lt;"&amp;C19)+(COUNTIFS($D$2:$D$24,D19,$C$2:$C$24,C19)+1)/2)/COUNTIFS($D$2:$D$24,D19,$C$2:$C$24,"&gt;0"))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45838</v>
      </c>
      <c r="B20" s="6" t="n">
        <v>16519.4</v>
      </c>
      <c r="C20" s="7" t="n">
        <v>27.5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IF(C20="","",(COUNTIFS($D$2:$D$24,D20,$C$2:$C$24,"&gt;0",$C$2:$C$24,"&lt;"&amp;C20)+(COUNTIFS($D$2:$D$24,D20,$C$2:$C$24,C20)+1)/2)/COUNTIFS($D$2:$D$24,D20,$C$2:$C$24,"&gt;0"))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45930</v>
      </c>
      <c r="B21" s="6" t="n">
        <v>15817</v>
      </c>
      <c r="C21" s="7" t="n">
        <v>25.54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IF(C21="","",(COUNTIFS($D$2:$D$24,D21,$C$2:$C$24,"&gt;0",$C$2:$C$24,"&lt;"&amp;C21)+(COUNTIFS($D$2:$D$24,D21,$C$2:$C$24,C21)+1)/2)/COUNTIFS($D$2:$D$24,D21,$C$2:$C$24,"&gt;0"))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  <row r="22">
      <c r="A22" s="18" t="n">
        <v>46022</v>
      </c>
      <c r="B22" s="6" t="n">
        <v>16485.1</v>
      </c>
      <c r="C22" s="7" t="n">
        <v>26.05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IF(C22="","",(COUNTIFS($D$2:$D$24,D22,$C$2:$C$24,"&gt;0",$C$2:$C$24,"&lt;"&amp;C22)+(COUNTIFS($D$2:$D$24,D22,$C$2:$C$24,C22)+1)/2)/COUNTIFS($D$2:$D$24,D22,$C$2:$C$24,"&gt;0"))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46112</v>
      </c>
      <c r="B23" s="6" t="n">
        <v>14189.1</v>
      </c>
      <c r="C23" s="7" t="n">
        <v>22.75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IF(C23="","",(COUNTIFS($D$2:$D$24,D23,$C$2:$C$24,"&gt;0",$C$2:$C$24,"&lt;"&amp;C23)+(COUNTIFS($D$2:$D$24,D23,$C$2:$C$24,C23)+1)/2)/COUNTIFS($D$2:$D$24,D23,$C$2:$C$24,"&gt;0"))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46203</v>
      </c>
      <c r="B24" s="6" t="n">
        <v>16280.55</v>
      </c>
      <c r="C24" s="7" t="n">
        <v>24.79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IF(C24="","",(COUNTIFS($D$2:$D$24,D24,$C$2:$C$24,"&gt;0",$C$2:$C$24,"&lt;"&amp;C24)+(COUNTIFS($D$2:$D$24,D24,$C$2:$C$24,C24)+1)/2)/COUNTIFS($D$2:$D$24,D24,$C$2:$C$24,"&gt;0"))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16298.25</v>
      </c>
      <c r="C2" s="7" t="n">
        <v>24.13</v>
      </c>
      <c r="D2" s="8" t="n">
        <v>0.340909090909</v>
      </c>
      <c r="E2" s="8" t="n">
        <v>0.09974754399910001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2026-09-21T11:12:20Z</dcterms:created>
  <dcterms:modified xsi:type="dcterms:W3CDTF">2026-09-21T11:12:20Z</dcterms:modified>
</cp:coreProperties>
</file>