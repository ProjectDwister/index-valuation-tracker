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ESG Sector Leaders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3921.65</v>
      </c>
      <c r="D5" s="2" t="inlineStr">
        <is>
          <t>P/E</t>
        </is>
      </c>
      <c r="E5" s="7" t="n">
        <v>20.54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190.927458617332</v>
      </c>
    </row>
    <row r="7">
      <c r="A7" s="2" t="inlineStr">
        <is>
          <t>YoY implied EPS growth</t>
        </is>
      </c>
      <c r="B7" s="8" t="n">
        <v>0.1510903424132111</v>
      </c>
      <c r="D7" s="2" t="inlineStr">
        <is>
          <t>Earnings yield</t>
        </is>
      </c>
      <c r="E7" s="10" t="n">
        <v>0.04868549172346641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80.21806848264221</v>
      </c>
    </row>
    <row r="9">
      <c r="A9" s="2" t="inlineStr">
        <is>
          <t>Composite score</t>
        </is>
      </c>
      <c r="B9" s="11" t="n">
        <v>91.4139053932775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23.69889852885655</v>
      </c>
      <c r="C13" s="15" t="n">
        <v>4524.77046814461</v>
      </c>
      <c r="D13" s="16" t="n">
        <v>0.1537925281819159</v>
      </c>
    </row>
    <row r="14">
      <c r="A14" t="inlineStr">
        <is>
          <t>HOLD → SELL</t>
        </is>
      </c>
      <c r="B14" s="14" t="n">
        <v>27.02850467082305</v>
      </c>
      <c r="C14" s="15" t="n">
        <v>5160.483707026933</v>
      </c>
      <c r="D14" s="16" t="n">
        <v>0.3158960404490285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0.1486662925435182</v>
      </c>
      <c r="D18" s="16" t="n">
        <v>0.1536592194960522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-0.04594833146620492</v>
      </c>
      <c r="D19" s="16" t="n">
        <v>0.09795795163099019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6</v>
      </c>
      <c r="C20" s="16" t="n">
        <v>0.1051101746547523</v>
      </c>
      <c r="D20" s="16" t="n">
        <v>0.1330338529461697</v>
      </c>
      <c r="E20" s="16" t="n">
        <v>0.1611068274570704</v>
      </c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0.08517979025294853</v>
      </c>
      <c r="D21" s="16" t="n">
        <v>0.09115181991672427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6</v>
      </c>
      <c r="C22" s="16" t="n">
        <v>0.07829945128415355</v>
      </c>
      <c r="D22" s="16" t="n">
        <v>0.1373819868685132</v>
      </c>
      <c r="E22" s="16" t="n">
        <v>0.08307461356814816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24</v>
      </c>
    </row>
    <row r="27">
      <c r="A27" s="2" t="inlineStr">
        <is>
          <t>Backtest start</t>
        </is>
      </c>
      <c r="B27" t="inlineStr">
        <is>
          <t>2020-09-30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2496.3</v>
      </c>
      <c r="C2" s="7" t="n">
        <v>35.03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2652</v>
      </c>
      <c r="C3" s="7" t="n">
        <v>31.75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2682.2</v>
      </c>
      <c r="C4" s="7" t="n">
        <v>32.39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2677</v>
      </c>
      <c r="C5" s="7" t="n">
        <v>30.93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2924</v>
      </c>
      <c r="C6" s="7" t="n">
        <v>29.2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2995.1</v>
      </c>
      <c r="C7" s="7" t="n">
        <v>30.01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2968.75</v>
      </c>
      <c r="C8" s="7" t="n">
        <v>28.02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2903</v>
      </c>
      <c r="C9" s="7" t="n">
        <v>25.46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2962.05</v>
      </c>
      <c r="C10" s="7" t="n">
        <v>25.37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2907.05</v>
      </c>
      <c r="C11" s="7" t="n">
        <v>24.32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2835.6</v>
      </c>
      <c r="C12" s="7" t="n">
        <v>22.29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2945.7</v>
      </c>
      <c r="C13" s="7" t="n">
        <v>23.14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2892.65</v>
      </c>
      <c r="C14" s="7" t="n">
        <v>22.5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2765.05</v>
      </c>
      <c r="C15" s="7" t="n">
        <v>21.01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2636.45</v>
      </c>
      <c r="C16" s="7" t="n">
        <v>19.68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2863.95</v>
      </c>
      <c r="C17" s="7" t="n">
        <v>21.1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2949.85</v>
      </c>
      <c r="C18" s="7" t="n">
        <v>22.01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2831.85</v>
      </c>
      <c r="C19" s="7" t="n">
        <v>21.13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2971.85</v>
      </c>
      <c r="C20" s="7" t="n">
        <v>22.08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3095.05</v>
      </c>
      <c r="C21" s="7" t="n">
        <v>23.81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2992.85</v>
      </c>
      <c r="C22" s="7" t="n">
        <v>24.44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2887.5</v>
      </c>
      <c r="C23" s="7" t="n">
        <v>23.28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2794.4</v>
      </c>
      <c r="C24" s="7" t="n">
        <v>23.52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2810.35</v>
      </c>
      <c r="C25" s="7" t="n">
        <v>23.64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2893.25</v>
      </c>
      <c r="C26" s="7" t="n">
        <v>23.92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2977.85</v>
      </c>
      <c r="C27" s="7" t="n">
        <v>25.34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3077</v>
      </c>
      <c r="C28" s="7" t="n">
        <v>26.87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3145.7</v>
      </c>
      <c r="C29" s="7" t="n">
        <v>27.25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3119.15</v>
      </c>
      <c r="C30" s="7" t="n">
        <v>26.9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3200.65</v>
      </c>
      <c r="C31" s="7" t="n">
        <v>27.58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3099.75</v>
      </c>
      <c r="C32" s="7" t="n">
        <v>25.29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3288.7</v>
      </c>
      <c r="C33" s="7" t="n">
        <v>27.15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3541.15</v>
      </c>
      <c r="C34" s="7" t="n">
        <v>27.38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3565.55</v>
      </c>
      <c r="C35" s="7" t="n">
        <v>26.45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3638.7</v>
      </c>
      <c r="C36" s="7" t="n">
        <v>26.69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3697.85</v>
      </c>
      <c r="C37" s="7" t="n">
        <v>27.14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3739.95</v>
      </c>
      <c r="C38" s="7" t="n">
        <v>25.94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3731.8</v>
      </c>
      <c r="C39" s="7" t="n">
        <v>25.39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3997.35</v>
      </c>
      <c r="C40" s="7" t="n">
        <v>26.75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4151.4</v>
      </c>
      <c r="C41" s="7" t="n">
        <v>27.29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4212.45</v>
      </c>
      <c r="C42" s="7" t="n">
        <v>27.68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4319.2</v>
      </c>
      <c r="C43" s="7" t="n">
        <v>28.4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4021.75</v>
      </c>
      <c r="C44" s="7" t="n">
        <v>26.33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4022.8</v>
      </c>
      <c r="C45" s="7" t="n">
        <v>25.98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3939.2</v>
      </c>
      <c r="C46" s="7" t="n">
        <v>25.12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3872.5</v>
      </c>
      <c r="C47" s="7" t="n">
        <v>24.38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3655.05</v>
      </c>
      <c r="C48" s="7" t="n">
        <v>22.56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3912.15</v>
      </c>
      <c r="C49" s="7" t="n">
        <v>24.17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4055.95</v>
      </c>
      <c r="C50" s="7" t="n">
        <v>24.76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4136.7</v>
      </c>
      <c r="C51" s="7" t="n">
        <v>25.06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4270.15</v>
      </c>
      <c r="C52" s="7" t="n">
        <v>27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4160.6</v>
      </c>
      <c r="C53" s="7" t="n">
        <v>25.51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4109.25</v>
      </c>
      <c r="C54" s="7" t="n">
        <v>24.78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4118.05</v>
      </c>
      <c r="C55" s="7" t="n">
        <v>24.84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4280</v>
      </c>
      <c r="C56" s="7" t="n">
        <v>25.99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4359.9</v>
      </c>
      <c r="C57" s="7" t="n">
        <v>25.78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4353.25</v>
      </c>
      <c r="C58" s="7" t="n">
        <v>23.51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4220.8</v>
      </c>
      <c r="C59" s="7" t="n">
        <v>22.71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4154.05</v>
      </c>
      <c r="C60" s="7" t="n">
        <v>22.23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3707.2</v>
      </c>
      <c r="C61" s="7" t="n">
        <v>19.86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4005</v>
      </c>
      <c r="C62" s="7" t="n">
        <v>21.31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3949.85</v>
      </c>
      <c r="C63" s="7" t="n">
        <v>20.81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3997.45</v>
      </c>
      <c r="C64" s="7" t="n">
        <v>21.29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4113.75</v>
      </c>
      <c r="C65" s="7" t="n">
        <v>21.81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4027.5</v>
      </c>
      <c r="C66" s="7" t="n">
        <v>21.09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1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44104</v>
      </c>
      <c r="B2" s="6" t="n">
        <v>1951.33</v>
      </c>
      <c r="C2" s="7" t="n">
        <v>36.86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IF(C2="","",(COUNTIFS($D$2:$D$25,D2,$C$2:$C$25,"&gt;0",$C$2:$C$25,"&lt;"&amp;C2)+(COUNTIFS($D$2:$D$25,D2,$C$2:$C$25,C2)+1)/2)/COUNTIFS($D$2:$D$25,D2,$C$2:$C$25,"&gt;0"))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44196</v>
      </c>
      <c r="B3" s="6" t="n">
        <v>2409.95</v>
      </c>
      <c r="C3" s="7" t="n">
        <v>41.76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IF(C3="","",(COUNTIFS($D$2:$D$25,D3,$C$2:$C$25,"&gt;0",$C$2:$C$25,"&lt;"&amp;C3)+(COUNTIFS($D$2:$D$25,D3,$C$2:$C$25,C3)+1)/2)/COUNTIFS($D$2:$D$25,D3,$C$2:$C$25,"&gt;0"))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44286</v>
      </c>
      <c r="B4" s="6" t="n">
        <v>2509.85</v>
      </c>
      <c r="C4" s="7" t="n">
        <v>35.9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IF(C4="","",(COUNTIFS($D$2:$D$25,D4,$C$2:$C$25,"&gt;0",$C$2:$C$25,"&lt;"&amp;C4)+(COUNTIFS($D$2:$D$25,D4,$C$2:$C$25,C4)+1)/2)/COUNTIFS($D$2:$D$25,D4,$C$2:$C$25,"&gt;0"))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44377</v>
      </c>
      <c r="B5" s="6" t="n">
        <v>2682.2</v>
      </c>
      <c r="C5" s="7" t="n">
        <v>32.39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IF(C5="","",(COUNTIFS($D$2:$D$25,D5,$C$2:$C$25,"&gt;0",$C$2:$C$25,"&lt;"&amp;C5)+(COUNTIFS($D$2:$D$25,D5,$C$2:$C$25,C5)+1)/2)/COUNTIFS($D$2:$D$25,D5,$C$2:$C$25,"&gt;0"))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44469</v>
      </c>
      <c r="B6" s="6" t="n">
        <v>2995.1</v>
      </c>
      <c r="C6" s="7" t="n">
        <v>30.01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IF(C6="","",(COUNTIFS($D$2:$D$25,D6,$C$2:$C$25,"&gt;0",$C$2:$C$25,"&lt;"&amp;C6)+(COUNTIFS($D$2:$D$25,D6,$C$2:$C$25,C6)+1)/2)/COUNTIFS($D$2:$D$25,D6,$C$2:$C$25,"&gt;0"))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44561</v>
      </c>
      <c r="B7" s="6" t="n">
        <v>2962.05</v>
      </c>
      <c r="C7" s="7" t="n">
        <v>25.37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IF(C7="","",(COUNTIFS($D$2:$D$25,D7,$C$2:$C$25,"&gt;0",$C$2:$C$25,"&lt;"&amp;C7)+(COUNTIFS($D$2:$D$25,D7,$C$2:$C$25,C7)+1)/2)/COUNTIFS($D$2:$D$25,D7,$C$2:$C$25,"&gt;0"))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44651</v>
      </c>
      <c r="B8" s="6" t="n">
        <v>2945.7</v>
      </c>
      <c r="C8" s="7" t="n">
        <v>23.14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IF(C8="","",(COUNTIFS($D$2:$D$25,D8,$C$2:$C$25,"&gt;0",$C$2:$C$25,"&lt;"&amp;C8)+(COUNTIFS($D$2:$D$25,D8,$C$2:$C$25,C8)+1)/2)/COUNTIFS($D$2:$D$25,D8,$C$2:$C$25,"&gt;0"))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44742</v>
      </c>
      <c r="B9" s="6" t="n">
        <v>2636.45</v>
      </c>
      <c r="C9" s="7" t="n">
        <v>19.68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IF(C9="","",(COUNTIFS($D$2:$D$25,D9,$C$2:$C$25,"&gt;0",$C$2:$C$25,"&lt;"&amp;C9)+(COUNTIFS($D$2:$D$25,D9,$C$2:$C$25,C9)+1)/2)/COUNTIFS($D$2:$D$25,D9,$C$2:$C$25,"&gt;0"))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44834</v>
      </c>
      <c r="B10" s="6" t="n">
        <v>2831.85</v>
      </c>
      <c r="C10" s="7" t="n">
        <v>21.13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IF(C10="","",(COUNTIFS($D$2:$D$25,D10,$C$2:$C$25,"&gt;0",$C$2:$C$25,"&lt;"&amp;C10)+(COUNTIFS($D$2:$D$25,D10,$C$2:$C$25,C10)+1)/2)/COUNTIFS($D$2:$D$25,D10,$C$2:$C$25,"&gt;0"))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 t="n"/>
      <c r="L10" s="16" t="n"/>
    </row>
    <row r="11">
      <c r="A11" s="18" t="n">
        <v>44926</v>
      </c>
      <c r="B11" s="6" t="n">
        <v>2992.85</v>
      </c>
      <c r="C11" s="7" t="n">
        <v>24.44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IF(C11="","",(COUNTIFS($D$2:$D$25,D11,$C$2:$C$25,"&gt;0",$C$2:$C$25,"&lt;"&amp;C11)+(COUNTIFS($D$2:$D$25,D11,$C$2:$C$25,C11)+1)/2)/COUNTIFS($D$2:$D$25,D11,$C$2:$C$25,"&gt;0"))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 t="n"/>
      <c r="L11" s="16" t="n"/>
    </row>
    <row r="12">
      <c r="A12" s="18" t="n">
        <v>45016</v>
      </c>
      <c r="B12" s="6" t="n">
        <v>2810.35</v>
      </c>
      <c r="C12" s="7" t="n">
        <v>23.64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IF(C12="","",(COUNTIFS($D$2:$D$25,D12,$C$2:$C$25,"&gt;0",$C$2:$C$25,"&lt;"&amp;C12)+(COUNTIFS($D$2:$D$25,D12,$C$2:$C$25,C12)+1)/2)/COUNTIFS($D$2:$D$25,D12,$C$2:$C$25,"&gt;0"))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 t="n"/>
      <c r="L12" s="16" t="n"/>
    </row>
    <row r="13">
      <c r="A13" s="18" t="n">
        <v>45107</v>
      </c>
      <c r="B13" s="6" t="n">
        <v>3077</v>
      </c>
      <c r="C13" s="7" t="n">
        <v>26.87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IF(C13="","",(COUNTIFS($D$2:$D$25,D13,$C$2:$C$25,"&gt;0",$C$2:$C$25,"&lt;"&amp;C13)+(COUNTIFS($D$2:$D$25,D13,$C$2:$C$25,C13)+1)/2)/COUNTIFS($D$2:$D$25,D13,$C$2:$C$25,"&gt;0"))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 t="n"/>
      <c r="L13" s="16" t="n"/>
    </row>
    <row r="14">
      <c r="A14" s="18" t="n">
        <v>45199</v>
      </c>
      <c r="B14" s="6" t="n">
        <v>3200.65</v>
      </c>
      <c r="C14" s="7" t="n">
        <v>27.58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IF(C14="","",(COUNTIFS($D$2:$D$25,D14,$C$2:$C$25,"&gt;0",$C$2:$C$25,"&lt;"&amp;C14)+(COUNTIFS($D$2:$D$25,D14,$C$2:$C$25,C14)+1)/2)/COUNTIFS($D$2:$D$25,D14,$C$2:$C$25,"&gt;0"))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45291</v>
      </c>
      <c r="B15" s="6" t="n">
        <v>3541.15</v>
      </c>
      <c r="C15" s="7" t="n">
        <v>27.38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IF(C15="","",(COUNTIFS($D$2:$D$25,D15,$C$2:$C$25,"&gt;0",$C$2:$C$25,"&lt;"&amp;C15)+(COUNTIFS($D$2:$D$25,D15,$C$2:$C$25,C15)+1)/2)/COUNTIFS($D$2:$D$25,D15,$C$2:$C$25,"&gt;0"))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45382</v>
      </c>
      <c r="B16" s="6" t="n">
        <v>3697.85</v>
      </c>
      <c r="C16" s="7" t="n">
        <v>27.14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IF(C16="","",(COUNTIFS($D$2:$D$25,D16,$C$2:$C$25,"&gt;0",$C$2:$C$25,"&lt;"&amp;C16)+(COUNTIFS($D$2:$D$25,D16,$C$2:$C$25,C16)+1)/2)/COUNTIFS($D$2:$D$25,D16,$C$2:$C$25,"&gt;0"))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45473</v>
      </c>
      <c r="B17" s="6" t="n">
        <v>3997.35</v>
      </c>
      <c r="C17" s="7" t="n">
        <v>26.75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IF(C17="","",(COUNTIFS($D$2:$D$25,D17,$C$2:$C$25,"&gt;0",$C$2:$C$25,"&lt;"&amp;C17)+(COUNTIFS($D$2:$D$25,D17,$C$2:$C$25,C17)+1)/2)/COUNTIFS($D$2:$D$25,D17,$C$2:$C$25,"&gt;0"))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45565</v>
      </c>
      <c r="B18" s="6" t="n">
        <v>4319.2</v>
      </c>
      <c r="C18" s="7" t="n">
        <v>28.4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IF(C18="","",(COUNTIFS($D$2:$D$25,D18,$C$2:$C$25,"&gt;0",$C$2:$C$25,"&lt;"&amp;C18)+(COUNTIFS($D$2:$D$25,D18,$C$2:$C$25,C18)+1)/2)/COUNTIFS($D$2:$D$25,D18,$C$2:$C$25,"&gt;0"))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 t="n"/>
      <c r="K18" s="16" t="n"/>
      <c r="L18" s="16" t="n"/>
    </row>
    <row r="19">
      <c r="A19" s="18" t="n">
        <v>45657</v>
      </c>
      <c r="B19" s="6" t="n">
        <v>3939.2</v>
      </c>
      <c r="C19" s="7" t="n">
        <v>25.12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IF(C19="","",(COUNTIFS($D$2:$D$25,D19,$C$2:$C$25,"&gt;0",$C$2:$C$25,"&lt;"&amp;C19)+(COUNTIFS($D$2:$D$25,D19,$C$2:$C$25,C19)+1)/2)/COUNTIFS($D$2:$D$25,D19,$C$2:$C$25,"&gt;0"))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 t="n"/>
      <c r="K19" s="16" t="n"/>
      <c r="L19" s="16" t="n"/>
    </row>
    <row r="20">
      <c r="A20" s="18" t="n">
        <v>45747</v>
      </c>
      <c r="B20" s="6" t="n">
        <v>3912.15</v>
      </c>
      <c r="C20" s="7" t="n">
        <v>24.17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IF(C20="","",(COUNTIFS($D$2:$D$25,D20,$C$2:$C$25,"&gt;0",$C$2:$C$25,"&lt;"&amp;C20)+(COUNTIFS($D$2:$D$25,D20,$C$2:$C$25,C20)+1)/2)/COUNTIFS($D$2:$D$25,D20,$C$2:$C$25,"&gt;0"))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 t="n"/>
      <c r="K20" s="16" t="n"/>
      <c r="L20" s="16" t="n"/>
    </row>
    <row r="21">
      <c r="A21" s="18" t="n">
        <v>45838</v>
      </c>
      <c r="B21" s="6" t="n">
        <v>4270.15</v>
      </c>
      <c r="C21" s="7" t="n">
        <v>27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IF(C21="","",(COUNTIFS($D$2:$D$25,D21,$C$2:$C$25,"&gt;0",$C$2:$C$25,"&lt;"&amp;C21)+(COUNTIFS($D$2:$D$25,D21,$C$2:$C$25,C21)+1)/2)/COUNTIFS($D$2:$D$25,D21,$C$2:$C$25,"&gt;0"))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 t="n"/>
      <c r="K21" s="16" t="n"/>
      <c r="L21" s="16" t="n"/>
    </row>
    <row r="22">
      <c r="A22" s="18" t="n">
        <v>45930</v>
      </c>
      <c r="B22" s="6" t="n">
        <v>4118.05</v>
      </c>
      <c r="C22" s="7" t="n">
        <v>24.84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IF(C22="","",(COUNTIFS($D$2:$D$25,D22,$C$2:$C$25,"&gt;0",$C$2:$C$25,"&lt;"&amp;C22)+(COUNTIFS($D$2:$D$25,D22,$C$2:$C$25,C22)+1)/2)/COUNTIFS($D$2:$D$25,D22,$C$2:$C$25,"&gt;0"))</f>
        <v/>
      </c>
      <c r="H22">
        <f>IF(G22="","",IF(G22&lt;=20%,"Q1 Cheapest",IF(G22&lt;=40%,"Q2",IF(G22&lt;=60%,"Q3",IF(G22&lt;=80%,"Q4","Q5 Most Expensive")))))</f>
        <v/>
      </c>
      <c r="I22" s="16" t="n"/>
      <c r="J22" s="16" t="n"/>
      <c r="K22" s="16" t="n"/>
      <c r="L22" s="16" t="n"/>
    </row>
    <row r="23">
      <c r="A23" s="18" t="n">
        <v>46022</v>
      </c>
      <c r="B23" s="6" t="n">
        <v>4353.25</v>
      </c>
      <c r="C23" s="7" t="n">
        <v>23.51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IF(C23="","",(COUNTIFS($D$2:$D$25,D23,$C$2:$C$25,"&gt;0",$C$2:$C$25,"&lt;"&amp;C23)+(COUNTIFS($D$2:$D$25,D23,$C$2:$C$25,C23)+1)/2)/COUNTIFS($D$2:$D$25,D23,$C$2:$C$25,"&gt;0"))</f>
        <v/>
      </c>
      <c r="H23">
        <f>IF(G23="","",IF(G23&lt;=20%,"Q1 Cheapest",IF(G23&lt;=40%,"Q2",IF(G23&lt;=60%,"Q3",IF(G23&lt;=80%,"Q4","Q5 Most Expensive")))))</f>
        <v/>
      </c>
      <c r="I23" s="16" t="n"/>
      <c r="J23" s="16" t="n"/>
      <c r="K23" s="16" t="n"/>
      <c r="L23" s="16" t="n"/>
    </row>
    <row r="24">
      <c r="A24" s="18" t="n">
        <v>46112</v>
      </c>
      <c r="B24" s="6" t="n">
        <v>3707.2</v>
      </c>
      <c r="C24" s="7" t="n">
        <v>19.86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IF(C24="","",(COUNTIFS($D$2:$D$25,D24,$C$2:$C$25,"&gt;0",$C$2:$C$25,"&lt;"&amp;C24)+(COUNTIFS($D$2:$D$25,D24,$C$2:$C$25,C24)+1)/2)/COUNTIFS($D$2:$D$25,D24,$C$2:$C$25,"&gt;0"))</f>
        <v/>
      </c>
      <c r="H24">
        <f>IF(G24="","",IF(G24&lt;=20%,"Q1 Cheapest",IF(G24&lt;=40%,"Q2",IF(G24&lt;=60%,"Q3",IF(G24&lt;=80%,"Q4","Q5 Most Expensive")))))</f>
        <v/>
      </c>
      <c r="I24" s="16" t="n"/>
      <c r="J24" s="16" t="n"/>
      <c r="K24" s="16" t="n"/>
      <c r="L24" s="16" t="n"/>
    </row>
    <row r="25">
      <c r="A25" s="18" t="n">
        <v>46203</v>
      </c>
      <c r="B25" s="6" t="n">
        <v>3997.45</v>
      </c>
      <c r="C25" s="7" t="n">
        <v>21.29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IF(C25="","",(COUNTIFS($D$2:$D$25,D25,$C$2:$C$25,"&gt;0",$C$2:$C$25,"&lt;"&amp;C25)+(COUNTIFS($D$2:$D$25,D25,$C$2:$C$25,C25)+1)/2)/COUNTIFS($D$2:$D$25,D25,$C$2:$C$25,"&gt;0"))</f>
        <v/>
      </c>
      <c r="H25">
        <f>IF(G25="","",IF(G25&lt;=20%,"Q1 Cheapest",IF(G25&lt;=40%,"Q2",IF(G25&lt;=60%,"Q3",IF(G25&lt;=80%,"Q4","Q5 Most Expensive")))))</f>
        <v/>
      </c>
      <c r="I25" s="16" t="n"/>
      <c r="J25" s="16" t="n"/>
      <c r="K25" s="16" t="n"/>
      <c r="L2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3921.65</v>
      </c>
      <c r="C2" s="7" t="n">
        <v>20.54</v>
      </c>
      <c r="D2" s="8" t="n">
        <v>0.0378787878788</v>
      </c>
      <c r="E2" s="8" t="n">
        <v>0.151090342413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2026-09-21T10:14:34Z</dcterms:created>
  <dcterms:modified xsi:type="dcterms:W3CDTF">2026-09-21T10:14:34Z</dcterms:modified>
</cp:coreProperties>
</file>