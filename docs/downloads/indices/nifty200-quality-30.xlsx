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200Quality30_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Nifty200 Quality 30 Valuation Tracker</t>
        </is>
      </c>
    </row>
    <row r="2">
      <c r="A2" s="2" t="inlineStr">
        <is>
          <t>As of</t>
        </is>
      </c>
      <c r="B2" s="23" t="n">
        <v>46308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19269.75</v>
      </c>
      <c r="D5" s="2" t="inlineStr">
        <is>
          <t>P/E</t>
        </is>
      </c>
      <c r="E5" s="25" t="n">
        <v>25.94</v>
      </c>
    </row>
    <row r="6">
      <c r="A6" s="2" t="inlineStr">
        <is>
          <t>P/E percentile</t>
        </is>
      </c>
      <c r="B6" s="26" t="n">
        <v>0.09701492537313433</v>
      </c>
      <c r="D6" s="2" t="inlineStr">
        <is>
          <t>Implied EPS</t>
        </is>
      </c>
      <c r="E6" s="27" t="n">
        <v>742.8585196607555</v>
      </c>
    </row>
    <row r="7">
      <c r="A7" s="2" t="inlineStr">
        <is>
          <t>YoY implied EPS growth</t>
        </is>
      </c>
      <c r="B7" s="26" t="n">
        <v>0.02126384716183782</v>
      </c>
      <c r="D7" s="2" t="inlineStr">
        <is>
          <t>Earnings yield</t>
        </is>
      </c>
      <c r="E7" s="10" t="n">
        <v>0.03855050115651503</v>
      </c>
    </row>
    <row r="8">
      <c r="A8" s="2" t="inlineStr">
        <is>
          <t>Valuation score</t>
        </is>
      </c>
      <c r="B8" s="28" t="n">
        <v>90.29850746268657</v>
      </c>
      <c r="D8" s="2" t="inlineStr">
        <is>
          <t>Growth score</t>
        </is>
      </c>
      <c r="E8" s="28" t="n">
        <v>28.50553886473513</v>
      </c>
    </row>
    <row r="9">
      <c r="A9" s="2" t="inlineStr">
        <is>
          <t>Composite score</t>
        </is>
      </c>
      <c r="B9" s="28" t="n">
        <v>71.76061688330114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26.49440966952175</v>
      </c>
      <c r="C13" s="15" t="n">
        <v>19681.59794638654</v>
      </c>
      <c r="D13" s="30" t="n">
        <v>0.02137277060608134</v>
      </c>
    </row>
    <row r="14">
      <c r="A14" t="inlineStr">
        <is>
          <t>HOLD → SELL</t>
        </is>
      </c>
      <c r="B14" s="29" t="n">
        <v>29.59138386081369</v>
      </c>
      <c r="C14" s="15" t="n">
        <v>21982.21160955723</v>
      </c>
      <c r="D14" s="30" t="n">
        <v>0.1407626777491782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0.3270908331935936</v>
      </c>
      <c r="D18" s="30" t="n">
        <v>0.1464746057360189</v>
      </c>
      <c r="E18" s="30" t="n">
        <v>0.1841677233393925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0.1965789745334703</v>
      </c>
      <c r="D19" s="30" t="n">
        <v>0.1125746946104988</v>
      </c>
      <c r="E19" s="30" t="n">
        <v>0.1797087246808945</v>
      </c>
      <c r="F19" s="30" t="n"/>
      <c r="G19" s="30" t="n">
        <v>0</v>
      </c>
    </row>
    <row r="20">
      <c r="A20" t="inlineStr">
        <is>
          <t>Q3</t>
        </is>
      </c>
      <c r="B20" t="n">
        <v>6</v>
      </c>
      <c r="C20" s="30" t="n">
        <v>-0.03763539237090535</v>
      </c>
      <c r="D20" s="30" t="n">
        <v>0.1297583507672395</v>
      </c>
      <c r="E20" s="30" t="n">
        <v>0.1524413062157007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-0.02643480073401039</v>
      </c>
      <c r="D21" s="30" t="n">
        <v>0.1421152387233346</v>
      </c>
      <c r="E21" s="30" t="n">
        <v>0.07940010781138862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0.03410216634441721</v>
      </c>
      <c r="D22" s="30" t="n">
        <v>0.1694475511285383</v>
      </c>
      <c r="E22" s="30" t="n">
        <v>0.1180829939767365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34</v>
      </c>
    </row>
    <row r="27">
      <c r="A27" s="2" t="inlineStr">
        <is>
          <t>Backtest start</t>
        </is>
      </c>
      <c r="B27" t="inlineStr">
        <is>
          <t>2018-06-30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12108.8</v>
      </c>
      <c r="C2" s="25" t="n">
        <v>31.15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13063.1</v>
      </c>
      <c r="C3" s="25" t="n">
        <v>32.44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13433.05</v>
      </c>
      <c r="C4" s="25" t="n">
        <v>31.16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13745.75</v>
      </c>
      <c r="C5" s="25" t="n">
        <v>30.79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14606.2</v>
      </c>
      <c r="C6" s="25" t="n">
        <v>31.29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15076.2</v>
      </c>
      <c r="C7" s="25" t="n">
        <v>32.31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14665.8</v>
      </c>
      <c r="C8" s="25" t="n">
        <v>30.72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14478.7</v>
      </c>
      <c r="C9" s="25" t="n">
        <v>30.2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15166</v>
      </c>
      <c r="C10" s="25" t="n">
        <v>31.73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14298.85</v>
      </c>
      <c r="C11" s="25" t="n">
        <v>29.96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14042.5</v>
      </c>
      <c r="C12" s="25" t="n">
        <v>29.04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14361.55</v>
      </c>
      <c r="C13" s="25" t="n">
        <v>29.69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14235.6</v>
      </c>
      <c r="C14" s="25" t="n">
        <v>28.96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13794.7</v>
      </c>
      <c r="C15" s="25" t="n">
        <v>27.27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13077.95</v>
      </c>
      <c r="C16" s="25" t="n">
        <v>27.04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14420.9</v>
      </c>
      <c r="C17" s="25" t="n">
        <v>29.55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14792.25</v>
      </c>
      <c r="C18" s="25" t="n">
        <v>28.25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14337.4</v>
      </c>
      <c r="C19" s="25" t="n">
        <v>26.56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14532.9</v>
      </c>
      <c r="C20" s="25" t="n">
        <v>26.8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14912.85</v>
      </c>
      <c r="C21" s="25" t="n">
        <v>26.72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14208.25</v>
      </c>
      <c r="C22" s="25" t="n">
        <v>25.73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14110.95</v>
      </c>
      <c r="C23" s="25" t="n">
        <v>25.33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14025.55</v>
      </c>
      <c r="C24" s="25" t="n">
        <v>24.35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14014.15</v>
      </c>
      <c r="C25" s="25" t="n">
        <v>24.3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14596.3</v>
      </c>
      <c r="C26" s="25" t="n">
        <v>25.14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15285.35</v>
      </c>
      <c r="C27" s="25" t="n">
        <v>26.49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15648.8</v>
      </c>
      <c r="C28" s="25" t="n">
        <v>26.69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15980.5</v>
      </c>
      <c r="C29" s="25" t="n">
        <v>26.79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15929.5</v>
      </c>
      <c r="C30" s="25" t="n">
        <v>26.76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16391.8</v>
      </c>
      <c r="C31" s="25" t="n">
        <v>27.54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16114.9</v>
      </c>
      <c r="C32" s="25" t="n">
        <v>26.86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17185.2</v>
      </c>
      <c r="C33" s="25" t="n">
        <v>28.06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18453.1</v>
      </c>
      <c r="C34" s="25" t="n">
        <v>32.97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18503.25</v>
      </c>
      <c r="C35" s="25" t="n">
        <v>32.69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18668.55</v>
      </c>
      <c r="C36" s="25" t="n">
        <v>32.68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18598.05</v>
      </c>
      <c r="C37" s="25" t="n">
        <v>32.57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18755.95</v>
      </c>
      <c r="C38" s="25" t="n">
        <v>32.63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19451</v>
      </c>
      <c r="C39" s="25" t="n">
        <v>32.51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20682.5</v>
      </c>
      <c r="C40" s="25" t="n">
        <v>35.08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22273</v>
      </c>
      <c r="C41" s="25" t="n">
        <v>37.25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22807.2</v>
      </c>
      <c r="C42" s="25" t="n">
        <v>37.18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23336.15</v>
      </c>
      <c r="C43" s="25" t="n">
        <v>38.05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21303.7</v>
      </c>
      <c r="C44" s="25" t="n">
        <v>34.41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21263.25</v>
      </c>
      <c r="C45" s="25" t="n">
        <v>34.31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20799.2</v>
      </c>
      <c r="C46" s="25" t="n">
        <v>30.56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20475.05</v>
      </c>
      <c r="C47" s="25" t="n">
        <v>29.93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18158.8</v>
      </c>
      <c r="C48" s="25" t="n">
        <v>26.45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19187.1</v>
      </c>
      <c r="C49" s="25" t="n">
        <v>27.95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19791.95</v>
      </c>
      <c r="C50" s="25" t="n">
        <v>28.74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20532.1</v>
      </c>
      <c r="C51" s="25" t="n">
        <v>29.65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21025.4</v>
      </c>
      <c r="C52" s="25" t="n">
        <v>29.56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20203.55</v>
      </c>
      <c r="C53" s="25" t="n">
        <v>28.33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20377.05</v>
      </c>
      <c r="C54" s="25" t="n">
        <v>27.99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20338.8</v>
      </c>
      <c r="C55" s="25" t="n">
        <v>27.94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21091.25</v>
      </c>
      <c r="C56" s="25" t="n">
        <v>29.16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21332.4</v>
      </c>
      <c r="C57" s="25" t="n">
        <v>28.48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21410.85</v>
      </c>
      <c r="C58" s="25" t="n">
        <v>33.02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21005.25</v>
      </c>
      <c r="C59" s="25" t="n">
        <v>32.29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20146.8</v>
      </c>
      <c r="C60" s="25" t="n">
        <v>30.9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18207</v>
      </c>
      <c r="C61" s="25" t="n">
        <v>27.93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20153.9</v>
      </c>
      <c r="C62" s="25" t="n">
        <v>30.06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20112</v>
      </c>
      <c r="C63" s="25" t="n">
        <v>29.48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19561.4</v>
      </c>
      <c r="C64" s="25" t="n">
        <v>27.55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20613.65</v>
      </c>
      <c r="C65" s="25" t="n">
        <v>28.17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20579.35</v>
      </c>
      <c r="C66" s="25" t="n">
        <v>27.89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18943.05</v>
      </c>
      <c r="C67" s="25" t="n">
        <v>25.66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43281</v>
      </c>
      <c r="B2" s="24" t="n">
        <v>9337.639999999999</v>
      </c>
      <c r="C2" s="25" t="n">
        <v>29.27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IF(C2="","",(COUNTIFS($D$2:$D$35,D2,$C$2:$C$35,"&gt;0",$C$2:$C$35,"&lt;"&amp;C2)+(COUNTIFS($D$2:$D$35,D2,$C$2:$C$35,C2)+1)/2)/COUNTIFS($D$2:$D$35,D2,$C$2:$C$35,"&gt;0"))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43373</v>
      </c>
      <c r="B3" s="24" t="n">
        <v>9418.17</v>
      </c>
      <c r="C3" s="25" t="n">
        <v>31.21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IF(C3="","",(COUNTIFS($D$2:$D$35,D3,$C$2:$C$35,"&gt;0",$C$2:$C$35,"&lt;"&amp;C3)+(COUNTIFS($D$2:$D$35,D3,$C$2:$C$35,C3)+1)/2)/COUNTIFS($D$2:$D$35,D3,$C$2:$C$35,"&gt;0"))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43465</v>
      </c>
      <c r="B4" s="24" t="n">
        <v>9482.629999999999</v>
      </c>
      <c r="C4" s="25" t="n">
        <v>30.8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IF(C4="","",(COUNTIFS($D$2:$D$35,D4,$C$2:$C$35,"&gt;0",$C$2:$C$35,"&lt;"&amp;C4)+(COUNTIFS($D$2:$D$35,D4,$C$2:$C$35,C4)+1)/2)/COUNTIFS($D$2:$D$35,D4,$C$2:$C$35,"&gt;0"))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43555</v>
      </c>
      <c r="B5" s="24" t="n">
        <v>9684.700000000001</v>
      </c>
      <c r="C5" s="25" t="n">
        <v>29.38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IF(C5="","",(COUNTIFS($D$2:$D$35,D5,$C$2:$C$35,"&gt;0",$C$2:$C$35,"&lt;"&amp;C5)+(COUNTIFS($D$2:$D$35,D5,$C$2:$C$35,C5)+1)/2)/COUNTIFS($D$2:$D$35,D5,$C$2:$C$35,"&gt;0"))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43646</v>
      </c>
      <c r="B6" s="24" t="n">
        <v>9496.25</v>
      </c>
      <c r="C6" s="25" t="n">
        <v>24.96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IF(C6="","",(COUNTIFS($D$2:$D$35,D6,$C$2:$C$35,"&gt;0",$C$2:$C$35,"&lt;"&amp;C6)+(COUNTIFS($D$2:$D$35,D6,$C$2:$C$35,C6)+1)/2)/COUNTIFS($D$2:$D$35,D6,$C$2:$C$35,"&gt;0"))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43738</v>
      </c>
      <c r="B7" s="24" t="n">
        <v>9739.35</v>
      </c>
      <c r="C7" s="25" t="n">
        <v>25.39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IF(C7="","",(COUNTIFS($D$2:$D$35,D7,$C$2:$C$35,"&gt;0",$C$2:$C$35,"&lt;"&amp;C7)+(COUNTIFS($D$2:$D$35,D7,$C$2:$C$35,C7)+1)/2)/COUNTIFS($D$2:$D$35,D7,$C$2:$C$35,"&gt;0"))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43830</v>
      </c>
      <c r="B8" s="24" t="n">
        <v>9853.35</v>
      </c>
      <c r="C8" s="25" t="n">
        <v>26.19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IF(C8="","",(COUNTIFS($D$2:$D$35,D8,$C$2:$C$35,"&gt;0",$C$2:$C$35,"&lt;"&amp;C8)+(COUNTIFS($D$2:$D$35,D8,$C$2:$C$35,C8)+1)/2)/COUNTIFS($D$2:$D$35,D8,$C$2:$C$35,"&gt;0"))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43921</v>
      </c>
      <c r="B9" s="24" t="n">
        <v>8042.1</v>
      </c>
      <c r="C9" s="25" t="n">
        <v>22.62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IF(C9="","",(COUNTIFS($D$2:$D$35,D9,$C$2:$C$35,"&gt;0",$C$2:$C$35,"&lt;"&amp;C9)+(COUNTIFS($D$2:$D$35,D9,$C$2:$C$35,C9)+1)/2)/COUNTIFS($D$2:$D$35,D9,$C$2:$C$35,"&gt;0"))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44012</v>
      </c>
      <c r="B10" s="24" t="n">
        <v>9253.450000000001</v>
      </c>
      <c r="C10" s="25" t="n">
        <v>23.19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IF(C10="","",(COUNTIFS($D$2:$D$35,D10,$C$2:$C$35,"&gt;0",$C$2:$C$35,"&lt;"&amp;C10)+(COUNTIFS($D$2:$D$35,D10,$C$2:$C$35,C10)+1)/2)/COUNTIFS($D$2:$D$35,D10,$C$2:$C$35,"&gt;0"))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44104</v>
      </c>
      <c r="B11" s="24" t="n">
        <v>10392.6</v>
      </c>
      <c r="C11" s="25" t="n">
        <v>28.79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IF(C11="","",(COUNTIFS($D$2:$D$35,D11,$C$2:$C$35,"&gt;0",$C$2:$C$35,"&lt;"&amp;C11)+(COUNTIFS($D$2:$D$35,D11,$C$2:$C$35,C11)+1)/2)/COUNTIFS($D$2:$D$35,D11,$C$2:$C$35,"&gt;0"))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44196</v>
      </c>
      <c r="B12" s="24" t="n">
        <v>12253.6</v>
      </c>
      <c r="C12" s="25" t="n">
        <v>34.61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IF(C12="","",(COUNTIFS($D$2:$D$35,D12,$C$2:$C$35,"&gt;0",$C$2:$C$35,"&lt;"&amp;C12)+(COUNTIFS($D$2:$D$35,D12,$C$2:$C$35,C12)+1)/2)/COUNTIFS($D$2:$D$35,D12,$C$2:$C$35,"&gt;0"))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44286</v>
      </c>
      <c r="B13" s="24" t="n">
        <v>12425.85</v>
      </c>
      <c r="C13" s="25" t="n">
        <v>31.88</v>
      </c>
      <c r="D13" s="2" t="inlineStr">
        <is>
          <t>Consolidated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IF(C13="","",(COUNTIFS($D$2:$D$35,D13,$C$2:$C$35,"&gt;0",$C$2:$C$35,"&lt;"&amp;C13)+(COUNTIFS($D$2:$D$35,D13,$C$2:$C$35,C13)+1)/2)/COUNTIFS($D$2:$D$35,D13,$C$2:$C$35,"&gt;0"))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44377</v>
      </c>
      <c r="B14" s="24" t="n">
        <v>13433.05</v>
      </c>
      <c r="C14" s="25" t="n">
        <v>31.16</v>
      </c>
      <c r="D14" s="2" t="inlineStr">
        <is>
          <t>Consolidated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IF(C14="","",(COUNTIFS($D$2:$D$35,D14,$C$2:$C$35,"&gt;0",$C$2:$C$35,"&lt;"&amp;C14)+(COUNTIFS($D$2:$D$35,D14,$C$2:$C$35,C14)+1)/2)/COUNTIFS($D$2:$D$35,D14,$C$2:$C$35,"&gt;0"))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44469</v>
      </c>
      <c r="B15" s="24" t="n">
        <v>15076.2</v>
      </c>
      <c r="C15" s="25" t="n">
        <v>32.31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IF(C15="","",(COUNTIFS($D$2:$D$35,D15,$C$2:$C$35,"&gt;0",$C$2:$C$35,"&lt;"&amp;C15)+(COUNTIFS($D$2:$D$35,D15,$C$2:$C$35,C15)+1)/2)/COUNTIFS($D$2:$D$35,D15,$C$2:$C$35,"&gt;0"))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44561</v>
      </c>
      <c r="B16" s="24" t="n">
        <v>15166</v>
      </c>
      <c r="C16" s="25" t="n">
        <v>31.73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IF(C16="","",(COUNTIFS($D$2:$D$35,D16,$C$2:$C$35,"&gt;0",$C$2:$C$35,"&lt;"&amp;C16)+(COUNTIFS($D$2:$D$35,D16,$C$2:$C$35,C16)+1)/2)/COUNTIFS($D$2:$D$35,D16,$C$2:$C$35,"&gt;0"))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 t="n"/>
      <c r="L16" s="30" t="n"/>
    </row>
    <row r="17">
      <c r="A17" s="31" t="n">
        <v>44651</v>
      </c>
      <c r="B17" s="24" t="n">
        <v>14361.55</v>
      </c>
      <c r="C17" s="25" t="n">
        <v>29.69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IF(C17="","",(COUNTIFS($D$2:$D$35,D17,$C$2:$C$35,"&gt;0",$C$2:$C$35,"&lt;"&amp;C17)+(COUNTIFS($D$2:$D$35,D17,$C$2:$C$35,C17)+1)/2)/COUNTIFS($D$2:$D$35,D17,$C$2:$C$35,"&gt;0"))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 t="n"/>
      <c r="L17" s="30" t="n"/>
    </row>
    <row r="18">
      <c r="A18" s="31" t="n">
        <v>44742</v>
      </c>
      <c r="B18" s="24" t="n">
        <v>13077.95</v>
      </c>
      <c r="C18" s="25" t="n">
        <v>27.04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IF(C18="","",(COUNTIFS($D$2:$D$35,D18,$C$2:$C$35,"&gt;0",$C$2:$C$35,"&lt;"&amp;C18)+(COUNTIFS($D$2:$D$35,D18,$C$2:$C$35,C18)+1)/2)/COUNTIFS($D$2:$D$35,D18,$C$2:$C$35,"&gt;0"))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44834</v>
      </c>
      <c r="B19" s="24" t="n">
        <v>14337.4</v>
      </c>
      <c r="C19" s="25" t="n">
        <v>26.56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IF(C19="","",(COUNTIFS($D$2:$D$35,D19,$C$2:$C$35,"&gt;0",$C$2:$C$35,"&lt;"&amp;C19)+(COUNTIFS($D$2:$D$35,D19,$C$2:$C$35,C19)+1)/2)/COUNTIFS($D$2:$D$35,D19,$C$2:$C$35,"&gt;0"))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44926</v>
      </c>
      <c r="B20" s="24" t="n">
        <v>14208.25</v>
      </c>
      <c r="C20" s="25" t="n">
        <v>25.73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IF(C20="","",(COUNTIFS($D$2:$D$35,D20,$C$2:$C$35,"&gt;0",$C$2:$C$35,"&lt;"&amp;C20)+(COUNTIFS($D$2:$D$35,D20,$C$2:$C$35,C20)+1)/2)/COUNTIFS($D$2:$D$35,D20,$C$2:$C$35,"&gt;0"))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45016</v>
      </c>
      <c r="B21" s="24" t="n">
        <v>14014.15</v>
      </c>
      <c r="C21" s="25" t="n">
        <v>24.3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IF(C21="","",(COUNTIFS($D$2:$D$35,D21,$C$2:$C$35,"&gt;0",$C$2:$C$35,"&lt;"&amp;C21)+(COUNTIFS($D$2:$D$35,D21,$C$2:$C$35,C21)+1)/2)/COUNTIFS($D$2:$D$35,D21,$C$2:$C$35,"&gt;0"))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45107</v>
      </c>
      <c r="B22" s="24" t="n">
        <v>15648.8</v>
      </c>
      <c r="C22" s="25" t="n">
        <v>26.69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IF(C22="","",(COUNTIFS($D$2:$D$35,D22,$C$2:$C$35,"&gt;0",$C$2:$C$35,"&lt;"&amp;C22)+(COUNTIFS($D$2:$D$35,D22,$C$2:$C$35,C22)+1)/2)/COUNTIFS($D$2:$D$35,D22,$C$2:$C$35,"&gt;0"))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45199</v>
      </c>
      <c r="B23" s="24" t="n">
        <v>16391.8</v>
      </c>
      <c r="C23" s="25" t="n">
        <v>27.54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IF(C23="","",(COUNTIFS($D$2:$D$35,D23,$C$2:$C$35,"&gt;0",$C$2:$C$35,"&lt;"&amp;C23)+(COUNTIFS($D$2:$D$35,D23,$C$2:$C$35,C23)+1)/2)/COUNTIFS($D$2:$D$35,D23,$C$2:$C$35,"&gt;0"))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45291</v>
      </c>
      <c r="B24" s="24" t="n">
        <v>18453.1</v>
      </c>
      <c r="C24" s="25" t="n">
        <v>32.97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IF(C24="","",(COUNTIFS($D$2:$D$35,D24,$C$2:$C$35,"&gt;0",$C$2:$C$35,"&lt;"&amp;C24)+(COUNTIFS($D$2:$D$35,D24,$C$2:$C$35,C24)+1)/2)/COUNTIFS($D$2:$D$35,D24,$C$2:$C$35,"&gt;0"))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 t="n"/>
      <c r="K24" s="30" t="n"/>
      <c r="L24" s="30" t="n"/>
    </row>
    <row r="25">
      <c r="A25" s="31" t="n">
        <v>45382</v>
      </c>
      <c r="B25" s="24" t="n">
        <v>18598.05</v>
      </c>
      <c r="C25" s="25" t="n">
        <v>32.57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IF(C25="","",(COUNTIFS($D$2:$D$35,D25,$C$2:$C$35,"&gt;0",$C$2:$C$35,"&lt;"&amp;C25)+(COUNTIFS($D$2:$D$35,D25,$C$2:$C$35,C25)+1)/2)/COUNTIFS($D$2:$D$35,D25,$C$2:$C$35,"&gt;0"))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 t="n"/>
      <c r="K25" s="30" t="n"/>
      <c r="L25" s="30" t="n"/>
    </row>
    <row r="26">
      <c r="A26" s="31" t="n">
        <v>45473</v>
      </c>
      <c r="B26" s="24" t="n">
        <v>20682.5</v>
      </c>
      <c r="C26" s="25" t="n">
        <v>35.08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IF(C26="","",(COUNTIFS($D$2:$D$35,D26,$C$2:$C$35,"&gt;0",$C$2:$C$35,"&lt;"&amp;C26)+(COUNTIFS($D$2:$D$35,D26,$C$2:$C$35,C26)+1)/2)/COUNTIFS($D$2:$D$35,D26,$C$2:$C$35,"&gt;0"))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45565</v>
      </c>
      <c r="B27" s="24" t="n">
        <v>23336.15</v>
      </c>
      <c r="C27" s="25" t="n">
        <v>38.05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IF(C27="","",(COUNTIFS($D$2:$D$35,D27,$C$2:$C$35,"&gt;0",$C$2:$C$35,"&lt;"&amp;C27)+(COUNTIFS($D$2:$D$35,D27,$C$2:$C$35,C27)+1)/2)/COUNTIFS($D$2:$D$35,D27,$C$2:$C$35,"&gt;0"))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45657</v>
      </c>
      <c r="B28" s="24" t="n">
        <v>20799.2</v>
      </c>
      <c r="C28" s="25" t="n">
        <v>30.56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IF(C28="","",(COUNTIFS($D$2:$D$35,D28,$C$2:$C$35,"&gt;0",$C$2:$C$35,"&lt;"&amp;C28)+(COUNTIFS($D$2:$D$35,D28,$C$2:$C$35,C28)+1)/2)/COUNTIFS($D$2:$D$35,D28,$C$2:$C$35,"&gt;0"))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45747</v>
      </c>
      <c r="B29" s="24" t="n">
        <v>19187.1</v>
      </c>
      <c r="C29" s="25" t="n">
        <v>27.95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IF(C29="","",(COUNTIFS($D$2:$D$35,D29,$C$2:$C$35,"&gt;0",$C$2:$C$35,"&lt;"&amp;C29)+(COUNTIFS($D$2:$D$35,D29,$C$2:$C$35,C29)+1)/2)/COUNTIFS($D$2:$D$35,D29,$C$2:$C$35,"&gt;0"))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45838</v>
      </c>
      <c r="B30" s="24" t="n">
        <v>21025.4</v>
      </c>
      <c r="C30" s="25" t="n">
        <v>29.56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IF(C30="","",(COUNTIFS($D$2:$D$35,D30,$C$2:$C$35,"&gt;0",$C$2:$C$35,"&lt;"&amp;C30)+(COUNTIFS($D$2:$D$35,D30,$C$2:$C$35,C30)+1)/2)/COUNTIFS($D$2:$D$35,D30,$C$2:$C$35,"&gt;0"))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45930</v>
      </c>
      <c r="B31" s="24" t="n">
        <v>20338.8</v>
      </c>
      <c r="C31" s="25" t="n">
        <v>27.94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IF(C31="","",(COUNTIFS($D$2:$D$35,D31,$C$2:$C$35,"&gt;0",$C$2:$C$35,"&lt;"&amp;C31)+(COUNTIFS($D$2:$D$35,D31,$C$2:$C$35,C31)+1)/2)/COUNTIFS($D$2:$D$35,D31,$C$2:$C$35,"&gt;0"))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46022</v>
      </c>
      <c r="B32" s="24" t="n">
        <v>21410.85</v>
      </c>
      <c r="C32" s="25" t="n">
        <v>33.02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IF(C32="","",(COUNTIFS($D$2:$D$35,D32,$C$2:$C$35,"&gt;0",$C$2:$C$35,"&lt;"&amp;C32)+(COUNTIFS($D$2:$D$35,D32,$C$2:$C$35,C32)+1)/2)/COUNTIFS($D$2:$D$35,D32,$C$2:$C$35,"&gt;0"))</f>
        <v/>
      </c>
      <c r="H32">
        <f>IF(G32="","",IF(G32&lt;=20%,"Q1 Cheapest",IF(G32&lt;=40%,"Q2",IF(G32&lt;=60%,"Q3",IF(G32&lt;=80%,"Q4","Q5 Most Expensive")))))</f>
        <v/>
      </c>
      <c r="I32" s="30" t="n"/>
      <c r="J32" s="30" t="n"/>
      <c r="K32" s="30" t="n"/>
      <c r="L32" s="30" t="n"/>
    </row>
    <row r="33">
      <c r="A33" s="31" t="n">
        <v>46112</v>
      </c>
      <c r="B33" s="24" t="n">
        <v>18207</v>
      </c>
      <c r="C33" s="25" t="n">
        <v>27.93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IF(C33="","",(COUNTIFS($D$2:$D$35,D33,$C$2:$C$35,"&gt;0",$C$2:$C$35,"&lt;"&amp;C33)+(COUNTIFS($D$2:$D$35,D33,$C$2:$C$35,C33)+1)/2)/COUNTIFS($D$2:$D$35,D33,$C$2:$C$35,"&gt;0"))</f>
        <v/>
      </c>
      <c r="H33">
        <f>IF(G33="","",IF(G33&lt;=20%,"Q1 Cheapest",IF(G33&lt;=40%,"Q2",IF(G33&lt;=60%,"Q3",IF(G33&lt;=80%,"Q4","Q5 Most Expensive")))))</f>
        <v/>
      </c>
      <c r="I33" s="30" t="n"/>
      <c r="J33" s="30" t="n"/>
      <c r="K33" s="30" t="n"/>
      <c r="L33" s="30" t="n"/>
    </row>
    <row r="34">
      <c r="A34" s="31" t="n">
        <v>46203</v>
      </c>
      <c r="B34" s="24" t="n">
        <v>19561.4</v>
      </c>
      <c r="C34" s="25" t="n">
        <v>27.55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IF(C34="","",(COUNTIFS($D$2:$D$35,D34,$C$2:$C$35,"&gt;0",$C$2:$C$35,"&lt;"&amp;C34)+(COUNTIFS($D$2:$D$35,D34,$C$2:$C$35,C34)+1)/2)/COUNTIFS($D$2:$D$35,D34,$C$2:$C$35,"&gt;0"))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46295</v>
      </c>
      <c r="B35" s="24" t="n">
        <v>18943.05</v>
      </c>
      <c r="C35" s="25" t="n">
        <v>25.66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IF(C35="","",(COUNTIFS($D$2:$D$35,D35,$C$2:$C$35,"&gt;0",$C$2:$C$35,"&lt;"&amp;C35)+(COUNTIFS($D$2:$D$35,D35,$C$2:$C$35,C35)+1)/2)/COUNTIFS($D$2:$D$35,D35,$C$2:$C$35,"&gt;0"))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19561.45</v>
      </c>
      <c r="C2" s="25" t="n">
        <v>26.51</v>
      </c>
      <c r="D2" s="26" t="n">
        <v>0.113636363636</v>
      </c>
      <c r="E2" s="26" t="n">
        <v>0.0134742378938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19649.4</v>
      </c>
      <c r="C3" s="25" t="n">
        <v>26.63</v>
      </c>
      <c r="D3" s="26" t="n">
        <v>0.128787878788</v>
      </c>
      <c r="E3" s="26" t="n">
        <v>0.0134502614103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19550.75</v>
      </c>
      <c r="C4" s="25" t="n">
        <v>26.5</v>
      </c>
      <c r="D4" s="26" t="n">
        <v>0.113636363636</v>
      </c>
      <c r="E4" s="26" t="n">
        <v>0.0134069839553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19579.8</v>
      </c>
      <c r="C5" s="25" t="n">
        <v>26.54</v>
      </c>
      <c r="D5" s="26" t="n">
        <v>0.113636363636</v>
      </c>
      <c r="E5" s="26" t="n">
        <v>0.0131822750128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19371.25</v>
      </c>
      <c r="C6" s="25" t="n">
        <v>26.26</v>
      </c>
      <c r="D6" s="26" t="n">
        <v>0.08333333333329999</v>
      </c>
      <c r="E6" s="26" t="n">
        <v>0.0131075275985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19453.95</v>
      </c>
      <c r="C7" s="25" t="n">
        <v>26.37</v>
      </c>
      <c r="D7" s="26" t="n">
        <v>0.08333333333329999</v>
      </c>
      <c r="E7" s="26" t="n">
        <v>0.0131284792893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19245.55</v>
      </c>
      <c r="C8" s="25" t="n">
        <v>26.09</v>
      </c>
      <c r="D8" s="26" t="n">
        <v>0.08333333333329999</v>
      </c>
      <c r="E8" s="26" t="n">
        <v>0.0132772386589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18919.5</v>
      </c>
      <c r="C9" s="25" t="n">
        <v>25.64</v>
      </c>
      <c r="D9" s="26" t="n">
        <v>0.0681818181818</v>
      </c>
      <c r="E9" s="26" t="n">
        <v>0.0133585855075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18943.05</v>
      </c>
      <c r="C10" s="25" t="n">
        <v>25.66</v>
      </c>
      <c r="D10" s="26" t="n">
        <v>0.0746268656716</v>
      </c>
      <c r="E10" s="26" t="n">
        <v>0.0141316331278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18803.9</v>
      </c>
      <c r="C11" s="25" t="n">
        <v>25.47</v>
      </c>
      <c r="D11" s="26" t="n">
        <v>0.0671641791045</v>
      </c>
      <c r="E11" s="26" t="n">
        <v>0.0142256254979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18905.4</v>
      </c>
      <c r="C12" s="25" t="n">
        <v>25.61</v>
      </c>
      <c r="D12" s="26" t="n">
        <v>0.0671641791045</v>
      </c>
      <c r="E12" s="26" t="n">
        <v>0.0140285718879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19057</v>
      </c>
      <c r="C13" s="25" t="n">
        <v>25.82</v>
      </c>
      <c r="D13" s="26" t="n">
        <v>0.0970149253731</v>
      </c>
      <c r="E13" s="26" t="n">
        <v>0.013795958869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18843.6</v>
      </c>
      <c r="C14" s="25" t="n">
        <v>25.53</v>
      </c>
      <c r="D14" s="26" t="n">
        <v>0.0671641791045</v>
      </c>
      <c r="E14" s="26" t="n">
        <v>0.0137319215073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18507.1</v>
      </c>
      <c r="C15" s="25" t="n">
        <v>25.07</v>
      </c>
      <c r="D15" s="26" t="n">
        <v>0.0373134328358</v>
      </c>
      <c r="E15" s="26" t="n">
        <v>0.0141143941866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18863.35</v>
      </c>
      <c r="C16" s="25" t="n">
        <v>25.55</v>
      </c>
      <c r="D16" s="26" t="n">
        <v>0.0671641791045</v>
      </c>
      <c r="E16" s="26" t="n">
        <v>0.0142337985236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18836.9</v>
      </c>
      <c r="C17" s="25" t="n">
        <v>25.44</v>
      </c>
      <c r="D17" s="26" t="n">
        <v>0.0671641791045</v>
      </c>
      <c r="E17" s="26" t="n">
        <v>0.0168144101497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19269.75</v>
      </c>
      <c r="C18" s="25" t="n">
        <v>25.94</v>
      </c>
      <c r="D18" s="26" t="n">
        <v>0.0970149253731</v>
      </c>
      <c r="E18" s="26" t="n">
        <v>0.0212638471618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41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Nifty200 Quality 30 Composition</t>
        </is>
      </c>
    </row>
    <row r="2">
      <c r="A2" s="2" t="inlineStr">
        <is>
          <t>As of</t>
        </is>
      </c>
      <c r="B2" s="4" t="inlineStr">
        <is>
          <t>Retrieved 2026-10-13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Asian Paints Ltd.</t>
        </is>
      </c>
      <c r="C6" t="inlineStr">
        <is>
          <t>ASIANPAINT</t>
        </is>
      </c>
      <c r="D6" t="inlineStr">
        <is>
          <t>Consumer Durables</t>
        </is>
      </c>
    </row>
    <row r="7">
      <c r="A7" t="n">
        <v>2</v>
      </c>
      <c r="B7" t="inlineStr">
        <is>
          <t>Bajaj Auto Ltd.</t>
        </is>
      </c>
      <c r="C7" t="inlineStr">
        <is>
          <t>BAJAJ-AUTO</t>
        </is>
      </c>
      <c r="D7" t="inlineStr">
        <is>
          <t>Automobile and Auto Components</t>
        </is>
      </c>
    </row>
    <row r="8">
      <c r="A8" t="n">
        <v>3</v>
      </c>
      <c r="B8" t="inlineStr">
        <is>
          <t>Bharat Electronics Ltd.</t>
        </is>
      </c>
      <c r="C8" t="inlineStr">
        <is>
          <t>BEL</t>
        </is>
      </c>
      <c r="D8" t="inlineStr">
        <is>
          <t>Capital Goods</t>
        </is>
      </c>
    </row>
    <row r="9">
      <c r="A9" t="n">
        <v>4</v>
      </c>
      <c r="B9" t="inlineStr">
        <is>
          <t>Britannia Industries Ltd.</t>
        </is>
      </c>
      <c r="C9" t="inlineStr">
        <is>
          <t>BRITANNIA</t>
        </is>
      </c>
      <c r="D9" t="inlineStr">
        <is>
          <t>Fast Moving Consumer Goods</t>
        </is>
      </c>
    </row>
    <row r="10">
      <c r="A10" t="n">
        <v>5</v>
      </c>
      <c r="B10" t="inlineStr">
        <is>
          <t>Coal India Ltd.</t>
        </is>
      </c>
      <c r="C10" t="inlineStr">
        <is>
          <t>COALINDIA</t>
        </is>
      </c>
      <c r="D10" t="inlineStr">
        <is>
          <t>Oil Gas &amp; Consumable Fuels</t>
        </is>
      </c>
    </row>
    <row r="11">
      <c r="A11" t="n">
        <v>6</v>
      </c>
      <c r="B11" t="inlineStr">
        <is>
          <t>Colgate Palmolive (India) Ltd.</t>
        </is>
      </c>
      <c r="C11" t="inlineStr">
        <is>
          <t>COLPAL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Cummins India Ltd.</t>
        </is>
      </c>
      <c r="C12" t="inlineStr">
        <is>
          <t>CUMMINSIND</t>
        </is>
      </c>
      <c r="D12" t="inlineStr">
        <is>
          <t>Capital Goods</t>
        </is>
      </c>
    </row>
    <row r="13">
      <c r="A13" t="n">
        <v>8</v>
      </c>
      <c r="B13" t="inlineStr">
        <is>
          <t>Dixon Technologies (India) Ltd.</t>
        </is>
      </c>
      <c r="C13" t="inlineStr">
        <is>
          <t>DIXON</t>
        </is>
      </c>
      <c r="D13" t="inlineStr">
        <is>
          <t>Consumer Durables</t>
        </is>
      </c>
    </row>
    <row r="14">
      <c r="A14" t="n">
        <v>9</v>
      </c>
      <c r="B14" t="inlineStr">
        <is>
          <t>Havells India Ltd.</t>
        </is>
      </c>
      <c r="C14" t="inlineStr">
        <is>
          <t>HAVELLS</t>
        </is>
      </c>
      <c r="D14" t="inlineStr">
        <is>
          <t>Consumer Durables</t>
        </is>
      </c>
    </row>
    <row r="15">
      <c r="A15" t="n">
        <v>10</v>
      </c>
      <c r="B15" t="inlineStr">
        <is>
          <t>HCL Technologies Ltd.</t>
        </is>
      </c>
      <c r="C15" t="inlineStr">
        <is>
          <t>HCLTECH</t>
        </is>
      </c>
      <c r="D15" t="inlineStr">
        <is>
          <t>Information Technology</t>
        </is>
      </c>
    </row>
    <row r="16">
      <c r="A16" t="n">
        <v>11</v>
      </c>
      <c r="B16" t="inlineStr">
        <is>
          <t>HDFC Asset Management Company Ltd.</t>
        </is>
      </c>
      <c r="C16" t="inlineStr">
        <is>
          <t>HDFCAMC</t>
        </is>
      </c>
      <c r="D16" t="inlineStr">
        <is>
          <t>Financial Services</t>
        </is>
      </c>
    </row>
    <row r="17">
      <c r="A17" t="n">
        <v>12</v>
      </c>
      <c r="B17" t="inlineStr">
        <is>
          <t>Hero MotoCorp Ltd.</t>
        </is>
      </c>
      <c r="C17" t="inlineStr">
        <is>
          <t>HEROMOTOCO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Hindustan Aeronautics Ltd.</t>
        </is>
      </c>
      <c r="C18" t="inlineStr">
        <is>
          <t>HAL</t>
        </is>
      </c>
      <c r="D18" t="inlineStr">
        <is>
          <t>Capital Goods</t>
        </is>
      </c>
    </row>
    <row r="19">
      <c r="A19" t="n">
        <v>14</v>
      </c>
      <c r="B19" t="inlineStr">
        <is>
          <t>Hindustan Unilever Ltd.</t>
        </is>
      </c>
      <c r="C19" t="inlineStr">
        <is>
          <t>HINDUNILVR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Hindustan Zinc Ltd.</t>
        </is>
      </c>
      <c r="C20" t="inlineStr">
        <is>
          <t>HINDZINC</t>
        </is>
      </c>
      <c r="D20" t="inlineStr">
        <is>
          <t>Metals &amp; Mining</t>
        </is>
      </c>
    </row>
    <row r="21">
      <c r="A21" t="n">
        <v>16</v>
      </c>
      <c r="B21" t="inlineStr">
        <is>
          <t>Infosys Ltd.</t>
        </is>
      </c>
      <c r="C21" t="inlineStr">
        <is>
          <t>INFY</t>
        </is>
      </c>
      <c r="D21" t="inlineStr">
        <is>
          <t>Information Technology</t>
        </is>
      </c>
    </row>
    <row r="22">
      <c r="A22" t="n">
        <v>17</v>
      </c>
      <c r="B22" t="inlineStr">
        <is>
          <t>ITC Ltd.</t>
        </is>
      </c>
      <c r="C22" t="inlineStr">
        <is>
          <t>ITC</t>
        </is>
      </c>
      <c r="D22" t="inlineStr">
        <is>
          <t>Fast Moving Consumer Goods</t>
        </is>
      </c>
    </row>
    <row r="23">
      <c r="A23" t="n">
        <v>18</v>
      </c>
      <c r="B23" t="inlineStr">
        <is>
          <t>KPIT Technologies Ltd.</t>
        </is>
      </c>
      <c r="C23" t="inlineStr">
        <is>
          <t>KPITTECH</t>
        </is>
      </c>
      <c r="D23" t="inlineStr">
        <is>
          <t>Information Technology</t>
        </is>
      </c>
    </row>
    <row r="24">
      <c r="A24" t="n">
        <v>19</v>
      </c>
      <c r="B24" t="inlineStr">
        <is>
          <t>LTM Ltd.</t>
        </is>
      </c>
      <c r="C24" t="inlineStr">
        <is>
          <t>LTM</t>
        </is>
      </c>
      <c r="D24" t="inlineStr">
        <is>
          <t>Information Technology</t>
        </is>
      </c>
    </row>
    <row r="25">
      <c r="A25" t="n">
        <v>20</v>
      </c>
      <c r="B25" t="inlineStr">
        <is>
          <t>Marico Ltd.</t>
        </is>
      </c>
      <c r="C25" t="inlineStr">
        <is>
          <t>MARICO</t>
        </is>
      </c>
      <c r="D25" t="inlineStr">
        <is>
          <t>Fast Moving Consumer Goods</t>
        </is>
      </c>
    </row>
    <row r="26">
      <c r="A26" t="n">
        <v>21</v>
      </c>
      <c r="B26" t="inlineStr">
        <is>
          <t>Mazagoan Dock Shipbuilders Ltd.</t>
        </is>
      </c>
      <c r="C26" t="inlineStr">
        <is>
          <t>MAZDOCK</t>
        </is>
      </c>
      <c r="D26" t="inlineStr">
        <is>
          <t>Capital Goods</t>
        </is>
      </c>
    </row>
    <row r="27">
      <c r="A27" t="n">
        <v>22</v>
      </c>
      <c r="B27" t="inlineStr">
        <is>
          <t>Nestle India Ltd.</t>
        </is>
      </c>
      <c r="C27" t="inlineStr">
        <is>
          <t>NESTLEIND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Oracle Financial Services Software Ltd.</t>
        </is>
      </c>
      <c r="C28" t="inlineStr">
        <is>
          <t>OFSS</t>
        </is>
      </c>
      <c r="D28" t="inlineStr">
        <is>
          <t>Information Technology</t>
        </is>
      </c>
    </row>
    <row r="29">
      <c r="A29" t="n">
        <v>24</v>
      </c>
      <c r="B29" t="inlineStr">
        <is>
          <t>Page Industries Ltd.</t>
        </is>
      </c>
      <c r="C29" t="inlineStr">
        <is>
          <t>PAGEIND</t>
        </is>
      </c>
      <c r="D29" t="inlineStr">
        <is>
          <t>Textiles</t>
        </is>
      </c>
    </row>
    <row r="30">
      <c r="A30" t="n">
        <v>25</v>
      </c>
      <c r="B30" t="inlineStr">
        <is>
          <t>Persistent Systems Ltd.</t>
        </is>
      </c>
      <c r="C30" t="inlineStr">
        <is>
          <t>PERSISTENT</t>
        </is>
      </c>
      <c r="D30" t="inlineStr">
        <is>
          <t>Information Technology</t>
        </is>
      </c>
    </row>
    <row r="31">
      <c r="A31" t="n">
        <v>26</v>
      </c>
      <c r="B31" t="inlineStr">
        <is>
          <t>Pidilite Industries Ltd.</t>
        </is>
      </c>
      <c r="C31" t="inlineStr">
        <is>
          <t>PIDILITIND</t>
        </is>
      </c>
      <c r="D31" t="inlineStr">
        <is>
          <t>Chemicals</t>
        </is>
      </c>
    </row>
    <row r="32">
      <c r="A32" t="n">
        <v>27</v>
      </c>
      <c r="B32" t="inlineStr">
        <is>
          <t>Polycab India Ltd.</t>
        </is>
      </c>
      <c r="C32" t="inlineStr">
        <is>
          <t>POLYCAB</t>
        </is>
      </c>
      <c r="D32" t="inlineStr">
        <is>
          <t>Capital Goods</t>
        </is>
      </c>
    </row>
    <row r="33">
      <c r="A33" t="n">
        <v>28</v>
      </c>
      <c r="B33" t="inlineStr">
        <is>
          <t>Solar Industries India Ltd.</t>
        </is>
      </c>
      <c r="C33" t="inlineStr">
        <is>
          <t>SOLARINDS</t>
        </is>
      </c>
      <c r="D33" t="inlineStr">
        <is>
          <t>Chemicals</t>
        </is>
      </c>
    </row>
    <row r="34">
      <c r="A34" t="n">
        <v>29</v>
      </c>
      <c r="B34" t="inlineStr">
        <is>
          <t>Tata Consultancy Services Ltd.</t>
        </is>
      </c>
      <c r="C34" t="inlineStr">
        <is>
          <t>TCS</t>
        </is>
      </c>
      <c r="D34" t="inlineStr">
        <is>
          <t>Information Technology</t>
        </is>
      </c>
    </row>
    <row r="35">
      <c r="A35" t="n">
        <v>30</v>
      </c>
      <c r="B35" t="inlineStr">
        <is>
          <t>Tata Elxsi Ltd.</t>
        </is>
      </c>
      <c r="C35" t="inlineStr">
        <is>
          <t>TATAELXSI</t>
        </is>
      </c>
      <c r="D35" t="inlineStr">
        <is>
          <t>Information Technology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2026-10-13T19:32:53Z</dcterms:created>
  <dcterms:modified xsi:type="dcterms:W3CDTF">2026-10-13T19:33:19Z</dcterms:modified>
</cp:coreProperties>
</file>