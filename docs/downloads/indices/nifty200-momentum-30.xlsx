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Nifty200 Momentum 30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30425.85</v>
      </c>
      <c r="D5" s="2" t="inlineStr">
        <is>
          <t>P/E</t>
        </is>
      </c>
      <c r="E5" s="7" t="n">
        <v>23.9</v>
      </c>
    </row>
    <row r="6">
      <c r="A6" s="2" t="inlineStr">
        <is>
          <t>P/E percentile</t>
        </is>
      </c>
      <c r="B6" s="8" t="n">
        <v>0.4924242424242424</v>
      </c>
      <c r="D6" s="2" t="inlineStr">
        <is>
          <t>Implied EPS</t>
        </is>
      </c>
      <c r="E6" s="9" t="n">
        <v>1273.048117154812</v>
      </c>
    </row>
    <row r="7">
      <c r="A7" s="2" t="inlineStr">
        <is>
          <t>YoY implied EPS growth</t>
        </is>
      </c>
      <c r="B7" s="8" t="n">
        <v>0.6192804199509203</v>
      </c>
      <c r="D7" s="2" t="inlineStr">
        <is>
          <t>Earnings yield</t>
        </is>
      </c>
      <c r="E7" s="10" t="n">
        <v>0.04184100418410042</v>
      </c>
    </row>
    <row r="8">
      <c r="A8" s="2" t="inlineStr">
        <is>
          <t>Valuation score</t>
        </is>
      </c>
      <c r="B8" s="11" t="n">
        <v>50.75757575757576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65.53030303030303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21.76714285714285</v>
      </c>
      <c r="C13" s="15" t="n">
        <v>27710.62023012552</v>
      </c>
      <c r="D13" s="16" t="n">
        <v>-0.08924088463837432</v>
      </c>
    </row>
    <row r="14">
      <c r="A14" t="inlineStr">
        <is>
          <t>HOLD → SELL</t>
        </is>
      </c>
      <c r="B14" s="14" t="n">
        <v>38.76000000000001</v>
      </c>
      <c r="C14" s="15" t="n">
        <v>49343.34502092051</v>
      </c>
      <c r="D14" s="16" t="n">
        <v>0.6217573221757327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0.6371281899694551</v>
      </c>
      <c r="D18" s="16" t="n">
        <v>0.1403234109818932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0.2584892733368731</v>
      </c>
      <c r="D19" s="16" t="n">
        <v>0.1700534108519351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6</v>
      </c>
      <c r="C20" s="16" t="n">
        <v>-0.08493022515403092</v>
      </c>
      <c r="D20" s="16" t="n">
        <v>0.2579721204777804</v>
      </c>
      <c r="E20" s="16" t="n">
        <v>0.1477478621287101</v>
      </c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-0.1012887219599601</v>
      </c>
      <c r="D21" s="16" t="n">
        <v>0.1150890374312343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6</v>
      </c>
      <c r="C22" s="16" t="n">
        <v>-0.03493140015531326</v>
      </c>
      <c r="D22" s="16" t="n">
        <v>0.2432098678609922</v>
      </c>
      <c r="E22" s="16" t="n">
        <v>0.162198874679242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24</v>
      </c>
    </row>
    <row r="27">
      <c r="A27" s="2" t="inlineStr">
        <is>
          <t>Backtest start</t>
        </is>
      </c>
      <c r="B27" t="inlineStr">
        <is>
          <t>2020-09-30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16351.85</v>
      </c>
      <c r="C2" s="7" t="n">
        <v>45.03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17124.4</v>
      </c>
      <c r="C3" s="7" t="n">
        <v>34.42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17842.65</v>
      </c>
      <c r="C4" s="7" t="n">
        <v>25.89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18737.05</v>
      </c>
      <c r="C5" s="7" t="n">
        <v>23.63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19420.55</v>
      </c>
      <c r="C6" s="7" t="n">
        <v>18.07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19793.4</v>
      </c>
      <c r="C7" s="7" t="n">
        <v>18.36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20399.3</v>
      </c>
      <c r="C8" s="7" t="n">
        <v>18.35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19942.7</v>
      </c>
      <c r="C9" s="7" t="n">
        <v>15.23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20774.7</v>
      </c>
      <c r="C10" s="7" t="n">
        <v>38.56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19897.25</v>
      </c>
      <c r="C11" s="7" t="n">
        <v>36.43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19335.2</v>
      </c>
      <c r="C12" s="7" t="n">
        <v>33.34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20314.7</v>
      </c>
      <c r="C13" s="7" t="n">
        <v>35.01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19443.35</v>
      </c>
      <c r="C14" s="7" t="n">
        <v>33.28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17969.65</v>
      </c>
      <c r="C15" s="7" t="n">
        <v>27.19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16361.5</v>
      </c>
      <c r="C16" s="7" t="n">
        <v>19.2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17906.9</v>
      </c>
      <c r="C17" s="7" t="n">
        <v>20.68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19405.55</v>
      </c>
      <c r="C18" s="7" t="n">
        <v>20.33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19130.55</v>
      </c>
      <c r="C19" s="7" t="n">
        <v>20.05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20019.85</v>
      </c>
      <c r="C20" s="7" t="n">
        <v>20.83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20264.3</v>
      </c>
      <c r="C21" s="7" t="n">
        <v>20.66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19444.95</v>
      </c>
      <c r="C22" s="7" t="n">
        <v>18.91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18610.65</v>
      </c>
      <c r="C23" s="7" t="n">
        <v>17.58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17890.95</v>
      </c>
      <c r="C24" s="7" t="n">
        <v>15.8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18257.05</v>
      </c>
      <c r="C25" s="7" t="n">
        <v>16.12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19315.75</v>
      </c>
      <c r="C26" s="7" t="n">
        <v>17.02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20459.9</v>
      </c>
      <c r="C27" s="7" t="n">
        <v>17.06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21312.9</v>
      </c>
      <c r="C28" s="7" t="n">
        <v>18.7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22275.85</v>
      </c>
      <c r="C29" s="7" t="n">
        <v>19.19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22211.65</v>
      </c>
      <c r="C30" s="7" t="n">
        <v>17.56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23231.25</v>
      </c>
      <c r="C31" s="7" t="n">
        <v>18.38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22381.7</v>
      </c>
      <c r="C32" s="7" t="n">
        <v>17.45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25061.65</v>
      </c>
      <c r="C33" s="7" t="n">
        <v>18.4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27352.7</v>
      </c>
      <c r="C34" s="7" t="n">
        <v>20.81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29048.5</v>
      </c>
      <c r="C35" s="7" t="n">
        <v>21.45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29990.8</v>
      </c>
      <c r="C36" s="7" t="n">
        <v>20.9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30781.15</v>
      </c>
      <c r="C37" s="7" t="n">
        <v>21.45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32577.95</v>
      </c>
      <c r="C38" s="7" t="n">
        <v>22.65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34162.8</v>
      </c>
      <c r="C39" s="7" t="n">
        <v>21.35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35298.95</v>
      </c>
      <c r="C40" s="7" t="n">
        <v>24.36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37012.75</v>
      </c>
      <c r="C41" s="7" t="n">
        <v>25.11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37102.65</v>
      </c>
      <c r="C42" s="7" t="n">
        <v>24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37588.9</v>
      </c>
      <c r="C43" s="7" t="n">
        <v>24.29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34516.1</v>
      </c>
      <c r="C44" s="7" t="n">
        <v>21.82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34248.85</v>
      </c>
      <c r="C45" s="7" t="n">
        <v>20.75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32825</v>
      </c>
      <c r="C46" s="7" t="n">
        <v>48.99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29528.55</v>
      </c>
      <c r="C47" s="7" t="n">
        <v>43.41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26676.7</v>
      </c>
      <c r="C48" s="7" t="n">
        <v>36.78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28166.9</v>
      </c>
      <c r="C49" s="7" t="n">
        <v>38.84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29270.6</v>
      </c>
      <c r="C50" s="7" t="n">
        <v>40.07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30506.1</v>
      </c>
      <c r="C51" s="7" t="n">
        <v>39.08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31901.15</v>
      </c>
      <c r="C52" s="7" t="n">
        <v>42.05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30226.65</v>
      </c>
      <c r="C53" s="7" t="n">
        <v>39.07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29637.3</v>
      </c>
      <c r="C54" s="7" t="n">
        <v>37.7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29844.65</v>
      </c>
      <c r="C55" s="7" t="n">
        <v>37.98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31443.35</v>
      </c>
      <c r="C56" s="7" t="n">
        <v>39.4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32145.85</v>
      </c>
      <c r="C57" s="7" t="n">
        <v>40.22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31147.55</v>
      </c>
      <c r="C58" s="7" t="n">
        <v>26.59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30327.15</v>
      </c>
      <c r="C59" s="7" t="n">
        <v>26.1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31360.95</v>
      </c>
      <c r="C60" s="7" t="n">
        <v>26.81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27071.65</v>
      </c>
      <c r="C61" s="7" t="n">
        <v>23.21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30157.9</v>
      </c>
      <c r="C62" s="7" t="n">
        <v>25.95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30460.8</v>
      </c>
      <c r="C63" s="7" t="n">
        <v>25.87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30912.9</v>
      </c>
      <c r="C64" s="7" t="n">
        <v>26.62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30600.95</v>
      </c>
      <c r="C65" s="7" t="n">
        <v>25.41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31351.75</v>
      </c>
      <c r="C66" s="7" t="n">
        <v>24.63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44104</v>
      </c>
      <c r="B2" s="6" t="n">
        <v>12090.36</v>
      </c>
      <c r="C2" s="7" t="n">
        <v>70.95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IF(C2="","",(COUNTIFS($D$2:$D$25,D2,$C$2:$C$25,"&gt;0",$C$2:$C$25,"&lt;"&amp;C2)+(COUNTIFS($D$2:$D$25,D2,$C$2:$C$25,C2)+1)/2)/COUNTIFS($D$2:$D$25,D2,$C$2:$C$25,"&gt;0"))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44196</v>
      </c>
      <c r="B3" s="6" t="n">
        <v>13654.7</v>
      </c>
      <c r="C3" s="7" t="n">
        <v>64.79000000000001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IF(C3="","",(COUNTIFS($D$2:$D$25,D3,$C$2:$C$25,"&gt;0",$C$2:$C$25,"&lt;"&amp;C3)+(COUNTIFS($D$2:$D$25,D3,$C$2:$C$25,C3)+1)/2)/COUNTIFS($D$2:$D$25,D3,$C$2:$C$25,"&gt;0"))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44286</v>
      </c>
      <c r="B4" s="6" t="n">
        <v>14935.1</v>
      </c>
      <c r="C4" s="7" t="n">
        <v>40.95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IF(C4="","",(COUNTIFS($D$2:$D$25,D4,$C$2:$C$25,"&gt;0",$C$2:$C$25,"&lt;"&amp;C4)+(COUNTIFS($D$2:$D$25,D4,$C$2:$C$25,C4)+1)/2)/COUNTIFS($D$2:$D$25,D4,$C$2:$C$25,"&gt;0"))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44377</v>
      </c>
      <c r="B5" s="6" t="n">
        <v>17842.65</v>
      </c>
      <c r="C5" s="7" t="n">
        <v>25.89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IF(C5="","",(COUNTIFS($D$2:$D$25,D5,$C$2:$C$25,"&gt;0",$C$2:$C$25,"&lt;"&amp;C5)+(COUNTIFS($D$2:$D$25,D5,$C$2:$C$25,C5)+1)/2)/COUNTIFS($D$2:$D$25,D5,$C$2:$C$25,"&gt;0"))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44469</v>
      </c>
      <c r="B6" s="6" t="n">
        <v>19793.4</v>
      </c>
      <c r="C6" s="7" t="n">
        <v>18.36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IF(C6="","",(COUNTIFS($D$2:$D$25,D6,$C$2:$C$25,"&gt;0",$C$2:$C$25,"&lt;"&amp;C6)+(COUNTIFS($D$2:$D$25,D6,$C$2:$C$25,C6)+1)/2)/COUNTIFS($D$2:$D$25,D6,$C$2:$C$25,"&gt;0"))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44561</v>
      </c>
      <c r="B7" s="6" t="n">
        <v>20774.7</v>
      </c>
      <c r="C7" s="7" t="n">
        <v>38.56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IF(C7="","",(COUNTIFS($D$2:$D$25,D7,$C$2:$C$25,"&gt;0",$C$2:$C$25,"&lt;"&amp;C7)+(COUNTIFS($D$2:$D$25,D7,$C$2:$C$25,C7)+1)/2)/COUNTIFS($D$2:$D$25,D7,$C$2:$C$25,"&gt;0"))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44651</v>
      </c>
      <c r="B8" s="6" t="n">
        <v>20314.7</v>
      </c>
      <c r="C8" s="7" t="n">
        <v>35.01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IF(C8="","",(COUNTIFS($D$2:$D$25,D8,$C$2:$C$25,"&gt;0",$C$2:$C$25,"&lt;"&amp;C8)+(COUNTIFS($D$2:$D$25,D8,$C$2:$C$25,C8)+1)/2)/COUNTIFS($D$2:$D$25,D8,$C$2:$C$25,"&gt;0"))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44742</v>
      </c>
      <c r="B9" s="6" t="n">
        <v>16361.5</v>
      </c>
      <c r="C9" s="7" t="n">
        <v>19.2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IF(C9="","",(COUNTIFS($D$2:$D$25,D9,$C$2:$C$25,"&gt;0",$C$2:$C$25,"&lt;"&amp;C9)+(COUNTIFS($D$2:$D$25,D9,$C$2:$C$25,C9)+1)/2)/COUNTIFS($D$2:$D$25,D9,$C$2:$C$25,"&gt;0"))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44834</v>
      </c>
      <c r="B10" s="6" t="n">
        <v>19130.55</v>
      </c>
      <c r="C10" s="7" t="n">
        <v>20.05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IF(C10="","",(COUNTIFS($D$2:$D$25,D10,$C$2:$C$25,"&gt;0",$C$2:$C$25,"&lt;"&amp;C10)+(COUNTIFS($D$2:$D$25,D10,$C$2:$C$25,C10)+1)/2)/COUNTIFS($D$2:$D$25,D10,$C$2:$C$25,"&gt;0"))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44926</v>
      </c>
      <c r="B11" s="6" t="n">
        <v>19444.95</v>
      </c>
      <c r="C11" s="7" t="n">
        <v>18.91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IF(C11="","",(COUNTIFS($D$2:$D$25,D11,$C$2:$C$25,"&gt;0",$C$2:$C$25,"&lt;"&amp;C11)+(COUNTIFS($D$2:$D$25,D11,$C$2:$C$25,C11)+1)/2)/COUNTIFS($D$2:$D$25,D11,$C$2:$C$25,"&gt;0"))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45016</v>
      </c>
      <c r="B12" s="6" t="n">
        <v>18257.05</v>
      </c>
      <c r="C12" s="7" t="n">
        <v>16.12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IF(C12="","",(COUNTIFS($D$2:$D$25,D12,$C$2:$C$25,"&gt;0",$C$2:$C$25,"&lt;"&amp;C12)+(COUNTIFS($D$2:$D$25,D12,$C$2:$C$25,C12)+1)/2)/COUNTIFS($D$2:$D$25,D12,$C$2:$C$25,"&gt;0"))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45107</v>
      </c>
      <c r="B13" s="6" t="n">
        <v>21312.9</v>
      </c>
      <c r="C13" s="7" t="n">
        <v>18.7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IF(C13="","",(COUNTIFS($D$2:$D$25,D13,$C$2:$C$25,"&gt;0",$C$2:$C$25,"&lt;"&amp;C13)+(COUNTIFS($D$2:$D$25,D13,$C$2:$C$25,C13)+1)/2)/COUNTIFS($D$2:$D$25,D13,$C$2:$C$25,"&gt;0"))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 t="n"/>
      <c r="L13" s="16" t="n"/>
    </row>
    <row r="14">
      <c r="A14" s="18" t="n">
        <v>45199</v>
      </c>
      <c r="B14" s="6" t="n">
        <v>23231.25</v>
      </c>
      <c r="C14" s="7" t="n">
        <v>18.38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IF(C14="","",(COUNTIFS($D$2:$D$25,D14,$C$2:$C$25,"&gt;0",$C$2:$C$25,"&lt;"&amp;C14)+(COUNTIFS($D$2:$D$25,D14,$C$2:$C$25,C14)+1)/2)/COUNTIFS($D$2:$D$25,D14,$C$2:$C$25,"&gt;0"))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45291</v>
      </c>
      <c r="B15" s="6" t="n">
        <v>27352.7</v>
      </c>
      <c r="C15" s="7" t="n">
        <v>20.81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IF(C15="","",(COUNTIFS($D$2:$D$25,D15,$C$2:$C$25,"&gt;0",$C$2:$C$25,"&lt;"&amp;C15)+(COUNTIFS($D$2:$D$25,D15,$C$2:$C$25,C15)+1)/2)/COUNTIFS($D$2:$D$25,D15,$C$2:$C$25,"&gt;0"))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45382</v>
      </c>
      <c r="B16" s="6" t="n">
        <v>30781.15</v>
      </c>
      <c r="C16" s="7" t="n">
        <v>21.45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IF(C16="","",(COUNTIFS($D$2:$D$25,D16,$C$2:$C$25,"&gt;0",$C$2:$C$25,"&lt;"&amp;C16)+(COUNTIFS($D$2:$D$25,D16,$C$2:$C$25,C16)+1)/2)/COUNTIFS($D$2:$D$25,D16,$C$2:$C$25,"&gt;0"))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45473</v>
      </c>
      <c r="B17" s="6" t="n">
        <v>35298.95</v>
      </c>
      <c r="C17" s="7" t="n">
        <v>24.36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IF(C17="","",(COUNTIFS($D$2:$D$25,D17,$C$2:$C$25,"&gt;0",$C$2:$C$25,"&lt;"&amp;C17)+(COUNTIFS($D$2:$D$25,D17,$C$2:$C$25,C17)+1)/2)/COUNTIFS($D$2:$D$25,D17,$C$2:$C$25,"&gt;0"))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45565</v>
      </c>
      <c r="B18" s="6" t="n">
        <v>37588.9</v>
      </c>
      <c r="C18" s="7" t="n">
        <v>24.29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IF(C18="","",(COUNTIFS($D$2:$D$25,D18,$C$2:$C$25,"&gt;0",$C$2:$C$25,"&lt;"&amp;C18)+(COUNTIFS($D$2:$D$25,D18,$C$2:$C$25,C18)+1)/2)/COUNTIFS($D$2:$D$25,D18,$C$2:$C$25,"&gt;0"))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45657</v>
      </c>
      <c r="B19" s="6" t="n">
        <v>32825</v>
      </c>
      <c r="C19" s="7" t="n">
        <v>48.99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IF(C19="","",(COUNTIFS($D$2:$D$25,D19,$C$2:$C$25,"&gt;0",$C$2:$C$25,"&lt;"&amp;C19)+(COUNTIFS($D$2:$D$25,D19,$C$2:$C$25,C19)+1)/2)/COUNTIFS($D$2:$D$25,D19,$C$2:$C$25,"&gt;0"))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45747</v>
      </c>
      <c r="B20" s="6" t="n">
        <v>28166.9</v>
      </c>
      <c r="C20" s="7" t="n">
        <v>38.84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IF(C20="","",(COUNTIFS($D$2:$D$25,D20,$C$2:$C$25,"&gt;0",$C$2:$C$25,"&lt;"&amp;C20)+(COUNTIFS($D$2:$D$25,D20,$C$2:$C$25,C20)+1)/2)/COUNTIFS($D$2:$D$25,D20,$C$2:$C$25,"&gt;0"))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45838</v>
      </c>
      <c r="B21" s="6" t="n">
        <v>31901.15</v>
      </c>
      <c r="C21" s="7" t="n">
        <v>42.05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IF(C21="","",(COUNTIFS($D$2:$D$25,D21,$C$2:$C$25,"&gt;0",$C$2:$C$25,"&lt;"&amp;C21)+(COUNTIFS($D$2:$D$25,D21,$C$2:$C$25,C21)+1)/2)/COUNTIFS($D$2:$D$25,D21,$C$2:$C$25,"&gt;0"))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 t="n"/>
      <c r="K21" s="16" t="n"/>
      <c r="L21" s="16" t="n"/>
    </row>
    <row r="22">
      <c r="A22" s="18" t="n">
        <v>45930</v>
      </c>
      <c r="B22" s="6" t="n">
        <v>29844.65</v>
      </c>
      <c r="C22" s="7" t="n">
        <v>37.98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IF(C22="","",(COUNTIFS($D$2:$D$25,D22,$C$2:$C$25,"&gt;0",$C$2:$C$25,"&lt;"&amp;C22)+(COUNTIFS($D$2:$D$25,D22,$C$2:$C$25,C22)+1)/2)/COUNTIFS($D$2:$D$25,D22,$C$2:$C$25,"&gt;0"))</f>
        <v/>
      </c>
      <c r="H22">
        <f>IF(G22="","",IF(G22&lt;=20%,"Q1 Cheapest",IF(G22&lt;=40%,"Q2",IF(G22&lt;=60%,"Q3",IF(G22&lt;=80%,"Q4","Q5 Most Expensive")))))</f>
        <v/>
      </c>
      <c r="I22" s="16" t="n"/>
      <c r="J22" s="16" t="n"/>
      <c r="K22" s="16" t="n"/>
      <c r="L22" s="16" t="n"/>
    </row>
    <row r="23">
      <c r="A23" s="18" t="n">
        <v>46022</v>
      </c>
      <c r="B23" s="6" t="n">
        <v>31147.55</v>
      </c>
      <c r="C23" s="7" t="n">
        <v>26.59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IF(C23="","",(COUNTIFS($D$2:$D$25,D23,$C$2:$C$25,"&gt;0",$C$2:$C$25,"&lt;"&amp;C23)+(COUNTIFS($D$2:$D$25,D23,$C$2:$C$25,C23)+1)/2)/COUNTIFS($D$2:$D$25,D23,$C$2:$C$25,"&gt;0"))</f>
        <v/>
      </c>
      <c r="H23">
        <f>IF(G23="","",IF(G23&lt;=20%,"Q1 Cheapest",IF(G23&lt;=40%,"Q2",IF(G23&lt;=60%,"Q3",IF(G23&lt;=80%,"Q4","Q5 Most Expensive")))))</f>
        <v/>
      </c>
      <c r="I23" s="16" t="n"/>
      <c r="J23" s="16" t="n"/>
      <c r="K23" s="16" t="n"/>
      <c r="L23" s="16" t="n"/>
    </row>
    <row r="24">
      <c r="A24" s="18" t="n">
        <v>46112</v>
      </c>
      <c r="B24" s="6" t="n">
        <v>27071.65</v>
      </c>
      <c r="C24" s="7" t="n">
        <v>23.21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IF(C24="","",(COUNTIFS($D$2:$D$25,D24,$C$2:$C$25,"&gt;0",$C$2:$C$25,"&lt;"&amp;C24)+(COUNTIFS($D$2:$D$25,D24,$C$2:$C$25,C24)+1)/2)/COUNTIFS($D$2:$D$25,D24,$C$2:$C$25,"&gt;0"))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  <row r="25">
      <c r="A25" s="18" t="n">
        <v>46203</v>
      </c>
      <c r="B25" s="6" t="n">
        <v>30912.9</v>
      </c>
      <c r="C25" s="7" t="n">
        <v>26.62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IF(C25="","",(COUNTIFS($D$2:$D$25,D25,$C$2:$C$25,"&gt;0",$C$2:$C$25,"&lt;"&amp;C25)+(COUNTIFS($D$2:$D$25,D25,$C$2:$C$25,C25)+1)/2)/COUNTIFS($D$2:$D$25,D25,$C$2:$C$25,"&gt;0"))</f>
        <v/>
      </c>
      <c r="H25">
        <f>IF(G25="","",IF(G25&lt;=20%,"Q1 Cheapest",IF(G25&lt;=40%,"Q2",IF(G25&lt;=60%,"Q3",IF(G25&lt;=80%,"Q4","Q5 Most Expensive")))))</f>
        <v/>
      </c>
      <c r="I25" s="16" t="n"/>
      <c r="J25" s="16" t="n"/>
      <c r="K25" s="16" t="n"/>
      <c r="L25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30425.85</v>
      </c>
      <c r="C2" s="7" t="n">
        <v>23.9</v>
      </c>
      <c r="D2" s="8" t="n">
        <v>0.492424242424</v>
      </c>
      <c r="E2" s="8" t="n">
        <v>0.619280419951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2026-09-21T10:32:10Z</dcterms:created>
  <dcterms:modified xsi:type="dcterms:W3CDTF">2026-09-21T10:32:10Z</dcterms:modified>
</cp:coreProperties>
</file>