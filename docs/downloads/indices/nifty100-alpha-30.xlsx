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Alpha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17748.95</v>
      </c>
      <c r="D5" s="2" t="inlineStr">
        <is>
          <t>P/E</t>
        </is>
      </c>
      <c r="E5" s="7" t="n">
        <v>19.53</v>
      </c>
    </row>
    <row r="6">
      <c r="A6" s="2" t="inlineStr">
        <is>
          <t>P/E percentile</t>
        </is>
      </c>
      <c r="B6" s="8" t="n">
        <v>0.2045454545454546</v>
      </c>
      <c r="D6" s="2" t="inlineStr">
        <is>
          <t>Implied EPS</t>
        </is>
      </c>
      <c r="E6" s="9" t="n">
        <v>908.8044034818229</v>
      </c>
    </row>
    <row r="7">
      <c r="A7" s="2" t="inlineStr">
        <is>
          <t>YoY implied EPS growth</t>
        </is>
      </c>
      <c r="B7" s="8" t="n">
        <v>0.8642240832753332</v>
      </c>
      <c r="D7" s="2" t="inlineStr">
        <is>
          <t>Earnings yield</t>
        </is>
      </c>
      <c r="E7" s="10" t="n">
        <v>0.05120327700972862</v>
      </c>
    </row>
    <row r="8">
      <c r="A8" s="2" t="inlineStr">
        <is>
          <t>Valuation score</t>
        </is>
      </c>
      <c r="B8" s="11" t="n">
        <v>79.54545454545455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85.68181818181819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22.28</v>
      </c>
      <c r="C13" s="15" t="n">
        <v>20248.16210957502</v>
      </c>
      <c r="D13" s="16" t="n">
        <v>0.1408090117767538</v>
      </c>
    </row>
    <row r="14">
      <c r="A14" t="inlineStr">
        <is>
          <t>HOLD → SELL</t>
        </is>
      </c>
      <c r="B14" s="14" t="n">
        <v>35.98714285714286</v>
      </c>
      <c r="C14" s="15" t="n">
        <v>32705.27389730086</v>
      </c>
      <c r="D14" s="16" t="n">
        <v>0.8426596445029624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0.02140961900649185</v>
      </c>
      <c r="D18" s="16" t="n">
        <v>0.1782349450069071</v>
      </c>
      <c r="E18" s="16" t="n">
        <v>0.2381218814211907</v>
      </c>
      <c r="F18" s="16" t="n"/>
      <c r="G18" s="16" t="n">
        <v>0</v>
      </c>
    </row>
    <row r="19">
      <c r="A19" t="inlineStr">
        <is>
          <t>Q2</t>
        </is>
      </c>
      <c r="B19" t="n">
        <v>5</v>
      </c>
      <c r="C19" s="16" t="n">
        <v>-0.01235143120002608</v>
      </c>
      <c r="D19" s="16" t="n">
        <v>0.1319268571190891</v>
      </c>
      <c r="E19" s="16" t="n">
        <v>0.2237148897842038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0.2467083563140078</v>
      </c>
      <c r="D20" s="16" t="n">
        <v>0.1819738777790962</v>
      </c>
      <c r="E20" s="16" t="n">
        <v>0.2088374552716508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-0.02822580526837576</v>
      </c>
      <c r="D21" s="16" t="n">
        <v>0.1551135594414063</v>
      </c>
      <c r="E21" s="16" t="n">
        <v>0.2098309006928611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0.1796142092181522</v>
      </c>
      <c r="D22" s="16" t="n">
        <v>0.1975664157777682</v>
      </c>
      <c r="E22" s="16" t="n">
        <v>0.127104970922991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29</v>
      </c>
    </row>
    <row r="27">
      <c r="A27" s="2" t="inlineStr">
        <is>
          <t>Backtest start</t>
        </is>
      </c>
      <c r="B27" t="inlineStr">
        <is>
          <t>2019-06-30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9978.700000000001</v>
      </c>
      <c r="C2" s="7" t="n">
        <v>73.43000000000001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10836.38</v>
      </c>
      <c r="C3" s="7" t="n">
        <v>43.73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10854.23</v>
      </c>
      <c r="C4" s="7" t="n">
        <v>38.31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11022.45</v>
      </c>
      <c r="C5" s="7" t="n">
        <v>32.88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12354.79</v>
      </c>
      <c r="C6" s="7" t="n">
        <v>28.36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12303</v>
      </c>
      <c r="C7" s="7" t="n">
        <v>23.36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12303.33</v>
      </c>
      <c r="C8" s="7" t="n">
        <v>22.61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12474.33</v>
      </c>
      <c r="C9" s="7" t="n">
        <v>18.41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12810.02</v>
      </c>
      <c r="C10" s="7" t="n">
        <v>22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12283.24</v>
      </c>
      <c r="C11" s="7" t="n">
        <v>20.92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12399.49</v>
      </c>
      <c r="C12" s="7" t="n">
        <v>20.28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12979.75</v>
      </c>
      <c r="C13" s="7" t="n">
        <v>22.1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12813.9</v>
      </c>
      <c r="C14" s="7" t="n">
        <v>21.72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11239.26</v>
      </c>
      <c r="C15" s="7" t="n">
        <v>18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10547.94</v>
      </c>
      <c r="C16" s="7" t="n">
        <v>20.83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11710.1</v>
      </c>
      <c r="C17" s="7" t="n">
        <v>22.98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12741.13</v>
      </c>
      <c r="C18" s="7" t="n">
        <v>23.4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12517.1</v>
      </c>
      <c r="C19" s="7" t="n">
        <v>28.63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13003.32</v>
      </c>
      <c r="C20" s="7" t="n">
        <v>29.53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13048.48</v>
      </c>
      <c r="C21" s="7" t="n">
        <v>27.51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12505.71</v>
      </c>
      <c r="C22" s="7" t="n">
        <v>23.48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11160.79</v>
      </c>
      <c r="C23" s="7" t="n">
        <v>20.49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9716.809999999999</v>
      </c>
      <c r="C24" s="7" t="n">
        <v>16.67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10192.33</v>
      </c>
      <c r="C25" s="7" t="n">
        <v>16.95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10787.16</v>
      </c>
      <c r="C26" s="7" t="n">
        <v>17.8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11314.95</v>
      </c>
      <c r="C27" s="7" t="n">
        <v>17.98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11877.49</v>
      </c>
      <c r="C28" s="7" t="n">
        <v>22.28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12158.16</v>
      </c>
      <c r="C29" s="7" t="n">
        <v>22.28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11983.65</v>
      </c>
      <c r="C30" s="7" t="n">
        <v>20.98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12488.08</v>
      </c>
      <c r="C31" s="7" t="n">
        <v>24.37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12085.94</v>
      </c>
      <c r="C32" s="7" t="n">
        <v>22.45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13368.51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14795.04</v>
      </c>
      <c r="C34" s="7" t="n">
        <v>23.78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15560.22</v>
      </c>
      <c r="C35" s="7" t="n">
        <v>23.44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16692.44</v>
      </c>
      <c r="C36" s="7" t="n">
        <v>24.07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17378.17</v>
      </c>
      <c r="C37" s="7" t="n">
        <v>18.05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18311.6</v>
      </c>
      <c r="C38" s="7" t="n">
        <v>18.93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19201.44</v>
      </c>
      <c r="C39" s="7" t="n">
        <v>18.73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19815.15</v>
      </c>
      <c r="C40" s="7" t="n">
        <v>19.22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21200.25</v>
      </c>
      <c r="C41" s="7" t="n">
        <v>20.45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21245.13</v>
      </c>
      <c r="C42" s="7" t="n">
        <v>20.56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21077.37</v>
      </c>
      <c r="C43" s="7" t="n">
        <v>25.61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19030.02</v>
      </c>
      <c r="C44" s="7" t="n">
        <v>24.53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18963.65</v>
      </c>
      <c r="C45" s="7" t="n">
        <v>23.6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18445.1</v>
      </c>
      <c r="C46" s="7" t="n">
        <v>39.16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17112.95</v>
      </c>
      <c r="C47" s="7" t="n">
        <v>36.4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15263.95</v>
      </c>
      <c r="C48" s="7" t="n">
        <v>29.81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16668.15</v>
      </c>
      <c r="C49" s="7" t="n">
        <v>27.75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17070.1</v>
      </c>
      <c r="C50" s="7" t="n">
        <v>28.2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17677.7</v>
      </c>
      <c r="C51" s="7" t="n">
        <v>27.27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18698.55</v>
      </c>
      <c r="C52" s="7" t="n">
        <v>39.94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18130.45</v>
      </c>
      <c r="C53" s="7" t="n">
        <v>38.34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17947</v>
      </c>
      <c r="C54" s="7" t="n">
        <v>36.81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18032.95</v>
      </c>
      <c r="C55" s="7" t="n">
        <v>36.11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18546.55</v>
      </c>
      <c r="C56" s="7" t="n">
        <v>36.75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18461.55</v>
      </c>
      <c r="C57" s="7" t="n">
        <v>35.68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18094.6</v>
      </c>
      <c r="C58" s="7" t="n">
        <v>28.01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17562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18155.3</v>
      </c>
      <c r="C60" s="7" t="n">
        <v>28.07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15765.85</v>
      </c>
      <c r="C61" s="7" t="n">
        <v>15.85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17642.1</v>
      </c>
      <c r="C62" s="7" t="n">
        <v>17.74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18015.5</v>
      </c>
      <c r="C63" s="7" t="n">
        <v>17.17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17925.1</v>
      </c>
      <c r="C64" s="7" t="n">
        <v>21.3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18103.2</v>
      </c>
      <c r="C65" s="7" t="n">
        <v>20.84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18152</v>
      </c>
      <c r="C66" s="7" t="n">
        <v>19.98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43646</v>
      </c>
      <c r="B2" s="6" t="n">
        <v>7220.98</v>
      </c>
      <c r="C2" s="7" t="n">
        <v>44.83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IF(C2="","",(COUNTIFS($D$2:$D$30,D2,$C$2:$C$30,"&gt;0",$C$2:$C$30,"&lt;"&amp;C2)+(COUNTIFS($D$2:$D$30,D2,$C$2:$C$30,C2)+1)/2)/COUNTIFS($D$2:$D$30,D2,$C$2:$C$30,"&gt;0"))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43738</v>
      </c>
      <c r="B3" s="6" t="n">
        <v>7244.35</v>
      </c>
      <c r="C3" s="7" t="n">
        <v>36.13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IF(C3="","",(COUNTIFS($D$2:$D$30,D3,$C$2:$C$30,"&gt;0",$C$2:$C$30,"&lt;"&amp;C3)+(COUNTIFS($D$2:$D$30,D3,$C$2:$C$30,C3)+1)/2)/COUNTIFS($D$2:$D$30,D3,$C$2:$C$30,"&gt;0"))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43830</v>
      </c>
      <c r="B4" s="6" t="n">
        <v>7478.56</v>
      </c>
      <c r="C4" s="7" t="n">
        <v>65.43000000000001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IF(C4="","",(COUNTIFS($D$2:$D$30,D4,$C$2:$C$30,"&gt;0",$C$2:$C$30,"&lt;"&amp;C4)+(COUNTIFS($D$2:$D$30,D4,$C$2:$C$30,C4)+1)/2)/COUNTIFS($D$2:$D$30,D4,$C$2:$C$30,"&gt;0"))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43921</v>
      </c>
      <c r="B5" s="6" t="n">
        <v>6172.34</v>
      </c>
      <c r="C5" s="7" t="n">
        <v>49.9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IF(C5="","",(COUNTIFS($D$2:$D$30,D5,$C$2:$C$30,"&gt;0",$C$2:$C$30,"&lt;"&amp;C5)+(COUNTIFS($D$2:$D$30,D5,$C$2:$C$30,C5)+1)/2)/COUNTIFS($D$2:$D$30,D5,$C$2:$C$30,"&gt;0"))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44012</v>
      </c>
      <c r="B6" s="6" t="n">
        <v>7214.14</v>
      </c>
      <c r="C6" s="7" t="n">
        <v>75.72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IF(C6="","",(COUNTIFS($D$2:$D$30,D6,$C$2:$C$30,"&gt;0",$C$2:$C$30,"&lt;"&amp;C6)+(COUNTIFS($D$2:$D$30,D6,$C$2:$C$30,C6)+1)/2)/COUNTIFS($D$2:$D$30,D6,$C$2:$C$30,"&gt;0"))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44104</v>
      </c>
      <c r="B7" s="6" t="n">
        <v>7850.53</v>
      </c>
      <c r="C7" s="7" t="n">
        <v>149.88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IF(C7="","",(COUNTIFS($D$2:$D$30,D7,$C$2:$C$30,"&gt;0",$C$2:$C$30,"&lt;"&amp;C7)+(COUNTIFS($D$2:$D$30,D7,$C$2:$C$30,C7)+1)/2)/COUNTIFS($D$2:$D$30,D7,$C$2:$C$30,"&gt;0"))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44196</v>
      </c>
      <c r="B8" s="6" t="n">
        <v>9167.84</v>
      </c>
      <c r="C8" s="7" t="n">
        <v>88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IF(C8="","",(COUNTIFS($D$2:$D$30,D8,$C$2:$C$30,"&gt;0",$C$2:$C$30,"&lt;"&amp;C8)+(COUNTIFS($D$2:$D$30,D8,$C$2:$C$30,C8)+1)/2)/COUNTIFS($D$2:$D$30,D8,$C$2:$C$30,"&gt;0"))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44286</v>
      </c>
      <c r="B9" s="6" t="n">
        <v>9417.690000000001</v>
      </c>
      <c r="C9" s="7" t="n">
        <v>69.06999999999999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IF(C9="","",(COUNTIFS($D$2:$D$30,D9,$C$2:$C$30,"&gt;0",$C$2:$C$30,"&lt;"&amp;C9)+(COUNTIFS($D$2:$D$30,D9,$C$2:$C$30,C9)+1)/2)/COUNTIFS($D$2:$D$30,D9,$C$2:$C$30,"&gt;0"))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44377</v>
      </c>
      <c r="B10" s="6" t="n">
        <v>10854.23</v>
      </c>
      <c r="C10" s="7" t="n">
        <v>38.31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IF(C10="","",(COUNTIFS($D$2:$D$30,D10,$C$2:$C$30,"&gt;0",$C$2:$C$30,"&lt;"&amp;C10)+(COUNTIFS($D$2:$D$30,D10,$C$2:$C$30,C10)+1)/2)/COUNTIFS($D$2:$D$30,D10,$C$2:$C$30,"&gt;0"))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44469</v>
      </c>
      <c r="B11" s="6" t="n">
        <v>12303</v>
      </c>
      <c r="C11" s="7" t="n">
        <v>23.36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IF(C11="","",(COUNTIFS($D$2:$D$30,D11,$C$2:$C$30,"&gt;0",$C$2:$C$30,"&lt;"&amp;C11)+(COUNTIFS($D$2:$D$30,D11,$C$2:$C$30,C11)+1)/2)/COUNTIFS($D$2:$D$30,D11,$C$2:$C$30,"&gt;0"))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44561</v>
      </c>
      <c r="B12" s="6" t="n">
        <v>12810.02</v>
      </c>
      <c r="C12" s="7" t="n">
        <v>22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IF(C12="","",(COUNTIFS($D$2:$D$30,D12,$C$2:$C$30,"&gt;0",$C$2:$C$30,"&lt;"&amp;C12)+(COUNTIFS($D$2:$D$30,D12,$C$2:$C$30,C12)+1)/2)/COUNTIFS($D$2:$D$30,D12,$C$2:$C$30,"&gt;0"))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44651</v>
      </c>
      <c r="B13" s="6" t="n">
        <v>12979.75</v>
      </c>
      <c r="C13" s="7" t="n">
        <v>22.1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IF(C13="","",(COUNTIFS($D$2:$D$30,D13,$C$2:$C$30,"&gt;0",$C$2:$C$30,"&lt;"&amp;C13)+(COUNTIFS($D$2:$D$30,D13,$C$2:$C$30,C13)+1)/2)/COUNTIFS($D$2:$D$30,D13,$C$2:$C$30,"&gt;0"))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44742</v>
      </c>
      <c r="B14" s="6" t="n">
        <v>10547.94</v>
      </c>
      <c r="C14" s="7" t="n">
        <v>20.83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IF(C14="","",(COUNTIFS($D$2:$D$30,D14,$C$2:$C$30,"&gt;0",$C$2:$C$30,"&lt;"&amp;C14)+(COUNTIFS($D$2:$D$30,D14,$C$2:$C$30,C14)+1)/2)/COUNTIFS($D$2:$D$30,D14,$C$2:$C$30,"&gt;0"))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44834</v>
      </c>
      <c r="B15" s="6" t="n">
        <v>12517.1</v>
      </c>
      <c r="C15" s="7" t="n">
        <v>28.63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IF(C15="","",(COUNTIFS($D$2:$D$30,D15,$C$2:$C$30,"&gt;0",$C$2:$C$30,"&lt;"&amp;C15)+(COUNTIFS($D$2:$D$30,D15,$C$2:$C$30,C15)+1)/2)/COUNTIFS($D$2:$D$30,D15,$C$2:$C$30,"&gt;0"))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44926</v>
      </c>
      <c r="B16" s="6" t="n">
        <v>12505.71</v>
      </c>
      <c r="C16" s="7" t="n">
        <v>23.48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IF(C16="","",(COUNTIFS($D$2:$D$30,D16,$C$2:$C$30,"&gt;0",$C$2:$C$30,"&lt;"&amp;C16)+(COUNTIFS($D$2:$D$30,D16,$C$2:$C$30,C16)+1)/2)/COUNTIFS($D$2:$D$30,D16,$C$2:$C$30,"&gt;0"))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45016</v>
      </c>
      <c r="B17" s="6" t="n">
        <v>10192.33</v>
      </c>
      <c r="C17" s="7" t="n">
        <v>16.95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IF(C17="","",(COUNTIFS($D$2:$D$30,D17,$C$2:$C$30,"&gt;0",$C$2:$C$30,"&lt;"&amp;C17)+(COUNTIFS($D$2:$D$30,D17,$C$2:$C$30,C17)+1)/2)/COUNTIFS($D$2:$D$30,D17,$C$2:$C$30,"&gt;0"))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45107</v>
      </c>
      <c r="B18" s="6" t="n">
        <v>11877.49</v>
      </c>
      <c r="C18" s="7" t="n">
        <v>22.28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IF(C18="","",(COUNTIFS($D$2:$D$30,D18,$C$2:$C$30,"&gt;0",$C$2:$C$30,"&lt;"&amp;C18)+(COUNTIFS($D$2:$D$30,D18,$C$2:$C$30,C18)+1)/2)/COUNTIFS($D$2:$D$30,D18,$C$2:$C$30,"&gt;0"))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45199</v>
      </c>
      <c r="B19" s="6" t="n">
        <v>12488.08</v>
      </c>
      <c r="C19" s="7" t="n">
        <v>24.37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IF(C19="","",(COUNTIFS($D$2:$D$30,D19,$C$2:$C$30,"&gt;0",$C$2:$C$30,"&lt;"&amp;C19)+(COUNTIFS($D$2:$D$30,D19,$C$2:$C$30,C19)+1)/2)/COUNTIFS($D$2:$D$30,D19,$C$2:$C$30,"&gt;0"))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45291</v>
      </c>
      <c r="B20" s="6" t="n">
        <v>14795.04</v>
      </c>
      <c r="C20" s="7" t="n">
        <v>23.78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IF(C20="","",(COUNTIFS($D$2:$D$30,D20,$C$2:$C$30,"&gt;0",$C$2:$C$30,"&lt;"&amp;C20)+(COUNTIFS($D$2:$D$30,D20,$C$2:$C$30,C20)+1)/2)/COUNTIFS($D$2:$D$30,D20,$C$2:$C$30,"&gt;0"))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45382</v>
      </c>
      <c r="B21" s="6" t="n">
        <v>17378.17</v>
      </c>
      <c r="C21" s="7" t="n">
        <v>18.05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IF(C21="","",(COUNTIFS($D$2:$D$30,D21,$C$2:$C$30,"&gt;0",$C$2:$C$30,"&lt;"&amp;C21)+(COUNTIFS($D$2:$D$30,D21,$C$2:$C$30,C21)+1)/2)/COUNTIFS($D$2:$D$30,D21,$C$2:$C$30,"&gt;0"))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45473</v>
      </c>
      <c r="B22" s="6" t="n">
        <v>19815.15</v>
      </c>
      <c r="C22" s="7" t="n">
        <v>19.22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IF(C22="","",(COUNTIFS($D$2:$D$30,D22,$C$2:$C$30,"&gt;0",$C$2:$C$30,"&lt;"&amp;C22)+(COUNTIFS($D$2:$D$30,D22,$C$2:$C$30,C22)+1)/2)/COUNTIFS($D$2:$D$30,D22,$C$2:$C$30,"&gt;0"))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45565</v>
      </c>
      <c r="B23" s="6" t="n">
        <v>21077.37</v>
      </c>
      <c r="C23" s="7" t="n">
        <v>25.61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IF(C23="","",(COUNTIFS($D$2:$D$30,D23,$C$2:$C$30,"&gt;0",$C$2:$C$30,"&lt;"&amp;C23)+(COUNTIFS($D$2:$D$30,D23,$C$2:$C$30,C23)+1)/2)/COUNTIFS($D$2:$D$30,D23,$C$2:$C$30,"&gt;0"))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45657</v>
      </c>
      <c r="B24" s="6" t="n">
        <v>18445.1</v>
      </c>
      <c r="C24" s="7" t="n">
        <v>39.16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IF(C24="","",(COUNTIFS($D$2:$D$30,D24,$C$2:$C$30,"&gt;0",$C$2:$C$30,"&lt;"&amp;C24)+(COUNTIFS($D$2:$D$30,D24,$C$2:$C$30,C24)+1)/2)/COUNTIFS($D$2:$D$30,D24,$C$2:$C$30,"&gt;0"))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45747</v>
      </c>
      <c r="B25" s="6" t="n">
        <v>16668.15</v>
      </c>
      <c r="C25" s="7" t="n">
        <v>27.75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IF(C25="","",(COUNTIFS($D$2:$D$30,D25,$C$2:$C$30,"&gt;0",$C$2:$C$30,"&lt;"&amp;C25)+(COUNTIFS($D$2:$D$30,D25,$C$2:$C$30,C25)+1)/2)/COUNTIFS($D$2:$D$30,D25,$C$2:$C$30,"&gt;0"))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45838</v>
      </c>
      <c r="B26" s="6" t="n">
        <v>18698.55</v>
      </c>
      <c r="C26" s="7" t="n">
        <v>39.94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IF(C26="","",(COUNTIFS($D$2:$D$30,D26,$C$2:$C$30,"&gt;0",$C$2:$C$30,"&lt;"&amp;C26)+(COUNTIFS($D$2:$D$30,D26,$C$2:$C$30,C26)+1)/2)/COUNTIFS($D$2:$D$30,D26,$C$2:$C$30,"&gt;0"))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45930</v>
      </c>
      <c r="B27" s="6" t="n">
        <v>18032.95</v>
      </c>
      <c r="C27" s="7" t="n">
        <v>36.11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IF(C27="","",(COUNTIFS($D$2:$D$30,D27,$C$2:$C$30,"&gt;0",$C$2:$C$30,"&lt;"&amp;C27)+(COUNTIFS($D$2:$D$30,D27,$C$2:$C$30,C27)+1)/2)/COUNTIFS($D$2:$D$30,D27,$C$2:$C$30,"&gt;0"))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  <row r="28">
      <c r="A28" s="18" t="n">
        <v>46022</v>
      </c>
      <c r="B28" s="6" t="n">
        <v>18094.6</v>
      </c>
      <c r="C28" s="7" t="n">
        <v>28.01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IF(C28="","",(COUNTIFS($D$2:$D$30,D28,$C$2:$C$30,"&gt;0",$C$2:$C$30,"&lt;"&amp;C28)+(COUNTIFS($D$2:$D$30,D28,$C$2:$C$30,C28)+1)/2)/COUNTIFS($D$2:$D$30,D28,$C$2:$C$30,"&gt;0"))</f>
        <v/>
      </c>
      <c r="H28">
        <f>IF(G28="","",IF(G28&lt;=20%,"Q1 Cheapest",IF(G28&lt;=40%,"Q2",IF(G28&lt;=60%,"Q3",IF(G28&lt;=80%,"Q4","Q5 Most Expensive")))))</f>
        <v/>
      </c>
      <c r="I28" s="16" t="n"/>
      <c r="J28" s="16" t="n"/>
      <c r="K28" s="16" t="n"/>
      <c r="L28" s="16" t="n"/>
    </row>
    <row r="29">
      <c r="A29" s="18" t="n">
        <v>46112</v>
      </c>
      <c r="B29" s="6" t="n">
        <v>15765.85</v>
      </c>
      <c r="C29" s="7" t="n">
        <v>15.85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IF(C29="","",(COUNTIFS($D$2:$D$30,D29,$C$2:$C$30,"&gt;0",$C$2:$C$30,"&lt;"&amp;C29)+(COUNTIFS($D$2:$D$30,D29,$C$2:$C$30,C29)+1)/2)/COUNTIFS($D$2:$D$30,D29,$C$2:$C$30,"&gt;0"))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46203</v>
      </c>
      <c r="B30" s="6" t="n">
        <v>17925.1</v>
      </c>
      <c r="C30" s="7" t="n">
        <v>21.3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IF(C30="","",(COUNTIFS($D$2:$D$30,D30,$C$2:$C$30,"&gt;0",$C$2:$C$30,"&lt;"&amp;C30)+(COUNTIFS($D$2:$D$30,D30,$C$2:$C$30,C30)+1)/2)/COUNTIFS($D$2:$D$30,D30,$C$2:$C$30,"&gt;0"))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17748.95</v>
      </c>
      <c r="C2" s="7" t="n">
        <v>19.53</v>
      </c>
      <c r="D2" s="8" t="n">
        <v>0.204545454545</v>
      </c>
      <c r="E2" s="8" t="n">
        <v>0.864224083275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2026-09-21T11:12:24Z</dcterms:created>
  <dcterms:modified xsi:type="dcterms:W3CDTF">2026-09-21T11:12:24Z</dcterms:modified>
</cp:coreProperties>
</file>