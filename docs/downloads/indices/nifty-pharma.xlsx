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pharma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2" customWidth="1" min="5" max="5"/>
    <col width="21" customWidth="1" min="6" max="6"/>
    <col width="21" customWidth="1" min="7" max="7"/>
  </cols>
  <sheetData>
    <row r="1" ht="26" customHeight="1">
      <c r="A1" s="1" t="inlineStr">
        <is>
          <t>NIFTY Pharma Valuation Tracker</t>
        </is>
      </c>
    </row>
    <row r="2">
      <c r="A2" s="2" t="inlineStr">
        <is>
          <t>As of</t>
        </is>
      </c>
      <c r="B2" s="23" t="n">
        <v>46318</v>
      </c>
      <c r="D2" s="2" t="inlineStr">
        <is>
          <t>Group</t>
        </is>
      </c>
      <c r="E2" s="4" t="inlineStr">
        <is>
          <t>Sectoral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25329.45</v>
      </c>
      <c r="D5" s="2" t="inlineStr">
        <is>
          <t>P/E</t>
        </is>
      </c>
      <c r="E5" s="25" t="n">
        <v>39.18</v>
      </c>
    </row>
    <row r="6">
      <c r="A6" s="2" t="inlineStr">
        <is>
          <t>P/E percentile</t>
        </is>
      </c>
      <c r="B6" s="26" t="n">
        <v>0.9328358208955224</v>
      </c>
      <c r="D6" s="2" t="inlineStr">
        <is>
          <t>Implied EPS</t>
        </is>
      </c>
      <c r="E6" s="27" t="n">
        <v>646.489280245023</v>
      </c>
    </row>
    <row r="7">
      <c r="A7" s="2" t="inlineStr">
        <is>
          <t>YoY implied EPS growth</t>
        </is>
      </c>
      <c r="B7" s="26" t="n">
        <v>-0.003576155218680266</v>
      </c>
      <c r="D7" s="2" t="inlineStr">
        <is>
          <t>Earnings yield</t>
        </is>
      </c>
      <c r="E7" s="10" t="n">
        <v>0.02552322613578356</v>
      </c>
    </row>
    <row r="8">
      <c r="A8" s="2" t="inlineStr">
        <is>
          <t>Valuation score</t>
        </is>
      </c>
      <c r="B8" s="28" t="n">
        <v>6.716417910447758</v>
      </c>
      <c r="D8" s="2" t="inlineStr">
        <is>
          <t>Growth score</t>
        </is>
      </c>
      <c r="E8" s="28" t="n">
        <v>20</v>
      </c>
    </row>
    <row r="9">
      <c r="A9" s="2" t="inlineStr">
        <is>
          <t>Composite score</t>
        </is>
      </c>
      <c r="B9" s="28" t="n">
        <v>10.70149253731343</v>
      </c>
      <c r="D9" s="2" t="inlineStr">
        <is>
          <t>Signal</t>
        </is>
      </c>
      <c r="E9" s="12" t="inlineStr">
        <is>
          <t>SELL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30.64514285714286</v>
      </c>
      <c r="C13" s="15" t="n">
        <v>19811.7563487202</v>
      </c>
      <c r="D13" s="30" t="n">
        <v>-0.2178370888937504</v>
      </c>
    </row>
    <row r="14">
      <c r="A14" t="inlineStr">
        <is>
          <t>HOLD → SELL</t>
        </is>
      </c>
      <c r="B14" s="29" t="n">
        <v>33.89057142857142</v>
      </c>
      <c r="C14" s="15" t="n">
        <v>21909.89112994968</v>
      </c>
      <c r="D14" s="30" t="n">
        <v>-0.1350032815576462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0.4964902325119865</v>
      </c>
      <c r="D18" s="30" t="n">
        <v>0.187485712435659</v>
      </c>
      <c r="E18" s="30" t="n">
        <v>0.2383283063083881</v>
      </c>
      <c r="F18" s="30" t="n"/>
      <c r="G18" s="30" t="n">
        <v>0</v>
      </c>
    </row>
    <row r="19">
      <c r="A19" t="inlineStr">
        <is>
          <t>Q2</t>
        </is>
      </c>
      <c r="B19" t="n">
        <v>9</v>
      </c>
      <c r="C19" s="30" t="n">
        <v>0.05179432713028298</v>
      </c>
      <c r="D19" s="30" t="n">
        <v>0.1254754881957747</v>
      </c>
      <c r="E19" s="30" t="n">
        <v>0.067356574714033</v>
      </c>
      <c r="F19" s="30" t="n"/>
      <c r="G19" s="30" t="n">
        <v>0.25</v>
      </c>
    </row>
    <row r="20">
      <c r="A20" t="inlineStr">
        <is>
          <t>Q3</t>
        </is>
      </c>
      <c r="B20" t="n">
        <v>8</v>
      </c>
      <c r="C20" s="30" t="n">
        <v>0.02430175541291046</v>
      </c>
      <c r="D20" s="30" t="n">
        <v>0.09228330585944167</v>
      </c>
      <c r="E20" s="30" t="n">
        <v>0.08364948928813487</v>
      </c>
      <c r="F20" s="30" t="n">
        <v>0.08009167092390945</v>
      </c>
      <c r="G20" s="30" t="n">
        <v>0.4</v>
      </c>
    </row>
    <row r="21">
      <c r="A21" t="inlineStr">
        <is>
          <t>Q4</t>
        </is>
      </c>
      <c r="B21" t="n">
        <v>9</v>
      </c>
      <c r="C21" s="30" t="n">
        <v>0.1127228412072971</v>
      </c>
      <c r="D21" s="30" t="n">
        <v>0.1081221877623236</v>
      </c>
      <c r="E21" s="30" t="n">
        <v>0.0717715568996562</v>
      </c>
      <c r="F21" s="30" t="n">
        <v>0.08557799326179127</v>
      </c>
      <c r="G21" s="30" t="n">
        <v>0.1666666666666667</v>
      </c>
    </row>
    <row r="22">
      <c r="A22" t="inlineStr">
        <is>
          <t>Q5 Most Expensive</t>
        </is>
      </c>
      <c r="B22" t="n">
        <v>10</v>
      </c>
      <c r="C22" s="30" t="n">
        <v>-0.1071056810587691</v>
      </c>
      <c r="D22" s="30" t="n">
        <v>0.1462377435415317</v>
      </c>
      <c r="E22" s="30" t="n">
        <v>0.09111867819044783</v>
      </c>
      <c r="F22" s="30" t="n">
        <v>0.06625721707288168</v>
      </c>
      <c r="G22" s="30" t="n">
        <v>0.1666666666666667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13469.25</v>
      </c>
      <c r="C2" s="25" t="n">
        <v>35.5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14051.75</v>
      </c>
      <c r="C3" s="25" t="n">
        <v>35.92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14308.9</v>
      </c>
      <c r="C4" s="25" t="n">
        <v>36.44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14425.3</v>
      </c>
      <c r="C5" s="25" t="n">
        <v>37.4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14344.75</v>
      </c>
      <c r="C6" s="25" t="n">
        <v>30.54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14466.5</v>
      </c>
      <c r="C7" s="25" t="n">
        <v>31.04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13879.35</v>
      </c>
      <c r="C8" s="25" t="n">
        <v>29.73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13662.8</v>
      </c>
      <c r="C9" s="25" t="n">
        <v>31.97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14223</v>
      </c>
      <c r="C10" s="25" t="n">
        <v>33.31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13179.9</v>
      </c>
      <c r="C11" s="25" t="n">
        <v>31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12927.6</v>
      </c>
      <c r="C12" s="25" t="n">
        <v>31.41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13584.1</v>
      </c>
      <c r="C13" s="25" t="n">
        <v>33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13462.85</v>
      </c>
      <c r="C14" s="25" t="n">
        <v>32.7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12604.45</v>
      </c>
      <c r="C15" s="25" t="n">
        <v>33.41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12159.35</v>
      </c>
      <c r="C16" s="25" t="n">
        <v>36.76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12776.55</v>
      </c>
      <c r="C17" s="25" t="n">
        <v>38.66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12699.4</v>
      </c>
      <c r="C18" s="25" t="n">
        <v>37.44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12971.9</v>
      </c>
      <c r="C19" s="25" t="n">
        <v>36.55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13212.25</v>
      </c>
      <c r="C20" s="25" t="n">
        <v>37.11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13144.2</v>
      </c>
      <c r="C21" s="25" t="n">
        <v>34.21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12597.6</v>
      </c>
      <c r="C22" s="25" t="n">
        <v>32.74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12360.25</v>
      </c>
      <c r="C23" s="25" t="n">
        <v>31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11747.1</v>
      </c>
      <c r="C24" s="25" t="n">
        <v>30.86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12017.05</v>
      </c>
      <c r="C25" s="25" t="n">
        <v>31.55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12613.95</v>
      </c>
      <c r="C26" s="25" t="n">
        <v>33.09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12678.4</v>
      </c>
      <c r="C27" s="25" t="n">
        <v>27.89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13767.5</v>
      </c>
      <c r="C28" s="25" t="n">
        <v>30.06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14992.15</v>
      </c>
      <c r="C29" s="25" t="n">
        <v>32.34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15095.9</v>
      </c>
      <c r="C30" s="25" t="n">
        <v>31.85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15422.75</v>
      </c>
      <c r="C31" s="25" t="n">
        <v>32.55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14683.65</v>
      </c>
      <c r="C32" s="25" t="n">
        <v>30.37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16238.9</v>
      </c>
      <c r="C33" s="25" t="n">
        <v>32.71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16831.8</v>
      </c>
      <c r="C34" s="25" t="n">
        <v>33.91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17938.65</v>
      </c>
      <c r="C35" s="25" t="n">
        <v>36.05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19003.15</v>
      </c>
      <c r="C36" s="25" t="n">
        <v>36.28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18996.15</v>
      </c>
      <c r="C37" s="25" t="n">
        <v>36.57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18970.6</v>
      </c>
      <c r="C38" s="25" t="n">
        <v>36.57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18796.3</v>
      </c>
      <c r="C39" s="25" t="n">
        <v>34.15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19731.55</v>
      </c>
      <c r="C40" s="25" t="n">
        <v>35.76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21777.15</v>
      </c>
      <c r="C41" s="25" t="n">
        <v>39.27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23217.6</v>
      </c>
      <c r="C42" s="25" t="n">
        <v>38.77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23281.2</v>
      </c>
      <c r="C43" s="25" t="n">
        <v>38.79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22735.55</v>
      </c>
      <c r="C44" s="25" t="n">
        <v>37.34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22240.2</v>
      </c>
      <c r="C45" s="25" t="n">
        <v>35.12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23412.25</v>
      </c>
      <c r="C46" s="25" t="n">
        <v>37.04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21438.6</v>
      </c>
      <c r="C47" s="25" t="n">
        <v>33.31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19813.5</v>
      </c>
      <c r="C48" s="25" t="n">
        <v>29.95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21137.45</v>
      </c>
      <c r="C49" s="25" t="n">
        <v>32.02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21772.45</v>
      </c>
      <c r="C50" s="25" t="n">
        <v>32.82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21442.05</v>
      </c>
      <c r="C51" s="25" t="n">
        <v>30.7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22038.7</v>
      </c>
      <c r="C52" s="25" t="n">
        <v>31.61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22771.05</v>
      </c>
      <c r="C53" s="25" t="n">
        <v>32.34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21804.05</v>
      </c>
      <c r="C54" s="25" t="n">
        <v>31.63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21454.25</v>
      </c>
      <c r="C55" s="25" t="n">
        <v>33.07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22175.4</v>
      </c>
      <c r="C56" s="25" t="n">
        <v>33.94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22998.3</v>
      </c>
      <c r="C57" s="25" t="n">
        <v>34.01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22723.65</v>
      </c>
      <c r="C58" s="25" t="n">
        <v>33.57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21715.1</v>
      </c>
      <c r="C59" s="25" t="n">
        <v>33.1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22952.35</v>
      </c>
      <c r="C60" s="25" t="n">
        <v>34.35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22232.25</v>
      </c>
      <c r="C61" s="25" t="n">
        <v>33.28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23267.7</v>
      </c>
      <c r="C62" s="25" t="n">
        <v>34.83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24345.8</v>
      </c>
      <c r="C63" s="25" t="n">
        <v>37.61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25326.4</v>
      </c>
      <c r="C64" s="25" t="n">
        <v>38.69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26534.8</v>
      </c>
      <c r="C65" s="25" t="n">
        <v>42.93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27186.45</v>
      </c>
      <c r="C66" s="25" t="n">
        <v>42.09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26438</v>
      </c>
      <c r="C67" s="25" t="n">
        <v>40.9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11963.5</v>
      </c>
      <c r="C2" s="25" t="n">
        <v>60.61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10989.15</v>
      </c>
      <c r="C3" s="25" t="n">
        <v>41.53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11142</v>
      </c>
      <c r="C4" s="25" t="n">
        <v>43.05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11461</v>
      </c>
      <c r="C5" s="25" t="n">
        <v>42.96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10267</v>
      </c>
      <c r="C6" s="25" t="n">
        <v>38.14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10411.15</v>
      </c>
      <c r="C7" s="25" t="n">
        <v>37.42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9606.4</v>
      </c>
      <c r="C8" s="25" t="n">
        <v>35.45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9172.6</v>
      </c>
      <c r="C9" s="25" t="n">
        <v>45.1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9620.1</v>
      </c>
      <c r="C10" s="25" t="n">
        <v>47.19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8358.049999999999</v>
      </c>
      <c r="C11" s="25" t="n">
        <v>45.43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9173.15</v>
      </c>
      <c r="C12" s="25" t="n">
        <v>52.24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9972.450000000001</v>
      </c>
      <c r="C13" s="25" t="n">
        <v>49.35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8868.700000000001</v>
      </c>
      <c r="C14" s="25" t="n">
        <v>48.81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9346.549999999999</v>
      </c>
      <c r="C15" s="25" t="n">
        <v>52.73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8065.15</v>
      </c>
      <c r="C16" s="25" t="n">
        <v>38.4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7547.75</v>
      </c>
      <c r="C17" s="25" t="n">
        <v>29.51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8040.15</v>
      </c>
      <c r="C18" s="25" t="n">
        <v>25.8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7176.5</v>
      </c>
      <c r="C19" s="25" t="n">
        <v>22.16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9985.15</v>
      </c>
      <c r="C20" s="25" t="n">
        <v>30.49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11772.85</v>
      </c>
      <c r="C21" s="25" t="n">
        <v>33.72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12915.9</v>
      </c>
      <c r="C22" s="25" t="n">
        <v>38.43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12272.6</v>
      </c>
      <c r="C23" s="25" t="n">
        <v>32.34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14308.9</v>
      </c>
      <c r="C24" s="25" t="n">
        <v>36.44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14466.5</v>
      </c>
      <c r="C25" s="25" t="n">
        <v>31.04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14223</v>
      </c>
      <c r="C26" s="25" t="n">
        <v>33.31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13584.1</v>
      </c>
      <c r="C27" s="25" t="n">
        <v>33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12159.35</v>
      </c>
      <c r="C28" s="25" t="n">
        <v>36.76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12971.9</v>
      </c>
      <c r="C29" s="25" t="n">
        <v>36.55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12597.6</v>
      </c>
      <c r="C30" s="25" t="n">
        <v>32.74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12017.05</v>
      </c>
      <c r="C31" s="25" t="n">
        <v>31.55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13767.5</v>
      </c>
      <c r="C32" s="25" t="n">
        <v>30.06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15422.75</v>
      </c>
      <c r="C33" s="25" t="n">
        <v>32.55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16831.8</v>
      </c>
      <c r="C34" s="25" t="n">
        <v>33.91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18996.15</v>
      </c>
      <c r="C35" s="25" t="n">
        <v>36.57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19731.55</v>
      </c>
      <c r="C36" s="25" t="n">
        <v>35.76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23281.2</v>
      </c>
      <c r="C37" s="25" t="n">
        <v>38.79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23412.25</v>
      </c>
      <c r="C38" s="25" t="n">
        <v>37.04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21137.45</v>
      </c>
      <c r="C39" s="25" t="n">
        <v>32.02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22038.7</v>
      </c>
      <c r="C40" s="25" t="n">
        <v>31.61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21454.25</v>
      </c>
      <c r="C41" s="25" t="n">
        <v>33.07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22723.65</v>
      </c>
      <c r="C42" s="25" t="n">
        <v>33.57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22232.25</v>
      </c>
      <c r="C43" s="25" t="n">
        <v>33.28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25326.4</v>
      </c>
      <c r="C44" s="25" t="n">
        <v>38.69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26438</v>
      </c>
      <c r="C45" s="25" t="n">
        <v>40.9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9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26710.1</v>
      </c>
      <c r="C2" s="25" t="n">
        <v>41.36</v>
      </c>
      <c r="D2" s="26" t="n">
        <v>0.962121212121</v>
      </c>
      <c r="E2" s="26" t="n">
        <v>-0.06310475666569999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27021.15</v>
      </c>
      <c r="C3" s="25" t="n">
        <v>41.84</v>
      </c>
      <c r="D3" s="26" t="n">
        <v>0.962121212121</v>
      </c>
      <c r="E3" s="26" t="n">
        <v>-0.06314879238859999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26909.6</v>
      </c>
      <c r="C4" s="25" t="n">
        <v>41.66</v>
      </c>
      <c r="D4" s="26" t="n">
        <v>0.962121212121</v>
      </c>
      <c r="E4" s="26" t="n">
        <v>-0.06282820079690001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27152.1</v>
      </c>
      <c r="C5" s="25" t="n">
        <v>42.04</v>
      </c>
      <c r="D5" s="26" t="n">
        <v>0.962121212121</v>
      </c>
      <c r="E5" s="26" t="n">
        <v>-0.0630257257036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27028.7</v>
      </c>
      <c r="C6" s="25" t="n">
        <v>41.85</v>
      </c>
      <c r="D6" s="26" t="n">
        <v>0.962121212121</v>
      </c>
      <c r="E6" s="26" t="n">
        <v>-0.0629980656491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27003</v>
      </c>
      <c r="C7" s="25" t="n">
        <v>41.81</v>
      </c>
      <c r="D7" s="26" t="n">
        <v>0.962121212121</v>
      </c>
      <c r="E7" s="26" t="n">
        <v>-0.0628607510583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26761.65</v>
      </c>
      <c r="C8" s="25" t="n">
        <v>41.44</v>
      </c>
      <c r="D8" s="26" t="n">
        <v>0.962121212121</v>
      </c>
      <c r="E8" s="26" t="n">
        <v>-0.0631633766607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26933.65</v>
      </c>
      <c r="C9" s="25" t="n">
        <v>41.7</v>
      </c>
      <c r="D9" s="26" t="n">
        <v>0.962121212121</v>
      </c>
      <c r="E9" s="26" t="n">
        <v>-0.0628321817175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26438</v>
      </c>
      <c r="C10" s="25" t="n">
        <v>40.9</v>
      </c>
      <c r="D10" s="26" t="n">
        <v>0.955223880597</v>
      </c>
      <c r="E10" s="26" t="n">
        <v>-0.00361736934222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26311.55</v>
      </c>
      <c r="C11" s="25" t="n">
        <v>40.7</v>
      </c>
      <c r="D11" s="26" t="n">
        <v>0.94776119403</v>
      </c>
      <c r="E11" s="26" t="n">
        <v>-0.00352327493607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26117.1</v>
      </c>
      <c r="C12" s="25" t="n">
        <v>40.4</v>
      </c>
      <c r="D12" s="26" t="n">
        <v>0.94776119403</v>
      </c>
      <c r="E12" s="26" t="n">
        <v>-0.00369776758246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26549.6</v>
      </c>
      <c r="C13" s="25" t="n">
        <v>41.07</v>
      </c>
      <c r="D13" s="26" t="n">
        <v>0.962686567164</v>
      </c>
      <c r="E13" s="26" t="n">
        <v>-0.00360913709565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26436.55</v>
      </c>
      <c r="C14" s="25" t="n">
        <v>40.9</v>
      </c>
      <c r="D14" s="26" t="n">
        <v>0.955223880597</v>
      </c>
      <c r="E14" s="26" t="n">
        <v>-0.00393838203401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25823.25</v>
      </c>
      <c r="C15" s="25" t="n">
        <v>39.95</v>
      </c>
      <c r="D15" s="26" t="n">
        <v>0.94776119403</v>
      </c>
      <c r="E15" s="26" t="n">
        <v>-0.00364697418992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25962.05</v>
      </c>
      <c r="C16" s="25" t="n">
        <v>40.16</v>
      </c>
      <c r="D16" s="26" t="n">
        <v>0.94776119403</v>
      </c>
      <c r="E16" s="26" t="n">
        <v>-0.00361070817341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26078.85</v>
      </c>
      <c r="C17" s="25" t="n">
        <v>40.34</v>
      </c>
      <c r="D17" s="26" t="n">
        <v>0.94776119403</v>
      </c>
      <c r="E17" s="26" t="n">
        <v>-0.00373138451101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26075</v>
      </c>
      <c r="C18" s="25" t="n">
        <v>40.34</v>
      </c>
      <c r="D18" s="26" t="n">
        <v>0.94776119403</v>
      </c>
      <c r="E18" s="26" t="n">
        <v>-0.00387074467947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25736.95</v>
      </c>
      <c r="C19" s="25" t="n">
        <v>39.81</v>
      </c>
      <c r="D19" s="26" t="n">
        <v>0.94776119403</v>
      </c>
      <c r="E19" s="26" t="n">
        <v>-0.00353135701922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25817.8</v>
      </c>
      <c r="C20" s="25" t="n">
        <v>39.94</v>
      </c>
      <c r="D20" s="26" t="n">
        <v>0.94776119403</v>
      </c>
      <c r="E20" s="26" t="n">
        <v>-0.00359077739712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25781.65</v>
      </c>
      <c r="C21" s="25" t="n">
        <v>39.88</v>
      </c>
      <c r="D21" s="26" t="n">
        <v>0.94776119403</v>
      </c>
      <c r="E21" s="26" t="n">
        <v>-0.0035109314924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25615</v>
      </c>
      <c r="C22" s="25" t="n">
        <v>39.62</v>
      </c>
      <c r="D22" s="26" t="n">
        <v>0.94776119403</v>
      </c>
      <c r="E22" s="26" t="n">
        <v>-0.00351491162902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  <row r="23">
      <c r="A23" s="31" t="n">
        <v>46316</v>
      </c>
      <c r="B23" s="24" t="n">
        <v>25565.9</v>
      </c>
      <c r="C23" s="25" t="n">
        <v>39.55</v>
      </c>
      <c r="D23" s="26" t="n">
        <v>0.94776119403</v>
      </c>
      <c r="E23" s="26" t="n">
        <v>-0.00377228560847</v>
      </c>
      <c r="F23" s="34">
        <f>IF(D23="","",100*(1-D23))</f>
        <v/>
      </c>
      <c r="G23" s="34">
        <f>IF(E23="","",IF(E23&lt;=0,20,IF(E23&lt;5%,20+400*E23,IF(E23&lt;10%,40+400*(E23-5%),IF(E23&lt;15%,60+400*(E23-10%),IF(E23&lt;25%,80+200*(E23-15%),100))))))</f>
        <v/>
      </c>
      <c r="H23" s="34">
        <f>IF(OR(F23="",G23=""),"",70%*F23+30%*G23)</f>
        <v/>
      </c>
      <c r="I23">
        <f>IF(H23="","",IF(H23&gt;=70,"BUY",IF(H23&gt;=40,"HOLD","SELL")))</f>
        <v/>
      </c>
    </row>
    <row r="24">
      <c r="A24" s="31" t="n">
        <v>46317</v>
      </c>
      <c r="B24" s="24" t="n">
        <v>25596.65</v>
      </c>
      <c r="C24" s="25" t="n">
        <v>39.6</v>
      </c>
      <c r="D24" s="26" t="n">
        <v>0.94776119403</v>
      </c>
      <c r="E24" s="26" t="n">
        <v>-0.00383342500898</v>
      </c>
      <c r="F24" s="34">
        <f>IF(D24="","",100*(1-D24))</f>
        <v/>
      </c>
      <c r="G24" s="34">
        <f>IF(E24="","",IF(E24&lt;=0,20,IF(E24&lt;5%,20+400*E24,IF(E24&lt;10%,40+400*(E24-5%),IF(E24&lt;15%,60+400*(E24-10%),IF(E24&lt;25%,80+200*(E24-15%),100))))))</f>
        <v/>
      </c>
      <c r="H24" s="34">
        <f>IF(OR(F24="",G24=""),"",70%*F24+30%*G24)</f>
        <v/>
      </c>
      <c r="I24">
        <f>IF(H24="","",IF(H24&gt;=70,"BUY",IF(H24&gt;=40,"HOLD","SELL")))</f>
        <v/>
      </c>
    </row>
    <row r="25">
      <c r="A25" s="31" t="n">
        <v>46318</v>
      </c>
      <c r="B25" s="24" t="n">
        <v>25329.45</v>
      </c>
      <c r="C25" s="25" t="n">
        <v>39.18</v>
      </c>
      <c r="D25" s="26" t="n">
        <v>0.932835820896</v>
      </c>
      <c r="E25" s="26" t="n">
        <v>-0.00357615521868</v>
      </c>
      <c r="F25" s="34">
        <f>IF(D25="","",100*(1-D25))</f>
        <v/>
      </c>
      <c r="G25" s="34">
        <f>IF(E25="","",IF(E25&lt;=0,20,IF(E25&lt;5%,20+400*E25,IF(E25&lt;10%,40+400*(E25-5%),IF(E25&lt;15%,60+400*(E25-10%),IF(E25&lt;25%,80+200*(E25-15%),100))))))</f>
        <v/>
      </c>
      <c r="H25" s="34">
        <f>IF(OR(F25="",G25=""),"",70%*F25+30%*G25)</f>
        <v/>
      </c>
      <c r="I25">
        <f>IF(H25="","",IF(H25&gt;=70,"BUY",IF(H25&gt;=40,"HOLD","SELL")))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7" customWidth="1" min="2" max="2"/>
    <col width="12" customWidth="1" min="3" max="3"/>
    <col width="19" customWidth="1" min="4" max="4"/>
    <col width="15" customWidth="1" min="5" max="5"/>
  </cols>
  <sheetData>
    <row r="1">
      <c r="A1" s="35" t="inlineStr">
        <is>
          <t>NIFTY Pharma Composition</t>
        </is>
      </c>
    </row>
    <row r="2">
      <c r="A2" s="2" t="inlineStr">
        <is>
          <t>As of</t>
        </is>
      </c>
      <c r="B2" s="4" t="inlineStr">
        <is>
          <t>Retrieved 2026-10-23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Abbott India Ltd.</t>
        </is>
      </c>
      <c r="C6" t="inlineStr">
        <is>
          <t>ABBOTINDIA</t>
        </is>
      </c>
      <c r="D6" t="inlineStr">
        <is>
          <t>Healthcare</t>
        </is>
      </c>
    </row>
    <row r="7">
      <c r="A7" t="n">
        <v>2</v>
      </c>
      <c r="B7" t="inlineStr">
        <is>
          <t>Ajanta Pharmaceuticals Ltd.</t>
        </is>
      </c>
      <c r="C7" t="inlineStr">
        <is>
          <t>AJANTPHARM</t>
        </is>
      </c>
      <c r="D7" t="inlineStr">
        <is>
          <t>Healthcare</t>
        </is>
      </c>
    </row>
    <row r="8">
      <c r="A8" t="n">
        <v>3</v>
      </c>
      <c r="B8" t="inlineStr">
        <is>
          <t>Alkem Laboratories Ltd.</t>
        </is>
      </c>
      <c r="C8" t="inlineStr">
        <is>
          <t>ALKEM</t>
        </is>
      </c>
      <c r="D8" t="inlineStr">
        <is>
          <t>Healthcare</t>
        </is>
      </c>
    </row>
    <row r="9">
      <c r="A9" t="n">
        <v>4</v>
      </c>
      <c r="B9" t="inlineStr">
        <is>
          <t>Aurobindo Pharma Ltd.</t>
        </is>
      </c>
      <c r="C9" t="inlineStr">
        <is>
          <t>AUROPHARMA</t>
        </is>
      </c>
      <c r="D9" t="inlineStr">
        <is>
          <t>Healthcare</t>
        </is>
      </c>
    </row>
    <row r="10">
      <c r="A10" t="n">
        <v>5</v>
      </c>
      <c r="B10" t="inlineStr">
        <is>
          <t>Biocon Ltd.</t>
        </is>
      </c>
      <c r="C10" t="inlineStr">
        <is>
          <t>BIOCON</t>
        </is>
      </c>
      <c r="D10" t="inlineStr">
        <is>
          <t>Healthcare</t>
        </is>
      </c>
    </row>
    <row r="11">
      <c r="A11" t="n">
        <v>6</v>
      </c>
      <c r="B11" t="inlineStr">
        <is>
          <t>Cipla Ltd.</t>
        </is>
      </c>
      <c r="C11" t="inlineStr">
        <is>
          <t>CIPLA</t>
        </is>
      </c>
      <c r="D11" t="inlineStr">
        <is>
          <t>Healthcare</t>
        </is>
      </c>
    </row>
    <row r="12">
      <c r="A12" t="n">
        <v>7</v>
      </c>
      <c r="B12" t="inlineStr">
        <is>
          <t>Divi's Laboratories Ltd.</t>
        </is>
      </c>
      <c r="C12" t="inlineStr">
        <is>
          <t>DIVISLAB</t>
        </is>
      </c>
      <c r="D12" t="inlineStr">
        <is>
          <t>Healthcare</t>
        </is>
      </c>
    </row>
    <row r="13">
      <c r="A13" t="n">
        <v>8</v>
      </c>
      <c r="B13" t="inlineStr">
        <is>
          <t>Dr. Reddy's Laboratories Ltd.</t>
        </is>
      </c>
      <c r="C13" t="inlineStr">
        <is>
          <t>DRREDDY</t>
        </is>
      </c>
      <c r="D13" t="inlineStr">
        <is>
          <t>Healthcare</t>
        </is>
      </c>
    </row>
    <row r="14">
      <c r="A14" t="n">
        <v>9</v>
      </c>
      <c r="B14" t="inlineStr">
        <is>
          <t>Gland Pharma Ltd.</t>
        </is>
      </c>
      <c r="C14" t="inlineStr">
        <is>
          <t>GLAND</t>
        </is>
      </c>
      <c r="D14" t="inlineStr">
        <is>
          <t>Healthcare</t>
        </is>
      </c>
    </row>
    <row r="15">
      <c r="A15" t="n">
        <v>10</v>
      </c>
      <c r="B15" t="inlineStr">
        <is>
          <t>Glenmark Pharmaceuticals Ltd.</t>
        </is>
      </c>
      <c r="C15" t="inlineStr">
        <is>
          <t>GLENMARK</t>
        </is>
      </c>
      <c r="D15" t="inlineStr">
        <is>
          <t>Healthcare</t>
        </is>
      </c>
    </row>
    <row r="16">
      <c r="A16" t="n">
        <v>11</v>
      </c>
      <c r="B16" t="inlineStr">
        <is>
          <t>Ipca Laboratories Ltd.</t>
        </is>
      </c>
      <c r="C16" t="inlineStr">
        <is>
          <t>IPCALAB</t>
        </is>
      </c>
      <c r="D16" t="inlineStr">
        <is>
          <t>Healthcare</t>
        </is>
      </c>
    </row>
    <row r="17">
      <c r="A17" t="n">
        <v>12</v>
      </c>
      <c r="B17" t="inlineStr">
        <is>
          <t>Laurus Labs Ltd.</t>
        </is>
      </c>
      <c r="C17" t="inlineStr">
        <is>
          <t>LAURUSLABS</t>
        </is>
      </c>
      <c r="D17" t="inlineStr">
        <is>
          <t>Healthcare</t>
        </is>
      </c>
    </row>
    <row r="18">
      <c r="A18" t="n">
        <v>13</v>
      </c>
      <c r="B18" t="inlineStr">
        <is>
          <t>Lupin Ltd.</t>
        </is>
      </c>
      <c r="C18" t="inlineStr">
        <is>
          <t>LUPIN</t>
        </is>
      </c>
      <c r="D18" t="inlineStr">
        <is>
          <t>Healthcare</t>
        </is>
      </c>
    </row>
    <row r="19">
      <c r="A19" t="n">
        <v>14</v>
      </c>
      <c r="B19" t="inlineStr">
        <is>
          <t>Mankind Pharma Ltd.</t>
        </is>
      </c>
      <c r="C19" t="inlineStr">
        <is>
          <t>MANKIND</t>
        </is>
      </c>
      <c r="D19" t="inlineStr">
        <is>
          <t>Healthcare</t>
        </is>
      </c>
    </row>
    <row r="20">
      <c r="A20" t="n">
        <v>15</v>
      </c>
      <c r="B20" t="inlineStr">
        <is>
          <t>Piramal Pharma Ltd.</t>
        </is>
      </c>
      <c r="C20" t="inlineStr">
        <is>
          <t>PPLPHARMA</t>
        </is>
      </c>
      <c r="D20" t="inlineStr">
        <is>
          <t>Healthcare</t>
        </is>
      </c>
    </row>
    <row r="21">
      <c r="A21" t="n">
        <v>16</v>
      </c>
      <c r="B21" t="inlineStr">
        <is>
          <t>Sai Life Sciences Ltd.</t>
        </is>
      </c>
      <c r="C21" t="inlineStr">
        <is>
          <t>SAILIFE</t>
        </is>
      </c>
      <c r="D21" t="inlineStr">
        <is>
          <t>Healthcare</t>
        </is>
      </c>
    </row>
    <row r="22">
      <c r="A22" t="n">
        <v>17</v>
      </c>
      <c r="B22" t="inlineStr">
        <is>
          <t>Sun Pharmaceutical Industries Ltd.</t>
        </is>
      </c>
      <c r="C22" t="inlineStr">
        <is>
          <t>SUNPHARMA</t>
        </is>
      </c>
      <c r="D22" t="inlineStr">
        <is>
          <t>Healthcare</t>
        </is>
      </c>
    </row>
    <row r="23">
      <c r="A23" t="n">
        <v>18</v>
      </c>
      <c r="B23" t="inlineStr">
        <is>
          <t>Torrent Pharmaceuticals Ltd.</t>
        </is>
      </c>
      <c r="C23" t="inlineStr">
        <is>
          <t>TORNTPHARM</t>
        </is>
      </c>
      <c r="D23" t="inlineStr">
        <is>
          <t>Healthcare</t>
        </is>
      </c>
    </row>
    <row r="24">
      <c r="A24" t="n">
        <v>19</v>
      </c>
      <c r="B24" t="inlineStr">
        <is>
          <t>Wockhardt Ltd.</t>
        </is>
      </c>
      <c r="C24" t="inlineStr">
        <is>
          <t>WOCKPHARMA</t>
        </is>
      </c>
      <c r="D24" t="inlineStr">
        <is>
          <t>Healthcare</t>
        </is>
      </c>
    </row>
    <row r="25">
      <c r="A25" t="n">
        <v>20</v>
      </c>
      <c r="B25" t="inlineStr">
        <is>
          <t>Zydus Lifesciences Ltd.</t>
        </is>
      </c>
      <c r="C25" t="inlineStr">
        <is>
          <t>ZYDUSLIFE</t>
        </is>
      </c>
      <c r="D2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2026-10-23T17:27:48Z</dcterms:created>
  <dcterms:modified xsi:type="dcterms:W3CDTF">2026-10-23T17:28:15Z</dcterms:modified>
</cp:coreProperties>
</file>