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_quality_lowvol3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Quality Low-Volatility 30 Valuation Tracker</t>
        </is>
      </c>
    </row>
    <row r="2">
      <c r="A2" s="2" t="inlineStr">
        <is>
          <t>As of</t>
        </is>
      </c>
      <c r="B2" s="23" t="n">
        <v>46324</v>
      </c>
      <c r="D2" s="2" t="inlineStr">
        <is>
          <t>Group</t>
        </is>
      </c>
      <c r="E2" s="4" t="inlineStr">
        <is>
          <t>Strategy / Thematic / Other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15737.7</v>
      </c>
      <c r="D5" s="2" t="inlineStr">
        <is>
          <t>P/E</t>
        </is>
      </c>
      <c r="E5" s="25" t="n">
        <v>25.39</v>
      </c>
    </row>
    <row r="6">
      <c r="A6" s="2" t="inlineStr">
        <is>
          <t>P/E percentile</t>
        </is>
      </c>
      <c r="B6" s="26" t="n">
        <v>0.02238805970149254</v>
      </c>
      <c r="D6" s="2" t="inlineStr">
        <is>
          <t>Implied EPS</t>
        </is>
      </c>
      <c r="E6" s="27" t="n">
        <v>619.8385191020087</v>
      </c>
    </row>
    <row r="7">
      <c r="A7" s="2" t="inlineStr">
        <is>
          <t>YoY implied EPS growth</t>
        </is>
      </c>
      <c r="B7" s="26" t="n">
        <v>0.07700180487955999</v>
      </c>
      <c r="D7" s="2" t="inlineStr">
        <is>
          <t>Earnings yield</t>
        </is>
      </c>
      <c r="E7" s="10" t="n">
        <v>0.03938558487593541</v>
      </c>
    </row>
    <row r="8">
      <c r="A8" s="2" t="inlineStr">
        <is>
          <t>Valuation score</t>
        </is>
      </c>
      <c r="B8" s="28" t="n">
        <v>97.76119402985076</v>
      </c>
      <c r="D8" s="2" t="inlineStr">
        <is>
          <t>Growth score</t>
        </is>
      </c>
      <c r="E8" s="28" t="n">
        <v>50.80072195182399</v>
      </c>
    </row>
    <row r="9">
      <c r="A9" s="2" t="inlineStr">
        <is>
          <t>Composite score</t>
        </is>
      </c>
      <c r="B9" s="28" t="n">
        <v>83.67305240644272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27.32648247194716</v>
      </c>
      <c r="C13" s="15" t="n">
        <v>16938.00642767873</v>
      </c>
      <c r="D13" s="30" t="n">
        <v>0.07626949475963607</v>
      </c>
    </row>
    <row r="14">
      <c r="A14" t="inlineStr">
        <is>
          <t>HOLD → SELL</t>
        </is>
      </c>
      <c r="B14" s="29" t="n">
        <v>30.32550613520873</v>
      </c>
      <c r="C14" s="15" t="n">
        <v>18796.91681386666</v>
      </c>
      <c r="D14" s="30" t="n">
        <v>0.1943877957939635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6</v>
      </c>
      <c r="C18" s="30" t="n">
        <v>0.4447103024759749</v>
      </c>
      <c r="D18" s="30" t="n">
        <v>0.1929978842347428</v>
      </c>
      <c r="E18" s="30" t="n">
        <v>0.1756021960056992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0.1581639085342745</v>
      </c>
      <c r="D19" s="30" t="n">
        <v>0.1094395361079238</v>
      </c>
      <c r="E19" s="30" t="n">
        <v>0.1625827469477039</v>
      </c>
      <c r="F19" s="30" t="n"/>
      <c r="G19" s="30" t="n">
        <v>0</v>
      </c>
    </row>
    <row r="20">
      <c r="A20" t="inlineStr">
        <is>
          <t>Q3</t>
        </is>
      </c>
      <c r="B20" t="n">
        <v>7</v>
      </c>
      <c r="C20" s="30" t="n">
        <v>0.001136921780042488</v>
      </c>
      <c r="D20" s="30" t="n">
        <v>0.1225292879988205</v>
      </c>
      <c r="E20" s="30" t="n">
        <v>0.1419425266366132</v>
      </c>
      <c r="F20" s="30" t="n"/>
      <c r="G20" s="30" t="n">
        <v>0</v>
      </c>
    </row>
    <row r="21">
      <c r="A21" t="inlineStr">
        <is>
          <t>Q4</t>
        </is>
      </c>
      <c r="B21" t="n">
        <v>8</v>
      </c>
      <c r="C21" s="30" t="n">
        <v>0.008249651292456139</v>
      </c>
      <c r="D21" s="30" t="n">
        <v>0.1298512893060413</v>
      </c>
      <c r="E21" s="30" t="n">
        <v>0.1130496130561056</v>
      </c>
      <c r="F21" s="30" t="n"/>
      <c r="G21" s="30" t="n">
        <v>0</v>
      </c>
    </row>
    <row r="22">
      <c r="A22" t="inlineStr">
        <is>
          <t>Q5 Most Expensive</t>
        </is>
      </c>
      <c r="B22" t="n">
        <v>8</v>
      </c>
      <c r="C22" s="30" t="n">
        <v>0.02482362700612761</v>
      </c>
      <c r="D22" s="30" t="n">
        <v>0.1490610315986575</v>
      </c>
      <c r="E22" s="30" t="n">
        <v>0.08302533146912017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37</v>
      </c>
    </row>
    <row r="27">
      <c r="A27" s="2" t="inlineStr">
        <is>
          <t>Backtest start</t>
        </is>
      </c>
      <c r="B27" t="inlineStr">
        <is>
          <t>2017-09-30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10386.65</v>
      </c>
      <c r="C2" s="25" t="n">
        <v>31.04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11200.79</v>
      </c>
      <c r="C3" s="25" t="n">
        <v>32.34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11435.85</v>
      </c>
      <c r="C4" s="25" t="n">
        <v>32.51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11582.44</v>
      </c>
      <c r="C5" s="25" t="n">
        <v>32.11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12414.31</v>
      </c>
      <c r="C6" s="25" t="n">
        <v>33.06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12707.26</v>
      </c>
      <c r="C7" s="25" t="n">
        <v>33.85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12367.46</v>
      </c>
      <c r="C8" s="25" t="n">
        <v>32.18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12085.28</v>
      </c>
      <c r="C9" s="25" t="n">
        <v>31.76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12550.62</v>
      </c>
      <c r="C10" s="25" t="n">
        <v>29.87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12099.08</v>
      </c>
      <c r="C11" s="25" t="n">
        <v>28.79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11825.49</v>
      </c>
      <c r="C12" s="25" t="n">
        <v>28.04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12028.61</v>
      </c>
      <c r="C13" s="25" t="n">
        <v>28.51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12014.72</v>
      </c>
      <c r="C14" s="25" t="n">
        <v>28.21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11822.15</v>
      </c>
      <c r="C15" s="25" t="n">
        <v>27.44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11202.56</v>
      </c>
      <c r="C16" s="25" t="n">
        <v>27.18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12278.03</v>
      </c>
      <c r="C17" s="25" t="n">
        <v>29.97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12509.07</v>
      </c>
      <c r="C18" s="25" t="n">
        <v>29.33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12232.22</v>
      </c>
      <c r="C19" s="25" t="n">
        <v>28.66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12393.37</v>
      </c>
      <c r="C20" s="25" t="n">
        <v>29.19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12810.51</v>
      </c>
      <c r="C21" s="25" t="n">
        <v>29.76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12361.73</v>
      </c>
      <c r="C22" s="25" t="n">
        <v>27.44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12203.66</v>
      </c>
      <c r="C23" s="25" t="n">
        <v>26.82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11946.16</v>
      </c>
      <c r="C24" s="25" t="n">
        <v>25.76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12019.96</v>
      </c>
      <c r="C25" s="25" t="n">
        <v>25.91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12507.08</v>
      </c>
      <c r="C26" s="25" t="n">
        <v>26.71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13013.84</v>
      </c>
      <c r="C27" s="25" t="n">
        <v>27.85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13440.23</v>
      </c>
      <c r="C28" s="25" t="n">
        <v>27.08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13846.23</v>
      </c>
      <c r="C29" s="25" t="n">
        <v>27.74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13655.84</v>
      </c>
      <c r="C30" s="25" t="n">
        <v>27.06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13940</v>
      </c>
      <c r="C31" s="25" t="n">
        <v>27.56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13741.47</v>
      </c>
      <c r="C32" s="25" t="n">
        <v>26.59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14619.85</v>
      </c>
      <c r="C33" s="25" t="n">
        <v>27.64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15663.41</v>
      </c>
      <c r="C34" s="25" t="n">
        <v>31.02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15694.74</v>
      </c>
      <c r="C35" s="25" t="n">
        <v>30.5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16078.71</v>
      </c>
      <c r="C36" s="25" t="n">
        <v>30.72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16202.79</v>
      </c>
      <c r="C37" s="25" t="n">
        <v>30.96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16092.85</v>
      </c>
      <c r="C38" s="25" t="n">
        <v>30.26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16232.94</v>
      </c>
      <c r="C39" s="25" t="n">
        <v>29.5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17190.01</v>
      </c>
      <c r="C40" s="25" t="n">
        <v>34.19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18361.79</v>
      </c>
      <c r="C41" s="25" t="n">
        <v>35.81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18714.14</v>
      </c>
      <c r="C42" s="25" t="n">
        <v>35.81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19389.59</v>
      </c>
      <c r="C43" s="25" t="n">
        <v>37.12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17519.91</v>
      </c>
      <c r="C44" s="25" t="n">
        <v>33.38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17252.74</v>
      </c>
      <c r="C45" s="25" t="n">
        <v>33.2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16868.65</v>
      </c>
      <c r="C46" s="25" t="n">
        <v>30.95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16910.1</v>
      </c>
      <c r="C47" s="25" t="n">
        <v>30.71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15493.7</v>
      </c>
      <c r="C48" s="25" t="n">
        <v>28.15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16205.05</v>
      </c>
      <c r="C49" s="25" t="n">
        <v>29.44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16871.85</v>
      </c>
      <c r="C50" s="25" t="n">
        <v>30.57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16948.05</v>
      </c>
      <c r="C51" s="25" t="n">
        <v>30.44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17227.65</v>
      </c>
      <c r="C52" s="25" t="n">
        <v>30.01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16914.75</v>
      </c>
      <c r="C53" s="25" t="n">
        <v>29.58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17138.95</v>
      </c>
      <c r="C54" s="25" t="n">
        <v>29.82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16974.3</v>
      </c>
      <c r="C55" s="25" t="n">
        <v>29.54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17384.8</v>
      </c>
      <c r="C56" s="25" t="n">
        <v>30.36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17715.85</v>
      </c>
      <c r="C57" s="25" t="n">
        <v>30.63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17655.85</v>
      </c>
      <c r="C58" s="25" t="n">
        <v>28.93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17010.55</v>
      </c>
      <c r="C59" s="25" t="n">
        <v>28.14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16860.9</v>
      </c>
      <c r="C60" s="25" t="n">
        <v>27.82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15088.65</v>
      </c>
      <c r="C61" s="25" t="n">
        <v>24.9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16310.4</v>
      </c>
      <c r="C62" s="25" t="n">
        <v>26.46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16093.2</v>
      </c>
      <c r="C63" s="25" t="n">
        <v>26.13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16152.4</v>
      </c>
      <c r="C64" s="25" t="n">
        <v>26.39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16963.85</v>
      </c>
      <c r="C65" s="25" t="n">
        <v>27.64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16734.05</v>
      </c>
      <c r="C66" s="25" t="n">
        <v>27.26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15669.6</v>
      </c>
      <c r="C67" s="25" t="n">
        <v>25.51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43008</v>
      </c>
      <c r="B2" s="24" t="n">
        <v>7308.02</v>
      </c>
      <c r="C2" s="25" t="n">
        <v>26.91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IF(C2="","",(COUNTIFS($D$2:$D$38,D2,$C$2:$C$38,"&gt;0",$C$2:$C$38,"&lt;"&amp;C2)+(COUNTIFS($D$2:$D$38,D2,$C$2:$C$38,C2)+1)/2)/COUNTIFS($D$2:$D$38,D2,$C$2:$C$38,"&gt;0"))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 t="n"/>
    </row>
    <row r="3">
      <c r="A3" s="31" t="n">
        <v>43100</v>
      </c>
      <c r="B3" s="24" t="n">
        <v>7987.76</v>
      </c>
      <c r="C3" s="25" t="n">
        <v>30.19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IF(C3="","",(COUNTIFS($D$2:$D$38,D3,$C$2:$C$38,"&gt;0",$C$2:$C$38,"&lt;"&amp;C3)+(COUNTIFS($D$2:$D$38,D3,$C$2:$C$38,C3)+1)/2)/COUNTIFS($D$2:$D$38,D3,$C$2:$C$38,"&gt;0"))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 t="n"/>
    </row>
    <row r="4">
      <c r="A4" s="31" t="n">
        <v>43190</v>
      </c>
      <c r="B4" s="24" t="n">
        <v>7789.54</v>
      </c>
      <c r="C4" s="25" t="n">
        <v>28.82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IF(C4="","",(COUNTIFS($D$2:$D$38,D4,$C$2:$C$38,"&gt;0",$C$2:$C$38,"&lt;"&amp;C4)+(COUNTIFS($D$2:$D$38,D4,$C$2:$C$38,C4)+1)/2)/COUNTIFS($D$2:$D$38,D4,$C$2:$C$38,"&gt;0"))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43281</v>
      </c>
      <c r="B5" s="24" t="n">
        <v>8250.309999999999</v>
      </c>
      <c r="C5" s="25" t="n">
        <v>28.89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IF(C5="","",(COUNTIFS($D$2:$D$38,D5,$C$2:$C$38,"&gt;0",$C$2:$C$38,"&lt;"&amp;C5)+(COUNTIFS($D$2:$D$38,D5,$C$2:$C$38,C5)+1)/2)/COUNTIFS($D$2:$D$38,D5,$C$2:$C$38,"&gt;0"))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43373</v>
      </c>
      <c r="B6" s="24" t="n">
        <v>8160</v>
      </c>
      <c r="C6" s="25" t="n">
        <v>29.83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IF(C6="","",(COUNTIFS($D$2:$D$38,D6,$C$2:$C$38,"&gt;0",$C$2:$C$38,"&lt;"&amp;C6)+(COUNTIFS($D$2:$D$38,D6,$C$2:$C$38,C6)+1)/2)/COUNTIFS($D$2:$D$38,D6,$C$2:$C$38,"&gt;0"))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43465</v>
      </c>
      <c r="B7" s="24" t="n">
        <v>8366.84</v>
      </c>
      <c r="C7" s="25" t="n">
        <v>29.71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IF(C7="","",(COUNTIFS($D$2:$D$38,D7,$C$2:$C$38,"&gt;0",$C$2:$C$38,"&lt;"&amp;C7)+(COUNTIFS($D$2:$D$38,D7,$C$2:$C$38,C7)+1)/2)/COUNTIFS($D$2:$D$38,D7,$C$2:$C$38,"&gt;0"))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43555</v>
      </c>
      <c r="B8" s="24" t="n">
        <v>8343.889999999999</v>
      </c>
      <c r="C8" s="25" t="n">
        <v>28.32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IF(C8="","",(COUNTIFS($D$2:$D$38,D8,$C$2:$C$38,"&gt;0",$C$2:$C$38,"&lt;"&amp;C8)+(COUNTIFS($D$2:$D$38,D8,$C$2:$C$38,C8)+1)/2)/COUNTIFS($D$2:$D$38,D8,$C$2:$C$38,"&gt;0"))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43646</v>
      </c>
      <c r="B9" s="24" t="n">
        <v>8093.88</v>
      </c>
      <c r="C9" s="25" t="n">
        <v>27.89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IF(C9="","",(COUNTIFS($D$2:$D$38,D9,$C$2:$C$38,"&gt;0",$C$2:$C$38,"&lt;"&amp;C9)+(COUNTIFS($D$2:$D$38,D9,$C$2:$C$38,C9)+1)/2)/COUNTIFS($D$2:$D$38,D9,$C$2:$C$38,"&gt;0"))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43738</v>
      </c>
      <c r="B10" s="24" t="n">
        <v>8370.26</v>
      </c>
      <c r="C10" s="25" t="n">
        <v>27.95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IF(C10="","",(COUNTIFS($D$2:$D$38,D10,$C$2:$C$38,"&gt;0",$C$2:$C$38,"&lt;"&amp;C10)+(COUNTIFS($D$2:$D$38,D10,$C$2:$C$38,C10)+1)/2)/COUNTIFS($D$2:$D$38,D10,$C$2:$C$38,"&gt;0"))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43830</v>
      </c>
      <c r="B11" s="24" t="n">
        <v>8503.719999999999</v>
      </c>
      <c r="C11" s="25" t="n">
        <v>28.02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IF(C11="","",(COUNTIFS($D$2:$D$38,D11,$C$2:$C$38,"&gt;0",$C$2:$C$38,"&lt;"&amp;C11)+(COUNTIFS($D$2:$D$38,D11,$C$2:$C$38,C11)+1)/2)/COUNTIFS($D$2:$D$38,D11,$C$2:$C$38,"&gt;0"))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43921</v>
      </c>
      <c r="B12" s="24" t="n">
        <v>6996.31</v>
      </c>
      <c r="C12" s="25" t="n">
        <v>23.38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IF(C12="","",(COUNTIFS($D$2:$D$38,D12,$C$2:$C$38,"&gt;0",$C$2:$C$38,"&lt;"&amp;C12)+(COUNTIFS($D$2:$D$38,D12,$C$2:$C$38,C12)+1)/2)/COUNTIFS($D$2:$D$38,D12,$C$2:$C$38,"&gt;0"))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44012</v>
      </c>
      <c r="B13" s="24" t="n">
        <v>7915.67</v>
      </c>
      <c r="C13" s="25" t="n">
        <v>25.41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IF(C13="","",(COUNTIFS($D$2:$D$38,D13,$C$2:$C$38,"&gt;0",$C$2:$C$38,"&lt;"&amp;C13)+(COUNTIFS($D$2:$D$38,D13,$C$2:$C$38,C13)+1)/2)/COUNTIFS($D$2:$D$38,D13,$C$2:$C$38,"&gt;0"))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44104</v>
      </c>
      <c r="B14" s="24" t="n">
        <v>8805.77</v>
      </c>
      <c r="C14" s="25" t="n">
        <v>30.04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IF(C14="","",(COUNTIFS($D$2:$D$38,D14,$C$2:$C$38,"&gt;0",$C$2:$C$38,"&lt;"&amp;C14)+(COUNTIFS($D$2:$D$38,D14,$C$2:$C$38,C14)+1)/2)/COUNTIFS($D$2:$D$38,D14,$C$2:$C$38,"&gt;0"))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44196</v>
      </c>
      <c r="B15" s="24" t="n">
        <v>10383.63</v>
      </c>
      <c r="C15" s="25" t="n">
        <v>35.62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IF(C15="","",(COUNTIFS($D$2:$D$38,D15,$C$2:$C$38,"&gt;0",$C$2:$C$38,"&lt;"&amp;C15)+(COUNTIFS($D$2:$D$38,D15,$C$2:$C$38,C15)+1)/2)/COUNTIFS($D$2:$D$38,D15,$C$2:$C$38,"&gt;0"))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44286</v>
      </c>
      <c r="B16" s="24" t="n">
        <v>10520.69</v>
      </c>
      <c r="C16" s="25" t="n">
        <v>31.58</v>
      </c>
      <c r="D16" s="2" t="inlineStr">
        <is>
          <t>Consolidated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IF(C16="","",(COUNTIFS($D$2:$D$38,D16,$C$2:$C$38,"&gt;0",$C$2:$C$38,"&lt;"&amp;C16)+(COUNTIFS($D$2:$D$38,D16,$C$2:$C$38,C16)+1)/2)/COUNTIFS($D$2:$D$38,D16,$C$2:$C$38,"&gt;0"))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44377</v>
      </c>
      <c r="B17" s="24" t="n">
        <v>11435.85</v>
      </c>
      <c r="C17" s="25" t="n">
        <v>32.51</v>
      </c>
      <c r="D17" s="2" t="inlineStr">
        <is>
          <t>Consolidated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IF(C17="","",(COUNTIFS($D$2:$D$38,D17,$C$2:$C$38,"&gt;0",$C$2:$C$38,"&lt;"&amp;C17)+(COUNTIFS($D$2:$D$38,D17,$C$2:$C$38,C17)+1)/2)/COUNTIFS($D$2:$D$38,D17,$C$2:$C$38,"&gt;0"))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44469</v>
      </c>
      <c r="B18" s="24" t="n">
        <v>12707.26</v>
      </c>
      <c r="C18" s="25" t="n">
        <v>33.85</v>
      </c>
      <c r="D18" s="2" t="inlineStr">
        <is>
          <t>Consolidated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IF(C18="","",(COUNTIFS($D$2:$D$38,D18,$C$2:$C$38,"&gt;0",$C$2:$C$38,"&lt;"&amp;C18)+(COUNTIFS($D$2:$D$38,D18,$C$2:$C$38,C18)+1)/2)/COUNTIFS($D$2:$D$38,D18,$C$2:$C$38,"&gt;0"))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44561</v>
      </c>
      <c r="B19" s="24" t="n">
        <v>12550.62</v>
      </c>
      <c r="C19" s="25" t="n">
        <v>29.87</v>
      </c>
      <c r="D19" s="2" t="inlineStr">
        <is>
          <t>Consolidated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IF(C19="","",(COUNTIFS($D$2:$D$38,D19,$C$2:$C$38,"&gt;0",$C$2:$C$38,"&lt;"&amp;C19)+(COUNTIFS($D$2:$D$38,D19,$C$2:$C$38,C19)+1)/2)/COUNTIFS($D$2:$D$38,D19,$C$2:$C$38,"&gt;0"))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 t="n"/>
      <c r="L19" s="30" t="n"/>
    </row>
    <row r="20">
      <c r="A20" s="31" t="n">
        <v>44651</v>
      </c>
      <c r="B20" s="24" t="n">
        <v>12028.61</v>
      </c>
      <c r="C20" s="25" t="n">
        <v>28.51</v>
      </c>
      <c r="D20" s="2" t="inlineStr">
        <is>
          <t>Consolidated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IF(C20="","",(COUNTIFS($D$2:$D$38,D20,$C$2:$C$38,"&gt;0",$C$2:$C$38,"&lt;"&amp;C20)+(COUNTIFS($D$2:$D$38,D20,$C$2:$C$38,C20)+1)/2)/COUNTIFS($D$2:$D$38,D20,$C$2:$C$38,"&gt;0"))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 t="n"/>
      <c r="L20" s="30" t="n"/>
    </row>
    <row r="21">
      <c r="A21" s="31" t="n">
        <v>44742</v>
      </c>
      <c r="B21" s="24" t="n">
        <v>11202.56</v>
      </c>
      <c r="C21" s="25" t="n">
        <v>27.18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IF(C21="","",(COUNTIFS($D$2:$D$38,D21,$C$2:$C$38,"&gt;0",$C$2:$C$38,"&lt;"&amp;C21)+(COUNTIFS($D$2:$D$38,D21,$C$2:$C$38,C21)+1)/2)/COUNTIFS($D$2:$D$38,D21,$C$2:$C$38,"&gt;0"))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 t="n"/>
      <c r="L21" s="30" t="n"/>
    </row>
    <row r="22">
      <c r="A22" s="31" t="n">
        <v>44834</v>
      </c>
      <c r="B22" s="24" t="n">
        <v>12232.22</v>
      </c>
      <c r="C22" s="25" t="n">
        <v>28.66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IF(C22="","",(COUNTIFS($D$2:$D$38,D22,$C$2:$C$38,"&gt;0",$C$2:$C$38,"&lt;"&amp;C22)+(COUNTIFS($D$2:$D$38,D22,$C$2:$C$38,C22)+1)/2)/COUNTIFS($D$2:$D$38,D22,$C$2:$C$38,"&gt;0"))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 t="n"/>
      <c r="L22" s="30" t="n"/>
    </row>
    <row r="23">
      <c r="A23" s="31" t="n">
        <v>44926</v>
      </c>
      <c r="B23" s="24" t="n">
        <v>12361.73</v>
      </c>
      <c r="C23" s="25" t="n">
        <v>27.44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IF(C23="","",(COUNTIFS($D$2:$D$38,D23,$C$2:$C$38,"&gt;0",$C$2:$C$38,"&lt;"&amp;C23)+(COUNTIFS($D$2:$D$38,D23,$C$2:$C$38,C23)+1)/2)/COUNTIFS($D$2:$D$38,D23,$C$2:$C$38,"&gt;0"))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 t="n"/>
      <c r="L23" s="30" t="n"/>
    </row>
    <row r="24">
      <c r="A24" s="31" t="n">
        <v>45016</v>
      </c>
      <c r="B24" s="24" t="n">
        <v>12019.96</v>
      </c>
      <c r="C24" s="25" t="n">
        <v>25.91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IF(C24="","",(COUNTIFS($D$2:$D$38,D24,$C$2:$C$38,"&gt;0",$C$2:$C$38,"&lt;"&amp;C24)+(COUNTIFS($D$2:$D$38,D24,$C$2:$C$38,C24)+1)/2)/COUNTIFS($D$2:$D$38,D24,$C$2:$C$38,"&gt;0"))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45107</v>
      </c>
      <c r="B25" s="24" t="n">
        <v>13440.23</v>
      </c>
      <c r="C25" s="25" t="n">
        <v>27.08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IF(C25="","",(COUNTIFS($D$2:$D$38,D25,$C$2:$C$38,"&gt;0",$C$2:$C$38,"&lt;"&amp;C25)+(COUNTIFS($D$2:$D$38,D25,$C$2:$C$38,C25)+1)/2)/COUNTIFS($D$2:$D$38,D25,$C$2:$C$38,"&gt;0"))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45199</v>
      </c>
      <c r="B26" s="24" t="n">
        <v>13940</v>
      </c>
      <c r="C26" s="25" t="n">
        <v>27.56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IF(C26="","",(COUNTIFS($D$2:$D$38,D26,$C$2:$C$38,"&gt;0",$C$2:$C$38,"&lt;"&amp;C26)+(COUNTIFS($D$2:$D$38,D26,$C$2:$C$38,C26)+1)/2)/COUNTIFS($D$2:$D$38,D26,$C$2:$C$38,"&gt;0"))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45291</v>
      </c>
      <c r="B27" s="24" t="n">
        <v>15663.41</v>
      </c>
      <c r="C27" s="25" t="n">
        <v>31.02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IF(C27="","",(COUNTIFS($D$2:$D$38,D27,$C$2:$C$38,"&gt;0",$C$2:$C$38,"&lt;"&amp;C27)+(COUNTIFS($D$2:$D$38,D27,$C$2:$C$38,C27)+1)/2)/COUNTIFS($D$2:$D$38,D27,$C$2:$C$38,"&gt;0"))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 t="n"/>
      <c r="K27" s="30" t="n"/>
      <c r="L27" s="30" t="n"/>
    </row>
    <row r="28">
      <c r="A28" s="31" t="n">
        <v>45382</v>
      </c>
      <c r="B28" s="24" t="n">
        <v>16202.79</v>
      </c>
      <c r="C28" s="25" t="n">
        <v>30.96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IF(C28="","",(COUNTIFS($D$2:$D$38,D28,$C$2:$C$38,"&gt;0",$C$2:$C$38,"&lt;"&amp;C28)+(COUNTIFS($D$2:$D$38,D28,$C$2:$C$38,C28)+1)/2)/COUNTIFS($D$2:$D$38,D28,$C$2:$C$38,"&gt;0"))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 t="n"/>
      <c r="K28" s="30" t="n"/>
      <c r="L28" s="30" t="n"/>
    </row>
    <row r="29">
      <c r="A29" s="31" t="n">
        <v>45473</v>
      </c>
      <c r="B29" s="24" t="n">
        <v>17190.01</v>
      </c>
      <c r="C29" s="25" t="n">
        <v>34.19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IF(C29="","",(COUNTIFS($D$2:$D$38,D29,$C$2:$C$38,"&gt;0",$C$2:$C$38,"&lt;"&amp;C29)+(COUNTIFS($D$2:$D$38,D29,$C$2:$C$38,C29)+1)/2)/COUNTIFS($D$2:$D$38,D29,$C$2:$C$38,"&gt;0"))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 t="n"/>
      <c r="K29" s="30" t="n"/>
      <c r="L29" s="30" t="n"/>
    </row>
    <row r="30">
      <c r="A30" s="31" t="n">
        <v>45565</v>
      </c>
      <c r="B30" s="24" t="n">
        <v>19389.59</v>
      </c>
      <c r="C30" s="25" t="n">
        <v>37.12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IF(C30="","",(COUNTIFS($D$2:$D$38,D30,$C$2:$C$38,"&gt;0",$C$2:$C$38,"&lt;"&amp;C30)+(COUNTIFS($D$2:$D$38,D30,$C$2:$C$38,C30)+1)/2)/COUNTIFS($D$2:$D$38,D30,$C$2:$C$38,"&gt;0"))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 t="n"/>
      <c r="K30" s="30" t="n"/>
      <c r="L30" s="30" t="n"/>
    </row>
    <row r="31">
      <c r="A31" s="31" t="n">
        <v>45657</v>
      </c>
      <c r="B31" s="24" t="n">
        <v>16868.65</v>
      </c>
      <c r="C31" s="25" t="n">
        <v>30.95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IF(C31="","",(COUNTIFS($D$2:$D$38,D31,$C$2:$C$38,"&gt;0",$C$2:$C$38,"&lt;"&amp;C31)+(COUNTIFS($D$2:$D$38,D31,$C$2:$C$38,C31)+1)/2)/COUNTIFS($D$2:$D$38,D31,$C$2:$C$38,"&gt;0"))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 t="n"/>
      <c r="K31" s="30" t="n"/>
      <c r="L31" s="30" t="n"/>
    </row>
    <row r="32">
      <c r="A32" s="31" t="n">
        <v>45747</v>
      </c>
      <c r="B32" s="24" t="n">
        <v>16205.05</v>
      </c>
      <c r="C32" s="25" t="n">
        <v>29.44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IF(C32="","",(COUNTIFS($D$2:$D$38,D32,$C$2:$C$38,"&gt;0",$C$2:$C$38,"&lt;"&amp;C32)+(COUNTIFS($D$2:$D$38,D32,$C$2:$C$38,C32)+1)/2)/COUNTIFS($D$2:$D$38,D32,$C$2:$C$38,"&gt;0"))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45838</v>
      </c>
      <c r="B33" s="24" t="n">
        <v>17227.65</v>
      </c>
      <c r="C33" s="25" t="n">
        <v>30.01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IF(C33="","",(COUNTIFS($D$2:$D$38,D33,$C$2:$C$38,"&gt;0",$C$2:$C$38,"&lt;"&amp;C33)+(COUNTIFS($D$2:$D$38,D33,$C$2:$C$38,C33)+1)/2)/COUNTIFS($D$2:$D$38,D33,$C$2:$C$38,"&gt;0"))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45930</v>
      </c>
      <c r="B34" s="24" t="n">
        <v>16974.3</v>
      </c>
      <c r="C34" s="25" t="n">
        <v>29.54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IF(C34="","",(COUNTIFS($D$2:$D$38,D34,$C$2:$C$38,"&gt;0",$C$2:$C$38,"&lt;"&amp;C34)+(COUNTIFS($D$2:$D$38,D34,$C$2:$C$38,C34)+1)/2)/COUNTIFS($D$2:$D$38,D34,$C$2:$C$38,"&gt;0"))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46022</v>
      </c>
      <c r="B35" s="24" t="n">
        <v>17655.85</v>
      </c>
      <c r="C35" s="25" t="n">
        <v>28.93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IF(C35="","",(COUNTIFS($D$2:$D$38,D35,$C$2:$C$38,"&gt;0",$C$2:$C$38,"&lt;"&amp;C35)+(COUNTIFS($D$2:$D$38,D35,$C$2:$C$38,C35)+1)/2)/COUNTIFS($D$2:$D$38,D35,$C$2:$C$38,"&gt;0"))</f>
        <v/>
      </c>
      <c r="H35">
        <f>IF(G35="","",IF(G35&lt;=20%,"Q1 Cheapest",IF(G35&lt;=40%,"Q2",IF(G35&lt;=60%,"Q3",IF(G35&lt;=80%,"Q4","Q5 Most Expensive")))))</f>
        <v/>
      </c>
      <c r="I35" s="30" t="n"/>
      <c r="J35" s="30" t="n"/>
      <c r="K35" s="30" t="n"/>
      <c r="L35" s="30" t="n"/>
    </row>
    <row r="36">
      <c r="A36" s="31" t="n">
        <v>46112</v>
      </c>
      <c r="B36" s="24" t="n">
        <v>15088.65</v>
      </c>
      <c r="C36" s="25" t="n">
        <v>24.9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IF(C36="","",(COUNTIFS($D$2:$D$38,D36,$C$2:$C$38,"&gt;0",$C$2:$C$38,"&lt;"&amp;C36)+(COUNTIFS($D$2:$D$38,D36,$C$2:$C$38,C36)+1)/2)/COUNTIFS($D$2:$D$38,D36,$C$2:$C$38,"&gt;0"))</f>
        <v/>
      </c>
      <c r="H36">
        <f>IF(G36="","",IF(G36&lt;=20%,"Q1 Cheapest",IF(G36&lt;=40%,"Q2",IF(G36&lt;=60%,"Q3",IF(G36&lt;=80%,"Q4","Q5 Most Expensive")))))</f>
        <v/>
      </c>
      <c r="I36" s="30" t="n"/>
      <c r="J36" s="30" t="n"/>
      <c r="K36" s="30" t="n"/>
      <c r="L36" s="30" t="n"/>
    </row>
    <row r="37">
      <c r="A37" s="31" t="n">
        <v>46203</v>
      </c>
      <c r="B37" s="24" t="n">
        <v>16152.4</v>
      </c>
      <c r="C37" s="25" t="n">
        <v>26.39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IF(C37="","",(COUNTIFS($D$2:$D$38,D37,$C$2:$C$38,"&gt;0",$C$2:$C$38,"&lt;"&amp;C37)+(COUNTIFS($D$2:$D$38,D37,$C$2:$C$38,C37)+1)/2)/COUNTIFS($D$2:$D$38,D37,$C$2:$C$38,"&gt;0"))</f>
        <v/>
      </c>
      <c r="H37">
        <f>IF(G37="","",IF(G37&lt;=20%,"Q1 Cheapest",IF(G37&lt;=40%,"Q2",IF(G37&lt;=60%,"Q3",IF(G37&lt;=80%,"Q4","Q5 Most Expensive")))))</f>
        <v/>
      </c>
      <c r="I37" s="30" t="n"/>
      <c r="J37" s="30" t="n"/>
      <c r="K37" s="30" t="n"/>
      <c r="L37" s="30" t="n"/>
    </row>
    <row r="38">
      <c r="A38" s="31" t="n">
        <v>46295</v>
      </c>
      <c r="B38" s="24" t="n">
        <v>15669.6</v>
      </c>
      <c r="C38" s="25" t="n">
        <v>25.51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IF(C38="","",(COUNTIFS($D$2:$D$38,D38,$C$2:$C$38,"&gt;0",$C$2:$C$38,"&lt;"&amp;C38)+(COUNTIFS($D$2:$D$38,D38,$C$2:$C$38,C38)+1)/2)/COUNTIFS($D$2:$D$38,D38,$C$2:$C$38,"&gt;0"))</f>
        <v/>
      </c>
      <c r="H38">
        <f>IF(G38="","",IF(G38&lt;=20%,"Q1 Cheapest",IF(G38&lt;=40%,"Q2",IF(G38&lt;=60%,"Q3",IF(G38&lt;=80%,"Q4","Q5 Most Expensive")))))</f>
        <v/>
      </c>
      <c r="I38" s="30" t="n"/>
      <c r="J38" s="30" t="n"/>
      <c r="K38" s="30" t="n"/>
      <c r="L38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7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16068.5</v>
      </c>
      <c r="C2" s="25" t="n">
        <v>26.18</v>
      </c>
      <c r="D2" s="26" t="n">
        <v>0.0681818181818</v>
      </c>
      <c r="E2" s="26" t="n">
        <v>0.0680461435996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16175.2</v>
      </c>
      <c r="C3" s="25" t="n">
        <v>26.35</v>
      </c>
      <c r="D3" s="26" t="n">
        <v>0.0681818181818</v>
      </c>
      <c r="E3" s="26" t="n">
        <v>0.06810411617209999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16110.05</v>
      </c>
      <c r="C4" s="25" t="n">
        <v>26.25</v>
      </c>
      <c r="D4" s="26" t="n">
        <v>0.0681818181818</v>
      </c>
      <c r="E4" s="26" t="n">
        <v>0.06780639958530001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16195.65</v>
      </c>
      <c r="C5" s="25" t="n">
        <v>26.39</v>
      </c>
      <c r="D5" s="26" t="n">
        <v>0.0757575757576</v>
      </c>
      <c r="E5" s="26" t="n">
        <v>0.0677362279834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16020</v>
      </c>
      <c r="C6" s="25" t="n">
        <v>26.1</v>
      </c>
      <c r="D6" s="26" t="n">
        <v>0.0530303030303</v>
      </c>
      <c r="E6" s="26" t="n">
        <v>0.0680546248833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16071.6</v>
      </c>
      <c r="C7" s="25" t="n">
        <v>26.18</v>
      </c>
      <c r="D7" s="26" t="n">
        <v>0.0681818181818</v>
      </c>
      <c r="E7" s="26" t="n">
        <v>0.0679673262442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15915.25</v>
      </c>
      <c r="C8" s="25" t="n">
        <v>25.93</v>
      </c>
      <c r="D8" s="26" t="n">
        <v>0.0530303030303</v>
      </c>
      <c r="E8" s="26" t="n">
        <v>0.06801698404879999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15773.65</v>
      </c>
      <c r="C9" s="25" t="n">
        <v>25.7</v>
      </c>
      <c r="D9" s="26" t="n">
        <v>0.0227272727273</v>
      </c>
      <c r="E9" s="26" t="n">
        <v>0.0678289729061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15669.6</v>
      </c>
      <c r="C10" s="25" t="n">
        <v>25.51</v>
      </c>
      <c r="D10" s="26" t="n">
        <v>0.0298507462687</v>
      </c>
      <c r="E10" s="26" t="n">
        <v>0.06897135864950001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15540.9</v>
      </c>
      <c r="C11" s="25" t="n">
        <v>25.3</v>
      </c>
      <c r="D11" s="26" t="n">
        <v>0.0223880597015</v>
      </c>
      <c r="E11" s="26" t="n">
        <v>0.0689179779453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15571.6</v>
      </c>
      <c r="C12" s="25" t="n">
        <v>25.35</v>
      </c>
      <c r="D12" s="26" t="n">
        <v>0.0223880597015</v>
      </c>
      <c r="E12" s="26" t="n">
        <v>0.06913005118939999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15739.05</v>
      </c>
      <c r="C13" s="25" t="n">
        <v>25.62</v>
      </c>
      <c r="D13" s="26" t="n">
        <v>0.0373134328358</v>
      </c>
      <c r="E13" s="26" t="n">
        <v>0.0692744715515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15607.05</v>
      </c>
      <c r="C14" s="25" t="n">
        <v>25.41</v>
      </c>
      <c r="D14" s="26" t="n">
        <v>0.0223880597015</v>
      </c>
      <c r="E14" s="26" t="n">
        <v>0.06879152294349999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15336.9</v>
      </c>
      <c r="C15" s="25" t="n">
        <v>24.97</v>
      </c>
      <c r="D15" s="26" t="n">
        <v>0.0223880597015</v>
      </c>
      <c r="E15" s="26" t="n">
        <v>0.0688725287349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15576.75</v>
      </c>
      <c r="C16" s="25" t="n">
        <v>25.36</v>
      </c>
      <c r="D16" s="26" t="n">
        <v>0.0223880597015</v>
      </c>
      <c r="E16" s="26" t="n">
        <v>0.0689300481864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15519.3</v>
      </c>
      <c r="C17" s="25" t="n">
        <v>25.21</v>
      </c>
      <c r="D17" s="26" t="n">
        <v>0.0223880597015</v>
      </c>
      <c r="E17" s="26" t="n">
        <v>0.07103944004520001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15737.6</v>
      </c>
      <c r="C18" s="25" t="n">
        <v>25.51</v>
      </c>
      <c r="D18" s="26" t="n">
        <v>0.0298507462687</v>
      </c>
      <c r="E18" s="26" t="n">
        <v>0.0735046037539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15773.5</v>
      </c>
      <c r="C19" s="25" t="n">
        <v>25.57</v>
      </c>
      <c r="D19" s="26" t="n">
        <v>0.0373134328358</v>
      </c>
      <c r="E19" s="26" t="n">
        <v>0.0732387916597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15836.7</v>
      </c>
      <c r="C20" s="25" t="n">
        <v>25.67</v>
      </c>
      <c r="D20" s="26" t="n">
        <v>0.0373134328358</v>
      </c>
      <c r="E20" s="26" t="n">
        <v>0.07348117902039999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15873.55</v>
      </c>
      <c r="C21" s="25" t="n">
        <v>25.7</v>
      </c>
      <c r="D21" s="26" t="n">
        <v>0.0373134328358</v>
      </c>
      <c r="E21" s="26" t="n">
        <v>0.0747861056586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15723.9</v>
      </c>
      <c r="C22" s="25" t="n">
        <v>25.34</v>
      </c>
      <c r="D22" s="26" t="n">
        <v>0.0223880597015</v>
      </c>
      <c r="E22" s="26" t="n">
        <v>0.0790713389641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15686.75</v>
      </c>
      <c r="C23" s="25" t="n">
        <v>25.28</v>
      </c>
      <c r="D23" s="26" t="n">
        <v>0.0223880597015</v>
      </c>
      <c r="E23" s="26" t="n">
        <v>0.0764844885513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15602.15</v>
      </c>
      <c r="C24" s="25" t="n">
        <v>25.14</v>
      </c>
      <c r="D24" s="26" t="n">
        <v>0.0223880597015</v>
      </c>
      <c r="E24" s="26" t="n">
        <v>0.0766413269769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15468.35</v>
      </c>
      <c r="C25" s="25" t="n">
        <v>24.93</v>
      </c>
      <c r="D25" s="26" t="n">
        <v>0.0223880597015</v>
      </c>
      <c r="E25" s="26" t="n">
        <v>0.076437961983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  <row r="26">
      <c r="A26" s="31" t="n">
        <v>46321</v>
      </c>
      <c r="B26" s="24" t="n">
        <v>15583.65</v>
      </c>
      <c r="C26" s="25" t="n">
        <v>25.1</v>
      </c>
      <c r="D26" s="26" t="n">
        <v>0.0223880597015</v>
      </c>
      <c r="E26" s="26" t="n">
        <v>0.0778331345197</v>
      </c>
      <c r="F26" s="34">
        <f>IF(D26="","",100*(1-D26))</f>
        <v/>
      </c>
      <c r="G26" s="34">
        <f>IF(E26="","",IF(E26&lt;=0,20,IF(E26&lt;5%,20+400*E26,IF(E26&lt;10%,40+400*(E26-5%),IF(E26&lt;15%,60+400*(E26-10%),IF(E26&lt;25%,80+200*(E26-15%),100))))))</f>
        <v/>
      </c>
      <c r="H26" s="34">
        <f>IF(OR(F26="",G26=""),"",70%*F26+30%*G26)</f>
        <v/>
      </c>
      <c r="I26">
        <f>IF(H26="","",IF(H26&gt;=70,"BUY",IF(H26&gt;=40,"HOLD","SELL")))</f>
        <v/>
      </c>
    </row>
    <row r="27">
      <c r="A27" s="31" t="n">
        <v>46322</v>
      </c>
      <c r="B27" s="24" t="n">
        <v>15622.95</v>
      </c>
      <c r="C27" s="25" t="n">
        <v>25.17</v>
      </c>
      <c r="D27" s="26" t="n">
        <v>0.0223880597015</v>
      </c>
      <c r="E27" s="26" t="n">
        <v>0.0784872867565</v>
      </c>
      <c r="F27" s="34">
        <f>IF(D27="","",100*(1-D27))</f>
        <v/>
      </c>
      <c r="G27" s="34">
        <f>IF(E27="","",IF(E27&lt;=0,20,IF(E27&lt;5%,20+400*E27,IF(E27&lt;10%,40+400*(E27-5%),IF(E27&lt;15%,60+400*(E27-10%),IF(E27&lt;25%,80+200*(E27-15%),100))))))</f>
        <v/>
      </c>
      <c r="H27" s="34">
        <f>IF(OR(F27="",G27=""),"",70%*F27+30%*G27)</f>
        <v/>
      </c>
      <c r="I27">
        <f>IF(H27="","",IF(H27&gt;=70,"BUY",IF(H27&gt;=40,"HOLD","SELL")))</f>
        <v/>
      </c>
    </row>
    <row r="28">
      <c r="A28" s="31" t="n">
        <v>46323</v>
      </c>
      <c r="B28" s="24" t="n">
        <v>15577.4</v>
      </c>
      <c r="C28" s="25" t="n">
        <v>25.13</v>
      </c>
      <c r="D28" s="26" t="n">
        <v>0.0223880597015</v>
      </c>
      <c r="E28" s="26" t="n">
        <v>0.0769916714904</v>
      </c>
      <c r="F28" s="34">
        <f>IF(D28="","",100*(1-D28))</f>
        <v/>
      </c>
      <c r="G28" s="34">
        <f>IF(E28="","",IF(E28&lt;=0,20,IF(E28&lt;5%,20+400*E28,IF(E28&lt;10%,40+400*(E28-5%),IF(E28&lt;15%,60+400*(E28-10%),IF(E28&lt;25%,80+200*(E28-15%),100))))))</f>
        <v/>
      </c>
      <c r="H28" s="34">
        <f>IF(OR(F28="",G28=""),"",70%*F28+30%*G28)</f>
        <v/>
      </c>
      <c r="I28">
        <f>IF(H28="","",IF(H28&gt;=70,"BUY",IF(H28&gt;=40,"HOLD","SELL")))</f>
        <v/>
      </c>
    </row>
    <row r="29">
      <c r="A29" s="31" t="n">
        <v>46324</v>
      </c>
      <c r="B29" s="24" t="n">
        <v>15737.7</v>
      </c>
      <c r="C29" s="25" t="n">
        <v>25.39</v>
      </c>
      <c r="D29" s="26" t="n">
        <v>0.0223880597015</v>
      </c>
      <c r="E29" s="26" t="n">
        <v>0.0770018048796</v>
      </c>
      <c r="F29" s="34">
        <f>IF(D29="","",100*(1-D29))</f>
        <v/>
      </c>
      <c r="G29" s="34">
        <f>IF(E29="","",IF(E29&lt;=0,20,IF(E29&lt;5%,20+400*E29,IF(E29&lt;10%,40+400*(E29-5%),IF(E29&lt;15%,60+400*(E29-10%),IF(E29&lt;25%,80+200*(E29-15%),100))))))</f>
        <v/>
      </c>
      <c r="H29" s="34">
        <f>IF(OR(F29="",G29=""),"",70%*F29+30%*G29)</f>
        <v/>
      </c>
      <c r="I29">
        <f>IF(H29="","",IF(H29&gt;=70,"BUY",IF(H29&gt;=40,"HOLD","SELL")))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7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Quality Low-Volatility 30 Composition</t>
        </is>
      </c>
    </row>
    <row r="2">
      <c r="A2" s="2" t="inlineStr">
        <is>
          <t>As of</t>
        </is>
      </c>
      <c r="B2" s="4" t="inlineStr">
        <is>
          <t>Retrieved 2026-10-29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Alkem Laboratories Ltd.</t>
        </is>
      </c>
      <c r="C6" t="inlineStr">
        <is>
          <t>ALKEM</t>
        </is>
      </c>
      <c r="D6" t="inlineStr">
        <is>
          <t>Healthcare</t>
        </is>
      </c>
    </row>
    <row r="7">
      <c r="A7" t="n">
        <v>2</v>
      </c>
      <c r="B7" t="inlineStr">
        <is>
          <t>Asian Paints Ltd.</t>
        </is>
      </c>
      <c r="C7" t="inlineStr">
        <is>
          <t>ASIANPAINT</t>
        </is>
      </c>
      <c r="D7" t="inlineStr">
        <is>
          <t>Consumer Durables</t>
        </is>
      </c>
    </row>
    <row r="8">
      <c r="A8" t="n">
        <v>3</v>
      </c>
      <c r="B8" t="inlineStr">
        <is>
          <t>Bajaj Auto Ltd.</t>
        </is>
      </c>
      <c r="C8" t="inlineStr">
        <is>
          <t>BAJAJ-AUTO</t>
        </is>
      </c>
      <c r="D8" t="inlineStr">
        <is>
          <t>Automobile and Auto Components</t>
        </is>
      </c>
    </row>
    <row r="9">
      <c r="A9" t="n">
        <v>4</v>
      </c>
      <c r="B9" t="inlineStr">
        <is>
          <t>Britannia Industries Ltd.</t>
        </is>
      </c>
      <c r="C9" t="inlineStr">
        <is>
          <t>BRITANNIA</t>
        </is>
      </c>
      <c r="D9" t="inlineStr">
        <is>
          <t>Fast Moving Consumer Goods</t>
        </is>
      </c>
    </row>
    <row r="10">
      <c r="A10" t="n">
        <v>5</v>
      </c>
      <c r="B10" t="inlineStr">
        <is>
          <t>Cipla Ltd.</t>
        </is>
      </c>
      <c r="C10" t="inlineStr">
        <is>
          <t>CIPLA</t>
        </is>
      </c>
      <c r="D10" t="inlineStr">
        <is>
          <t>Healthcare</t>
        </is>
      </c>
    </row>
    <row r="11">
      <c r="A11" t="n">
        <v>6</v>
      </c>
      <c r="B11" t="inlineStr">
        <is>
          <t>Coal India Ltd.</t>
        </is>
      </c>
      <c r="C11" t="inlineStr">
        <is>
          <t>COALINDIA</t>
        </is>
      </c>
      <c r="D11" t="inlineStr">
        <is>
          <t>Oil Gas &amp; Consumable Fuels</t>
        </is>
      </c>
    </row>
    <row r="12">
      <c r="A12" t="n">
        <v>7</v>
      </c>
      <c r="B12" t="inlineStr">
        <is>
          <t>Colgate Palmolive (India) Ltd.</t>
        </is>
      </c>
      <c r="C12" t="inlineStr">
        <is>
          <t>COLPAL</t>
        </is>
      </c>
      <c r="D12" t="inlineStr">
        <is>
          <t>Fast Moving Consumer Goods</t>
        </is>
      </c>
    </row>
    <row r="13">
      <c r="A13" t="n">
        <v>8</v>
      </c>
      <c r="B13" t="inlineStr">
        <is>
          <t>Dabur India Ltd.</t>
        </is>
      </c>
      <c r="C13" t="inlineStr">
        <is>
          <t>DABUR</t>
        </is>
      </c>
      <c r="D13" t="inlineStr">
        <is>
          <t>Fast Moving Consumer Goods</t>
        </is>
      </c>
    </row>
    <row r="14">
      <c r="A14" t="n">
        <v>9</v>
      </c>
      <c r="B14" t="inlineStr">
        <is>
          <t>Divi's Laboratories Ltd.</t>
        </is>
      </c>
      <c r="C14" t="inlineStr">
        <is>
          <t>DIVISLAB</t>
        </is>
      </c>
      <c r="D14" t="inlineStr">
        <is>
          <t>Healthcare</t>
        </is>
      </c>
    </row>
    <row r="15">
      <c r="A15" t="n">
        <v>10</v>
      </c>
      <c r="B15" t="inlineStr">
        <is>
          <t>Dr. Reddy's Laboratories Ltd.</t>
        </is>
      </c>
      <c r="C15" t="inlineStr">
        <is>
          <t>DRREDDY</t>
        </is>
      </c>
      <c r="D15" t="inlineStr">
        <is>
          <t>Healthcare</t>
        </is>
      </c>
    </row>
    <row r="16">
      <c r="A16" t="n">
        <v>11</v>
      </c>
      <c r="B16" t="inlineStr">
        <is>
          <t>Eicher Motors Ltd.</t>
        </is>
      </c>
      <c r="C16" t="inlineStr">
        <is>
          <t>EICHERMOT</t>
        </is>
      </c>
      <c r="D16" t="inlineStr">
        <is>
          <t>Automobile and Auto Components</t>
        </is>
      </c>
    </row>
    <row r="17">
      <c r="A17" t="n">
        <v>12</v>
      </c>
      <c r="B17" t="inlineStr">
        <is>
          <t>Havells India Ltd.</t>
        </is>
      </c>
      <c r="C17" t="inlineStr">
        <is>
          <t>HAVELLS</t>
        </is>
      </c>
      <c r="D17" t="inlineStr">
        <is>
          <t>Consumer Durables</t>
        </is>
      </c>
    </row>
    <row r="18">
      <c r="A18" t="n">
        <v>13</v>
      </c>
      <c r="B18" t="inlineStr">
        <is>
          <t>HCL Technologies Ltd.</t>
        </is>
      </c>
      <c r="C18" t="inlineStr">
        <is>
          <t>HCLTECH</t>
        </is>
      </c>
      <c r="D18" t="inlineStr">
        <is>
          <t>Information Technology</t>
        </is>
      </c>
    </row>
    <row r="19">
      <c r="A19" t="n">
        <v>14</v>
      </c>
      <c r="B19" t="inlineStr">
        <is>
          <t>HDFC Bank Ltd.</t>
        </is>
      </c>
      <c r="C19" t="inlineStr">
        <is>
          <t>HDFCBANK</t>
        </is>
      </c>
      <c r="D19" t="inlineStr">
        <is>
          <t>Financial Services</t>
        </is>
      </c>
    </row>
    <row r="20">
      <c r="A20" t="n">
        <v>15</v>
      </c>
      <c r="B20" t="inlineStr">
        <is>
          <t>Hero MotoCorp Ltd.</t>
        </is>
      </c>
      <c r="C20" t="inlineStr">
        <is>
          <t>HEROMOTOCO</t>
        </is>
      </c>
      <c r="D20" t="inlineStr">
        <is>
          <t>Automobile and Auto Components</t>
        </is>
      </c>
    </row>
    <row r="21">
      <c r="A21" t="n">
        <v>16</v>
      </c>
      <c r="B21" t="inlineStr">
        <is>
          <t>Hindustan Unilever Ltd.</t>
        </is>
      </c>
      <c r="C21" t="inlineStr">
        <is>
          <t>HINDUNILVR</t>
        </is>
      </c>
      <c r="D21" t="inlineStr">
        <is>
          <t>Fast Moving Consumer Goods</t>
        </is>
      </c>
    </row>
    <row r="22">
      <c r="A22" t="n">
        <v>17</v>
      </c>
      <c r="B22" t="inlineStr">
        <is>
          <t>ICICI Bank Ltd.</t>
        </is>
      </c>
      <c r="C22" t="inlineStr">
        <is>
          <t>ICICIBANK</t>
        </is>
      </c>
      <c r="D22" t="inlineStr">
        <is>
          <t>Financial Services</t>
        </is>
      </c>
    </row>
    <row r="23">
      <c r="A23" t="n">
        <v>18</v>
      </c>
      <c r="B23" t="inlineStr">
        <is>
          <t>Infosys Ltd.</t>
        </is>
      </c>
      <c r="C23" t="inlineStr">
        <is>
          <t>INFY</t>
        </is>
      </c>
      <c r="D23" t="inlineStr">
        <is>
          <t>Information Technology</t>
        </is>
      </c>
    </row>
    <row r="24">
      <c r="A24" t="n">
        <v>19</v>
      </c>
      <c r="B24" t="inlineStr">
        <is>
          <t>ITC Ltd.</t>
        </is>
      </c>
      <c r="C24" t="inlineStr">
        <is>
          <t>ITC</t>
        </is>
      </c>
      <c r="D24" t="inlineStr">
        <is>
          <t>Fast Moving Consumer Goods</t>
        </is>
      </c>
    </row>
    <row r="25">
      <c r="A25" t="n">
        <v>20</v>
      </c>
      <c r="B25" t="inlineStr">
        <is>
          <t>Kotak Mahindra Bank Ltd.</t>
        </is>
      </c>
      <c r="C25" t="inlineStr">
        <is>
          <t>KOTAKBANK</t>
        </is>
      </c>
      <c r="D25" t="inlineStr">
        <is>
          <t>Financial Services</t>
        </is>
      </c>
    </row>
    <row r="26">
      <c r="A26" t="n">
        <v>21</v>
      </c>
      <c r="B26" t="inlineStr">
        <is>
          <t>Lupin Ltd.</t>
        </is>
      </c>
      <c r="C26" t="inlineStr">
        <is>
          <t>LUPIN</t>
        </is>
      </c>
      <c r="D26" t="inlineStr">
        <is>
          <t>Healthcare</t>
        </is>
      </c>
    </row>
    <row r="27">
      <c r="A27" t="n">
        <v>22</v>
      </c>
      <c r="B27" t="inlineStr">
        <is>
          <t>Marico Ltd.</t>
        </is>
      </c>
      <c r="C27" t="inlineStr">
        <is>
          <t>MARICO</t>
        </is>
      </c>
      <c r="D27" t="inlineStr">
        <is>
          <t>Fast Moving Consumer Goods</t>
        </is>
      </c>
    </row>
    <row r="28">
      <c r="A28" t="n">
        <v>23</v>
      </c>
      <c r="B28" t="inlineStr">
        <is>
          <t>Maruti Suzuki India Ltd.</t>
        </is>
      </c>
      <c r="C28" t="inlineStr">
        <is>
          <t>MARUTI</t>
        </is>
      </c>
      <c r="D28" t="inlineStr">
        <is>
          <t>Automobile and Auto Components</t>
        </is>
      </c>
    </row>
    <row r="29">
      <c r="A29" t="n">
        <v>24</v>
      </c>
      <c r="B29" t="inlineStr">
        <is>
          <t>Nestle India Ltd.</t>
        </is>
      </c>
      <c r="C29" t="inlineStr">
        <is>
          <t>NESTLEIND</t>
        </is>
      </c>
      <c r="D29" t="inlineStr">
        <is>
          <t>Fast Moving Consumer Goods</t>
        </is>
      </c>
    </row>
    <row r="30">
      <c r="A30" t="n">
        <v>25</v>
      </c>
      <c r="B30" t="inlineStr">
        <is>
          <t>Pidilite Industries Ltd.</t>
        </is>
      </c>
      <c r="C30" t="inlineStr">
        <is>
          <t>PIDILITIND</t>
        </is>
      </c>
      <c r="D30" t="inlineStr">
        <is>
          <t>Chemicals</t>
        </is>
      </c>
    </row>
    <row r="31">
      <c r="A31" t="n">
        <v>26</v>
      </c>
      <c r="B31" t="inlineStr">
        <is>
          <t>Sun Pharmaceutical Industries Ltd.</t>
        </is>
      </c>
      <c r="C31" t="inlineStr">
        <is>
          <t>SUNPHARMA</t>
        </is>
      </c>
      <c r="D31" t="inlineStr">
        <is>
          <t>Healthcare</t>
        </is>
      </c>
    </row>
    <row r="32">
      <c r="A32" t="n">
        <v>27</v>
      </c>
      <c r="B32" t="inlineStr">
        <is>
          <t>Tata Consultancy Services Ltd.</t>
        </is>
      </c>
      <c r="C32" t="inlineStr">
        <is>
          <t>TCS</t>
        </is>
      </c>
      <c r="D32" t="inlineStr">
        <is>
          <t>Information Technology</t>
        </is>
      </c>
    </row>
    <row r="33">
      <c r="A33" t="n">
        <v>28</v>
      </c>
      <c r="B33" t="inlineStr">
        <is>
          <t>Torrent Pharmaceuticals Ltd.</t>
        </is>
      </c>
      <c r="C33" t="inlineStr">
        <is>
          <t>TORNTPHARM</t>
        </is>
      </c>
      <c r="D33" t="inlineStr">
        <is>
          <t>Healthcare</t>
        </is>
      </c>
    </row>
    <row r="34">
      <c r="A34" t="n">
        <v>29</v>
      </c>
      <c r="B34" t="inlineStr">
        <is>
          <t>United Spirits Ltd.</t>
        </is>
      </c>
      <c r="C34" t="inlineStr">
        <is>
          <t>UNITDSPR</t>
        </is>
      </c>
      <c r="D34" t="inlineStr">
        <is>
          <t>Fast Moving Consumer Goods</t>
        </is>
      </c>
    </row>
    <row r="35">
      <c r="A35" t="n">
        <v>30</v>
      </c>
      <c r="B35" t="inlineStr">
        <is>
          <t>Zydus Lifesciences Ltd.</t>
        </is>
      </c>
      <c r="C35" t="inlineStr">
        <is>
          <t>ZYDUSLIFE</t>
        </is>
      </c>
      <c r="D3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2026-10-29T18:39:42Z</dcterms:created>
  <dcterms:modified xsi:type="dcterms:W3CDTF">2026-10-29T18:40:11Z</dcterms:modified>
</cp:coreProperties>
</file>