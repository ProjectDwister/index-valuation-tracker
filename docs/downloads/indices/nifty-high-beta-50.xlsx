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nifty_High_Beta50_Index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9" customWidth="1" min="5" max="5"/>
    <col width="21" customWidth="1" min="6" max="6"/>
    <col width="20" customWidth="1" min="7" max="7"/>
  </cols>
  <sheetData>
    <row r="1" ht="26" customHeight="1">
      <c r="A1" s="1" t="inlineStr">
        <is>
          <t>NIFTY High Beta 50 Valuation Tracker</t>
        </is>
      </c>
    </row>
    <row r="2">
      <c r="A2" s="2" t="inlineStr">
        <is>
          <t>As of</t>
        </is>
      </c>
      <c r="B2" s="23" t="n">
        <v>46309</v>
      </c>
      <c r="D2" s="2" t="inlineStr">
        <is>
          <t>Group</t>
        </is>
      </c>
      <c r="E2" s="4" t="inlineStr">
        <is>
          <t>Strategy / Thematic / Other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4159.35</v>
      </c>
      <c r="D5" s="2" t="inlineStr">
        <is>
          <t>P/E</t>
        </is>
      </c>
      <c r="E5" s="25" t="n">
        <v>22.76</v>
      </c>
    </row>
    <row r="6">
      <c r="A6" s="2" t="inlineStr">
        <is>
          <t>P/E percentile</t>
        </is>
      </c>
      <c r="B6" s="26" t="n">
        <v>0.7238805970149254</v>
      </c>
      <c r="D6" s="2" t="inlineStr">
        <is>
          <t>Implied EPS</t>
        </is>
      </c>
      <c r="E6" s="27" t="n">
        <v>182.7482425307557</v>
      </c>
    </row>
    <row r="7">
      <c r="A7" s="2" t="inlineStr">
        <is>
          <t>YoY implied EPS growth</t>
        </is>
      </c>
      <c r="B7" s="26" t="n">
        <v>-0.0158164988530507</v>
      </c>
      <c r="D7" s="2" t="inlineStr">
        <is>
          <t>Earnings yield</t>
        </is>
      </c>
      <c r="E7" s="10" t="n">
        <v>0.04393673110720562</v>
      </c>
    </row>
    <row r="8">
      <c r="A8" s="2" t="inlineStr">
        <is>
          <t>Valuation score</t>
        </is>
      </c>
      <c r="B8" s="28" t="n">
        <v>27.61194029850746</v>
      </c>
      <c r="D8" s="2" t="inlineStr">
        <is>
          <t>Growth score</t>
        </is>
      </c>
      <c r="E8" s="28" t="n">
        <v>20</v>
      </c>
    </row>
    <row r="9">
      <c r="A9" s="2" t="inlineStr">
        <is>
          <t>Composite score</t>
        </is>
      </c>
      <c r="B9" s="28" t="n">
        <v>25.32835820895522</v>
      </c>
      <c r="D9" s="2" t="inlineStr">
        <is>
          <t>Signal</t>
        </is>
      </c>
      <c r="E9" s="12" t="inlineStr">
        <is>
          <t>SELL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15.85971428571429</v>
      </c>
      <c r="C13" s="15" t="n">
        <v>2898.334912754206</v>
      </c>
      <c r="D13" s="30" t="n">
        <v>-0.3031759979914638</v>
      </c>
    </row>
    <row r="14">
      <c r="A14" t="inlineStr">
        <is>
          <t>HOLD → SELL</t>
        </is>
      </c>
      <c r="B14" s="29" t="n">
        <v>20.69657142857142</v>
      </c>
      <c r="C14" s="15" t="n">
        <v>3782.26205498368</v>
      </c>
      <c r="D14" s="30" t="n">
        <v>-0.0906603063017829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6</v>
      </c>
      <c r="C18" s="30" t="n">
        <v>0.2320559241810846</v>
      </c>
      <c r="D18" s="30" t="n">
        <v>0.1725153890260482</v>
      </c>
      <c r="E18" s="30" t="n">
        <v>0.1112651250509454</v>
      </c>
      <c r="F18" s="30" t="n">
        <v>0.09858417864696989</v>
      </c>
      <c r="G18" s="30" t="n">
        <v>0</v>
      </c>
    </row>
    <row r="19">
      <c r="A19" t="inlineStr">
        <is>
          <t>Q2</t>
        </is>
      </c>
      <c r="B19" t="n">
        <v>8</v>
      </c>
      <c r="C19" s="30" t="n">
        <v>0.1072752549144169</v>
      </c>
      <c r="D19" s="30" t="n">
        <v>0.1097188681752731</v>
      </c>
      <c r="E19" s="30" t="n">
        <v>0.1466235280814596</v>
      </c>
      <c r="F19" s="30" t="n">
        <v>0.09391470476227437</v>
      </c>
      <c r="G19" s="30" t="n">
        <v>0</v>
      </c>
    </row>
    <row r="20">
      <c r="A20" t="inlineStr">
        <is>
          <t>Q3</t>
        </is>
      </c>
      <c r="B20" t="n">
        <v>6</v>
      </c>
      <c r="C20" s="30" t="n">
        <v>0.1312420666000487</v>
      </c>
      <c r="D20" s="30" t="n">
        <v>0.2490670787314071</v>
      </c>
      <c r="E20" s="30" t="n">
        <v>0.1451213618786265</v>
      </c>
      <c r="F20" s="30" t="n">
        <v>0.09945085884706639</v>
      </c>
      <c r="G20" s="30" t="n">
        <v>0.3333333333333333</v>
      </c>
    </row>
    <row r="21">
      <c r="A21" t="inlineStr">
        <is>
          <t>Q4</t>
        </is>
      </c>
      <c r="B21" t="n">
        <v>8</v>
      </c>
      <c r="C21" s="30" t="n">
        <v>-0.09108380280916772</v>
      </c>
      <c r="D21" s="30" t="n">
        <v>0.1027499156766324</v>
      </c>
      <c r="E21" s="30" t="n">
        <v>0.06587580859965447</v>
      </c>
      <c r="F21" s="30" t="n"/>
      <c r="G21" s="30" t="n">
        <v>0.25</v>
      </c>
    </row>
    <row r="22">
      <c r="A22" t="inlineStr">
        <is>
          <t>Q5 Most Expensive</t>
        </is>
      </c>
      <c r="B22" t="n">
        <v>8</v>
      </c>
      <c r="C22" s="30" t="n">
        <v>0.01844322248856312</v>
      </c>
      <c r="D22" s="30" t="n">
        <v>0.2169639853092901</v>
      </c>
      <c r="E22" s="30" t="n">
        <v>0.1347736599103688</v>
      </c>
      <c r="F22" s="30" t="n"/>
      <c r="G22" s="30" t="n">
        <v>0.3333333333333333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36</v>
      </c>
    </row>
    <row r="27">
      <c r="A27" s="2" t="inlineStr">
        <is>
          <t>Backtest start</t>
        </is>
      </c>
      <c r="B27" t="inlineStr">
        <is>
          <t>2015-12-31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1798.91</v>
      </c>
      <c r="C2" s="25" t="n">
        <v>106.76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1943.43</v>
      </c>
      <c r="C3" s="25" t="n">
        <v>39.32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1972.5</v>
      </c>
      <c r="C4" s="25" t="n">
        <v>41.59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2006.66</v>
      </c>
      <c r="C5" s="25" t="n">
        <v>37.04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1970.49</v>
      </c>
      <c r="C6" s="25" t="n">
        <v>21.76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2127.24</v>
      </c>
      <c r="C7" s="25" t="n">
        <v>20.7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2199.92</v>
      </c>
      <c r="C8" s="25" t="n">
        <v>20.9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2043.53</v>
      </c>
      <c r="C9" s="25" t="n">
        <v>17.28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2067.57</v>
      </c>
      <c r="C10" s="25" t="n">
        <v>17.28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2145.35</v>
      </c>
      <c r="C11" s="25" t="n">
        <v>17.99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2017.9</v>
      </c>
      <c r="C12" s="25" t="n">
        <v>15.87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2119.16</v>
      </c>
      <c r="C13" s="25" t="n">
        <v>24.68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2100.03</v>
      </c>
      <c r="C14" s="25" t="n">
        <v>24.32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1910.26</v>
      </c>
      <c r="C15" s="25" t="n">
        <v>18.01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1701.84</v>
      </c>
      <c r="C16" s="25" t="n">
        <v>15.6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1975.25</v>
      </c>
      <c r="C17" s="25" t="n">
        <v>17.04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2142.54</v>
      </c>
      <c r="C18" s="25" t="n">
        <v>17.95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2052.92</v>
      </c>
      <c r="C19" s="25" t="n">
        <v>17.21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2177.28</v>
      </c>
      <c r="C20" s="25" t="n">
        <v>17.51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2283.77</v>
      </c>
      <c r="C21" s="25" t="n">
        <v>20.64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2283.16</v>
      </c>
      <c r="C22" s="25" t="n">
        <v>24.02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2179.46</v>
      </c>
      <c r="C23" s="25" t="n">
        <v>23.31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2052.67</v>
      </c>
      <c r="C24" s="25" t="n">
        <v>20.85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2058.14</v>
      </c>
      <c r="C25" s="25" t="n">
        <v>15.09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2250.22</v>
      </c>
      <c r="C26" s="25" t="n">
        <v>16.39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2333.55</v>
      </c>
      <c r="C27" s="25" t="n">
        <v>17.46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2488.06</v>
      </c>
      <c r="C28" s="25" t="n">
        <v>15.91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2706.58</v>
      </c>
      <c r="C29" s="25" t="n">
        <v>17.77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2787.75</v>
      </c>
      <c r="C30" s="25" t="n">
        <v>18.18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2913.22</v>
      </c>
      <c r="C31" s="25" t="n">
        <v>18.32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2796.45</v>
      </c>
      <c r="C32" s="25" t="n">
        <v>16.57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3029.13</v>
      </c>
      <c r="C33" s="25" t="n">
        <v>17.76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3401.85</v>
      </c>
      <c r="C34" s="25" t="n">
        <v>17.58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3628.29</v>
      </c>
      <c r="C35" s="25" t="n">
        <v>17.68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3653.96</v>
      </c>
      <c r="C36" s="25" t="n">
        <v>16.96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3642.36</v>
      </c>
      <c r="C37" s="25" t="n">
        <v>21.97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4008.88</v>
      </c>
      <c r="C38" s="25" t="n">
        <v>24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4016.03</v>
      </c>
      <c r="C39" s="25" t="n">
        <v>21.4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4184.62</v>
      </c>
      <c r="C40" s="25" t="n">
        <v>22.38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4350.42</v>
      </c>
      <c r="C41" s="25" t="n">
        <v>22.69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4163.88</v>
      </c>
      <c r="C42" s="25" t="n">
        <v>21.12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4145.47</v>
      </c>
      <c r="C43" s="25" t="n">
        <v>23.6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3737.52</v>
      </c>
      <c r="C44" s="25" t="n">
        <v>20.94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3725.55</v>
      </c>
      <c r="C45" s="25" t="n">
        <v>19.53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3547.35</v>
      </c>
      <c r="C46" s="25" t="n">
        <v>20.9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3421.3</v>
      </c>
      <c r="C47" s="25" t="n">
        <v>19.04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2986.05</v>
      </c>
      <c r="C48" s="25" t="n">
        <v>15.14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3310.6</v>
      </c>
      <c r="C49" s="25" t="n">
        <v>15.84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3432.6</v>
      </c>
      <c r="C50" s="25" t="n">
        <v>15.53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3717.8</v>
      </c>
      <c r="C51" s="25" t="n">
        <v>16.66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3869.3</v>
      </c>
      <c r="C52" s="25" t="n">
        <v>16.94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3650.1</v>
      </c>
      <c r="C53" s="25" t="n">
        <v>15.98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3457.7</v>
      </c>
      <c r="C54" s="25" t="n">
        <v>14.97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3702.7</v>
      </c>
      <c r="C55" s="25" t="n">
        <v>19.94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3951.6</v>
      </c>
      <c r="C56" s="25" t="n">
        <v>21.75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3961.7</v>
      </c>
      <c r="C57" s="25" t="n">
        <v>22.95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3954.95</v>
      </c>
      <c r="C58" s="25" t="n">
        <v>25.01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3774.7</v>
      </c>
      <c r="C59" s="25" t="n">
        <v>23.09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3781.6</v>
      </c>
      <c r="C60" s="25" t="n">
        <v>22.79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3317.65</v>
      </c>
      <c r="C61" s="25" t="n">
        <v>25.77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4074.8</v>
      </c>
      <c r="C62" s="25" t="n">
        <v>31.8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4254.35</v>
      </c>
      <c r="C63" s="25" t="n">
        <v>25.41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4296</v>
      </c>
      <c r="C64" s="25" t="n">
        <v>20.26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4440.75</v>
      </c>
      <c r="C65" s="25" t="n">
        <v>21.62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4489.8</v>
      </c>
      <c r="C66" s="25" t="n">
        <v>21.49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4188.65</v>
      </c>
      <c r="C67" s="25" t="n">
        <v>22.92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42369</v>
      </c>
      <c r="B2" s="24" t="n">
        <v>1544.57</v>
      </c>
      <c r="C2" s="25" t="n">
        <v>20.72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IF(C2="","",(COUNTIFS($D$2:$D$45,D2,$C$2:$C$45,"&gt;0",$C$2:$C$45,"&lt;"&amp;C2)+(COUNTIFS($D$2:$D$45,D2,$C$2:$C$45,C2)+1)/2)/COUNTIFS($D$2:$D$45,D2,$C$2:$C$45,"&gt;0"))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42460</v>
      </c>
      <c r="B3" s="24" t="n">
        <v>1352.06</v>
      </c>
      <c r="C3" s="25" t="n">
        <v>42.8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IF(C3="","",(COUNTIFS($D$2:$D$45,D3,$C$2:$C$45,"&gt;0",$C$2:$C$45,"&lt;"&amp;C3)+(COUNTIFS($D$2:$D$45,D3,$C$2:$C$45,C3)+1)/2)/COUNTIFS($D$2:$D$45,D3,$C$2:$C$45,"&gt;0"))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>
        <f>IFERROR((B43/B3)^(1/10)-1,"")</f>
        <v/>
      </c>
    </row>
    <row r="4">
      <c r="A4" s="31" t="n">
        <v>42551</v>
      </c>
      <c r="B4" s="24" t="n">
        <v>1500.54</v>
      </c>
      <c r="C4" s="25" t="n"/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IF(C4="","",(COUNTIFS($D$2:$D$45,D4,$C$2:$C$45,"&gt;0",$C$2:$C$45,"&lt;"&amp;C4)+(COUNTIFS($D$2:$D$45,D4,$C$2:$C$45,C4)+1)/2)/COUNTIFS($D$2:$D$45,D4,$C$2:$C$45,"&gt;0"))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>
        <f>IFERROR((B44/B4)^(1/10)-1,"")</f>
        <v/>
      </c>
    </row>
    <row r="5">
      <c r="A5" s="31" t="n">
        <v>42643</v>
      </c>
      <c r="B5" s="24" t="n">
        <v>1622.99</v>
      </c>
      <c r="C5" s="25" t="n">
        <v>69.26000000000001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IF(C5="","",(COUNTIFS($D$2:$D$45,D5,$C$2:$C$45,"&gt;0",$C$2:$C$45,"&lt;"&amp;C5)+(COUNTIFS($D$2:$D$45,D5,$C$2:$C$45,C5)+1)/2)/COUNTIFS($D$2:$D$45,D5,$C$2:$C$45,"&gt;0"))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>
        <f>IFERROR((B45/B5)^(1/10)-1,"")</f>
        <v/>
      </c>
    </row>
    <row r="6">
      <c r="A6" s="31" t="n">
        <v>42735</v>
      </c>
      <c r="B6" s="24" t="n">
        <v>1502.89</v>
      </c>
      <c r="C6" s="25" t="n">
        <v>104.86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IF(C6="","",(COUNTIFS($D$2:$D$45,D6,$C$2:$C$45,"&gt;0",$C$2:$C$45,"&lt;"&amp;C6)+(COUNTIFS($D$2:$D$45,D6,$C$2:$C$45,C6)+1)/2)/COUNTIFS($D$2:$D$45,D6,$C$2:$C$45,"&gt;0"))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42825</v>
      </c>
      <c r="B7" s="24" t="n">
        <v>1865.84</v>
      </c>
      <c r="C7" s="25" t="n">
        <v>108.58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IF(C7="","",(COUNTIFS($D$2:$D$45,D7,$C$2:$C$45,"&gt;0",$C$2:$C$45,"&lt;"&amp;C7)+(COUNTIFS($D$2:$D$45,D7,$C$2:$C$45,C7)+1)/2)/COUNTIFS($D$2:$D$45,D7,$C$2:$C$45,"&gt;0"))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42916</v>
      </c>
      <c r="B8" s="24" t="n">
        <v>1936.27</v>
      </c>
      <c r="C8" s="25" t="n">
        <v>170.13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IF(C8="","",(COUNTIFS($D$2:$D$45,D8,$C$2:$C$45,"&gt;0",$C$2:$C$45,"&lt;"&amp;C8)+(COUNTIFS($D$2:$D$45,D8,$C$2:$C$45,C8)+1)/2)/COUNTIFS($D$2:$D$45,D8,$C$2:$C$45,"&gt;0"))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43008</v>
      </c>
      <c r="B9" s="24" t="n">
        <v>1972.7</v>
      </c>
      <c r="C9" s="25" t="n"/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IF(C9="","",(COUNTIFS($D$2:$D$45,D9,$C$2:$C$45,"&gt;0",$C$2:$C$45,"&lt;"&amp;C9)+(COUNTIFS($D$2:$D$45,D9,$C$2:$C$45,C9)+1)/2)/COUNTIFS($D$2:$D$45,D9,$C$2:$C$45,"&gt;0"))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43100</v>
      </c>
      <c r="B10" s="24" t="n">
        <v>2396.7</v>
      </c>
      <c r="C10" s="25" t="n"/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IF(C10="","",(COUNTIFS($D$2:$D$45,D10,$C$2:$C$45,"&gt;0",$C$2:$C$45,"&lt;"&amp;C10)+(COUNTIFS($D$2:$D$45,D10,$C$2:$C$45,C10)+1)/2)/COUNTIFS($D$2:$D$45,D10,$C$2:$C$45,"&gt;0"))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43190</v>
      </c>
      <c r="B11" s="24" t="n">
        <v>1988.39</v>
      </c>
      <c r="C11" s="25" t="n"/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IF(C11="","",(COUNTIFS($D$2:$D$45,D11,$C$2:$C$45,"&gt;0",$C$2:$C$45,"&lt;"&amp;C11)+(COUNTIFS($D$2:$D$45,D11,$C$2:$C$45,C11)+1)/2)/COUNTIFS($D$2:$D$45,D11,$C$2:$C$45,"&gt;0"))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43281</v>
      </c>
      <c r="B12" s="24" t="n">
        <v>1833.26</v>
      </c>
      <c r="C12" s="25" t="n">
        <v>81.59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IF(C12="","",(COUNTIFS($D$2:$D$45,D12,$C$2:$C$45,"&gt;0",$C$2:$C$45,"&lt;"&amp;C12)+(COUNTIFS($D$2:$D$45,D12,$C$2:$C$45,C12)+1)/2)/COUNTIFS($D$2:$D$45,D12,$C$2:$C$45,"&gt;0"))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43373</v>
      </c>
      <c r="B13" s="24" t="n">
        <v>1556.26</v>
      </c>
      <c r="C13" s="25" t="n"/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IF(C13="","",(COUNTIFS($D$2:$D$45,D13,$C$2:$C$45,"&gt;0",$C$2:$C$45,"&lt;"&amp;C13)+(COUNTIFS($D$2:$D$45,D13,$C$2:$C$45,C13)+1)/2)/COUNTIFS($D$2:$D$45,D13,$C$2:$C$45,"&gt;0"))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43465</v>
      </c>
      <c r="B14" s="24" t="n">
        <v>1716.37</v>
      </c>
      <c r="C14" s="25" t="n">
        <v>63.15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IF(C14="","",(COUNTIFS($D$2:$D$45,D14,$C$2:$C$45,"&gt;0",$C$2:$C$45,"&lt;"&amp;C14)+(COUNTIFS($D$2:$D$45,D14,$C$2:$C$45,C14)+1)/2)/COUNTIFS($D$2:$D$45,D14,$C$2:$C$45,"&gt;0"))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43555</v>
      </c>
      <c r="B15" s="24" t="n">
        <v>1754.66</v>
      </c>
      <c r="C15" s="25" t="n">
        <v>45.01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IF(C15="","",(COUNTIFS($D$2:$D$45,D15,$C$2:$C$45,"&gt;0",$C$2:$C$45,"&lt;"&amp;C15)+(COUNTIFS($D$2:$D$45,D15,$C$2:$C$45,C15)+1)/2)/COUNTIFS($D$2:$D$45,D15,$C$2:$C$45,"&gt;0"))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43646</v>
      </c>
      <c r="B16" s="24" t="n">
        <v>1517.24</v>
      </c>
      <c r="C16" s="25" t="n">
        <v>22.99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IF(C16="","",(COUNTIFS($D$2:$D$45,D16,$C$2:$C$45,"&gt;0",$C$2:$C$45,"&lt;"&amp;C16)+(COUNTIFS($D$2:$D$45,D16,$C$2:$C$45,C16)+1)/2)/COUNTIFS($D$2:$D$45,D16,$C$2:$C$45,"&gt;0"))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43738</v>
      </c>
      <c r="B17" s="24" t="n">
        <v>1246.94</v>
      </c>
      <c r="C17" s="25" t="n">
        <v>89.95999999999999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IF(C17="","",(COUNTIFS($D$2:$D$45,D17,$C$2:$C$45,"&gt;0",$C$2:$C$45,"&lt;"&amp;C17)+(COUNTIFS($D$2:$D$45,D17,$C$2:$C$45,C17)+1)/2)/COUNTIFS($D$2:$D$45,D17,$C$2:$C$45,"&gt;0"))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43830</v>
      </c>
      <c r="B18" s="24" t="n">
        <v>1398.56</v>
      </c>
      <c r="C18" s="25" t="n"/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IF(C18="","",(COUNTIFS($D$2:$D$45,D18,$C$2:$C$45,"&gt;0",$C$2:$C$45,"&lt;"&amp;C18)+(COUNTIFS($D$2:$D$45,D18,$C$2:$C$45,C18)+1)/2)/COUNTIFS($D$2:$D$45,D18,$C$2:$C$45,"&gt;0"))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43921</v>
      </c>
      <c r="B19" s="24" t="n">
        <v>749.74</v>
      </c>
      <c r="C19" s="25" t="n"/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IF(C19="","",(COUNTIFS($D$2:$D$45,D19,$C$2:$C$45,"&gt;0",$C$2:$C$45,"&lt;"&amp;C19)+(COUNTIFS($D$2:$D$45,D19,$C$2:$C$45,C19)+1)/2)/COUNTIFS($D$2:$D$45,D19,$C$2:$C$45,"&gt;0"))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 t="n"/>
    </row>
    <row r="20">
      <c r="A20" s="31" t="n">
        <v>44012</v>
      </c>
      <c r="B20" s="24" t="n">
        <v>1025.06</v>
      </c>
      <c r="C20" s="25" t="n">
        <v>122.75</v>
      </c>
      <c r="D20" s="2" t="inlineStr">
        <is>
          <t>Standalone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IF(C20="","",(COUNTIFS($D$2:$D$45,D20,$C$2:$C$45,"&gt;0",$C$2:$C$45,"&lt;"&amp;C20)+(COUNTIFS($D$2:$D$45,D20,$C$2:$C$45,C20)+1)/2)/COUNTIFS($D$2:$D$45,D20,$C$2:$C$45,"&gt;0"))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 t="n"/>
    </row>
    <row r="21">
      <c r="A21" s="31" t="n">
        <v>44104</v>
      </c>
      <c r="B21" s="24" t="n">
        <v>1103.76</v>
      </c>
      <c r="C21" s="25" t="n"/>
      <c r="D21" s="2" t="inlineStr">
        <is>
          <t>Standalone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IF(C21="","",(COUNTIFS($D$2:$D$45,D21,$C$2:$C$45,"&gt;0",$C$2:$C$45,"&lt;"&amp;C21)+(COUNTIFS($D$2:$D$45,D21,$C$2:$C$45,C21)+1)/2)/COUNTIFS($D$2:$D$45,D21,$C$2:$C$45,"&gt;0"))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 t="n"/>
    </row>
    <row r="22">
      <c r="A22" s="31" t="n">
        <v>44196</v>
      </c>
      <c r="B22" s="24" t="n">
        <v>1525.93</v>
      </c>
      <c r="C22" s="25" t="n">
        <v>71.12</v>
      </c>
      <c r="D22" s="2" t="inlineStr">
        <is>
          <t>Standalone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IF(C22="","",(COUNTIFS($D$2:$D$45,D22,$C$2:$C$45,"&gt;0",$C$2:$C$45,"&lt;"&amp;C22)+(COUNTIFS($D$2:$D$45,D22,$C$2:$C$45,C22)+1)/2)/COUNTIFS($D$2:$D$45,D22,$C$2:$C$45,"&gt;0"))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 t="n"/>
    </row>
    <row r="23">
      <c r="A23" s="31" t="n">
        <v>44286</v>
      </c>
      <c r="B23" s="24" t="n">
        <v>1763.13</v>
      </c>
      <c r="C23" s="25" t="n">
        <v>106.52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IF(C23="","",(COUNTIFS($D$2:$D$45,D23,$C$2:$C$45,"&gt;0",$C$2:$C$45,"&lt;"&amp;C23)+(COUNTIFS($D$2:$D$45,D23,$C$2:$C$45,C23)+1)/2)/COUNTIFS($D$2:$D$45,D23,$C$2:$C$45,"&gt;0"))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>
        <f>IFERROR((B43/B23)^(1/5)-1,"")</f>
        <v/>
      </c>
      <c r="L23" s="30" t="n"/>
    </row>
    <row r="24">
      <c r="A24" s="31" t="n">
        <v>44377</v>
      </c>
      <c r="B24" s="24" t="n">
        <v>1972.5</v>
      </c>
      <c r="C24" s="25" t="n">
        <v>41.59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IF(C24="","",(COUNTIFS($D$2:$D$45,D24,$C$2:$C$45,"&gt;0",$C$2:$C$45,"&lt;"&amp;C24)+(COUNTIFS($D$2:$D$45,D24,$C$2:$C$45,C24)+1)/2)/COUNTIFS($D$2:$D$45,D24,$C$2:$C$45,"&gt;0"))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>
        <f>IFERROR((B44/B24)^(1/5)-1,"")</f>
        <v/>
      </c>
      <c r="L24" s="30" t="n"/>
    </row>
    <row r="25">
      <c r="A25" s="31" t="n">
        <v>44469</v>
      </c>
      <c r="B25" s="24" t="n">
        <v>2127.24</v>
      </c>
      <c r="C25" s="25" t="n">
        <v>20.7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IF(C25="","",(COUNTIFS($D$2:$D$45,D25,$C$2:$C$45,"&gt;0",$C$2:$C$45,"&lt;"&amp;C25)+(COUNTIFS($D$2:$D$45,D25,$C$2:$C$45,C25)+1)/2)/COUNTIFS($D$2:$D$45,D25,$C$2:$C$45,"&gt;0"))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>
        <f>IFERROR((B45/B25)^(1/5)-1,"")</f>
        <v/>
      </c>
      <c r="L25" s="30" t="n"/>
    </row>
    <row r="26">
      <c r="A26" s="31" t="n">
        <v>44561</v>
      </c>
      <c r="B26" s="24" t="n">
        <v>2067.57</v>
      </c>
      <c r="C26" s="25" t="n">
        <v>17.28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IF(C26="","",(COUNTIFS($D$2:$D$45,D26,$C$2:$C$45,"&gt;0",$C$2:$C$45,"&lt;"&amp;C26)+(COUNTIFS($D$2:$D$45,D26,$C$2:$C$45,C26)+1)/2)/COUNTIFS($D$2:$D$45,D26,$C$2:$C$45,"&gt;0"))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44651</v>
      </c>
      <c r="B27" s="24" t="n">
        <v>2119.16</v>
      </c>
      <c r="C27" s="25" t="n">
        <v>24.68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IF(C27="","",(COUNTIFS($D$2:$D$45,D27,$C$2:$C$45,"&gt;0",$C$2:$C$45,"&lt;"&amp;C27)+(COUNTIFS($D$2:$D$45,D27,$C$2:$C$45,C27)+1)/2)/COUNTIFS($D$2:$D$45,D27,$C$2:$C$45,"&gt;0"))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 t="n"/>
      <c r="L27" s="30" t="n"/>
    </row>
    <row r="28">
      <c r="A28" s="31" t="n">
        <v>44742</v>
      </c>
      <c r="B28" s="24" t="n">
        <v>1701.84</v>
      </c>
      <c r="C28" s="25" t="n">
        <v>15.6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IF(C28="","",(COUNTIFS($D$2:$D$45,D28,$C$2:$C$45,"&gt;0",$C$2:$C$45,"&lt;"&amp;C28)+(COUNTIFS($D$2:$D$45,D28,$C$2:$C$45,C28)+1)/2)/COUNTIFS($D$2:$D$45,D28,$C$2:$C$45,"&gt;0"))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 t="n"/>
      <c r="L28" s="30" t="n"/>
    </row>
    <row r="29">
      <c r="A29" s="31" t="n">
        <v>44834</v>
      </c>
      <c r="B29" s="24" t="n">
        <v>2052.92</v>
      </c>
      <c r="C29" s="25" t="n">
        <v>17.21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IF(C29="","",(COUNTIFS($D$2:$D$45,D29,$C$2:$C$45,"&gt;0",$C$2:$C$45,"&lt;"&amp;C29)+(COUNTIFS($D$2:$D$45,D29,$C$2:$C$45,C29)+1)/2)/COUNTIFS($D$2:$D$45,D29,$C$2:$C$45,"&gt;0"))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 t="n"/>
      <c r="L29" s="30" t="n"/>
    </row>
    <row r="30">
      <c r="A30" s="31" t="n">
        <v>44926</v>
      </c>
      <c r="B30" s="24" t="n">
        <v>2283.16</v>
      </c>
      <c r="C30" s="25" t="n">
        <v>24.02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IF(C30="","",(COUNTIFS($D$2:$D$45,D30,$C$2:$C$45,"&gt;0",$C$2:$C$45,"&lt;"&amp;C30)+(COUNTIFS($D$2:$D$45,D30,$C$2:$C$45,C30)+1)/2)/COUNTIFS($D$2:$D$45,D30,$C$2:$C$45,"&gt;0"))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 t="n"/>
      <c r="L30" s="30" t="n"/>
    </row>
    <row r="31">
      <c r="A31" s="31" t="n">
        <v>45016</v>
      </c>
      <c r="B31" s="24" t="n">
        <v>2058.14</v>
      </c>
      <c r="C31" s="25" t="n">
        <v>15.09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IF(C31="","",(COUNTIFS($D$2:$D$45,D31,$C$2:$C$45,"&gt;0",$C$2:$C$45,"&lt;"&amp;C31)+(COUNTIFS($D$2:$D$45,D31,$C$2:$C$45,C31)+1)/2)/COUNTIFS($D$2:$D$45,D31,$C$2:$C$45,"&gt;0"))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>
        <f>IFERROR((B43/B31)^(1/3)-1,"")</f>
        <v/>
      </c>
      <c r="K31" s="30" t="n"/>
      <c r="L31" s="30" t="n"/>
    </row>
    <row r="32">
      <c r="A32" s="31" t="n">
        <v>45107</v>
      </c>
      <c r="B32" s="24" t="n">
        <v>2488.06</v>
      </c>
      <c r="C32" s="25" t="n">
        <v>15.91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IF(C32="","",(COUNTIFS($D$2:$D$45,D32,$C$2:$C$45,"&gt;0",$C$2:$C$45,"&lt;"&amp;C32)+(COUNTIFS($D$2:$D$45,D32,$C$2:$C$45,C32)+1)/2)/COUNTIFS($D$2:$D$45,D32,$C$2:$C$45,"&gt;0"))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>
        <f>IFERROR((B44/B32)^(1/3)-1,"")</f>
        <v/>
      </c>
      <c r="K32" s="30" t="n"/>
      <c r="L32" s="30" t="n"/>
    </row>
    <row r="33">
      <c r="A33" s="31" t="n">
        <v>45199</v>
      </c>
      <c r="B33" s="24" t="n">
        <v>2913.22</v>
      </c>
      <c r="C33" s="25" t="n">
        <v>18.32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IF(C33="","",(COUNTIFS($D$2:$D$45,D33,$C$2:$C$45,"&gt;0",$C$2:$C$45,"&lt;"&amp;C33)+(COUNTIFS($D$2:$D$45,D33,$C$2:$C$45,C33)+1)/2)/COUNTIFS($D$2:$D$45,D33,$C$2:$C$45,"&gt;0"))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>
        <f>IFERROR((B45/B33)^(1/3)-1,"")</f>
        <v/>
      </c>
      <c r="K33" s="30" t="n"/>
      <c r="L33" s="30" t="n"/>
    </row>
    <row r="34">
      <c r="A34" s="31" t="n">
        <v>45291</v>
      </c>
      <c r="B34" s="24" t="n">
        <v>3401.85</v>
      </c>
      <c r="C34" s="25" t="n">
        <v>17.58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IF(C34="","",(COUNTIFS($D$2:$D$45,D34,$C$2:$C$45,"&gt;0",$C$2:$C$45,"&lt;"&amp;C34)+(COUNTIFS($D$2:$D$45,D34,$C$2:$C$45,C34)+1)/2)/COUNTIFS($D$2:$D$45,D34,$C$2:$C$45,"&gt;0"))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45382</v>
      </c>
      <c r="B35" s="24" t="n">
        <v>3642.36</v>
      </c>
      <c r="C35" s="25" t="n">
        <v>21.97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IF(C35="","",(COUNTIFS($D$2:$D$45,D35,$C$2:$C$45,"&gt;0",$C$2:$C$45,"&lt;"&amp;C35)+(COUNTIFS($D$2:$D$45,D35,$C$2:$C$45,C35)+1)/2)/COUNTIFS($D$2:$D$45,D35,$C$2:$C$45,"&gt;0"))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 t="n"/>
      <c r="K35" s="30" t="n"/>
      <c r="L35" s="30" t="n"/>
    </row>
    <row r="36">
      <c r="A36" s="31" t="n">
        <v>45473</v>
      </c>
      <c r="B36" s="24" t="n">
        <v>4184.62</v>
      </c>
      <c r="C36" s="25" t="n">
        <v>22.38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IF(C36="","",(COUNTIFS($D$2:$D$45,D36,$C$2:$C$45,"&gt;0",$C$2:$C$45,"&lt;"&amp;C36)+(COUNTIFS($D$2:$D$45,D36,$C$2:$C$45,C36)+1)/2)/COUNTIFS($D$2:$D$45,D36,$C$2:$C$45,"&gt;0"))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 t="n"/>
      <c r="K36" s="30" t="n"/>
      <c r="L36" s="30" t="n"/>
    </row>
    <row r="37">
      <c r="A37" s="31" t="n">
        <v>45565</v>
      </c>
      <c r="B37" s="24" t="n">
        <v>4145.47</v>
      </c>
      <c r="C37" s="25" t="n">
        <v>23.6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IF(C37="","",(COUNTIFS($D$2:$D$45,D37,$C$2:$C$45,"&gt;0",$C$2:$C$45,"&lt;"&amp;C37)+(COUNTIFS($D$2:$D$45,D37,$C$2:$C$45,C37)+1)/2)/COUNTIFS($D$2:$D$45,D37,$C$2:$C$45,"&gt;0"))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 t="n"/>
      <c r="K37" s="30" t="n"/>
      <c r="L37" s="30" t="n"/>
    </row>
    <row r="38">
      <c r="A38" s="31" t="n">
        <v>45657</v>
      </c>
      <c r="B38" s="24" t="n">
        <v>3547.35</v>
      </c>
      <c r="C38" s="25" t="n">
        <v>20.9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IF(C38="","",(COUNTIFS($D$2:$D$45,D38,$C$2:$C$45,"&gt;0",$C$2:$C$45,"&lt;"&amp;C38)+(COUNTIFS($D$2:$D$45,D38,$C$2:$C$45,C38)+1)/2)/COUNTIFS($D$2:$D$45,D38,$C$2:$C$45,"&gt;0"))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 t="n"/>
      <c r="K38" s="30" t="n"/>
      <c r="L38" s="30" t="n"/>
    </row>
    <row r="39">
      <c r="A39" s="31" t="n">
        <v>45747</v>
      </c>
      <c r="B39" s="24" t="n">
        <v>3310.6</v>
      </c>
      <c r="C39" s="25" t="n">
        <v>15.84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IF(C39="","",(COUNTIFS($D$2:$D$45,D39,$C$2:$C$45,"&gt;0",$C$2:$C$45,"&lt;"&amp;C39)+(COUNTIFS($D$2:$D$45,D39,$C$2:$C$45,C39)+1)/2)/COUNTIFS($D$2:$D$45,D39,$C$2:$C$45,"&gt;0"))</f>
        <v/>
      </c>
      <c r="H39">
        <f>IF(G39="","",IF(G39&lt;=20%,"Q1 Cheapest",IF(G39&lt;=40%,"Q2",IF(G39&lt;=60%,"Q3",IF(G39&lt;=80%,"Q4","Q5 Most Expensive")))))</f>
        <v/>
      </c>
      <c r="I39" s="30">
        <f>IFERROR(B43/B39-1,"")</f>
        <v/>
      </c>
      <c r="J39" s="30" t="n"/>
      <c r="K39" s="30" t="n"/>
      <c r="L39" s="30" t="n"/>
    </row>
    <row r="40">
      <c r="A40" s="31" t="n">
        <v>45838</v>
      </c>
      <c r="B40" s="24" t="n">
        <v>3869.3</v>
      </c>
      <c r="C40" s="25" t="n">
        <v>16.94</v>
      </c>
      <c r="D40" s="2" t="inlineStr">
        <is>
          <t>Consolidated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IF(C40="","",(COUNTIFS($D$2:$D$45,D40,$C$2:$C$45,"&gt;0",$C$2:$C$45,"&lt;"&amp;C40)+(COUNTIFS($D$2:$D$45,D40,$C$2:$C$45,C40)+1)/2)/COUNTIFS($D$2:$D$45,D40,$C$2:$C$45,"&gt;0"))</f>
        <v/>
      </c>
      <c r="H40">
        <f>IF(G40="","",IF(G40&lt;=20%,"Q1 Cheapest",IF(G40&lt;=40%,"Q2",IF(G40&lt;=60%,"Q3",IF(G40&lt;=80%,"Q4","Q5 Most Expensive")))))</f>
        <v/>
      </c>
      <c r="I40" s="30">
        <f>IFERROR(B44/B40-1,"")</f>
        <v/>
      </c>
      <c r="J40" s="30" t="n"/>
      <c r="K40" s="30" t="n"/>
      <c r="L40" s="30" t="n"/>
    </row>
    <row r="41">
      <c r="A41" s="31" t="n">
        <v>45930</v>
      </c>
      <c r="B41" s="24" t="n">
        <v>3702.7</v>
      </c>
      <c r="C41" s="25" t="n">
        <v>19.94</v>
      </c>
      <c r="D41" s="2" t="inlineStr">
        <is>
          <t>Consolidated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IF(C41="","",(COUNTIFS($D$2:$D$45,D41,$C$2:$C$45,"&gt;0",$C$2:$C$45,"&lt;"&amp;C41)+(COUNTIFS($D$2:$D$45,D41,$C$2:$C$45,C41)+1)/2)/COUNTIFS($D$2:$D$45,D41,$C$2:$C$45,"&gt;0"))</f>
        <v/>
      </c>
      <c r="H41">
        <f>IF(G41="","",IF(G41&lt;=20%,"Q1 Cheapest",IF(G41&lt;=40%,"Q2",IF(G41&lt;=60%,"Q3",IF(G41&lt;=80%,"Q4","Q5 Most Expensive")))))</f>
        <v/>
      </c>
      <c r="I41" s="30">
        <f>IFERROR(B45/B41-1,"")</f>
        <v/>
      </c>
      <c r="J41" s="30" t="n"/>
      <c r="K41" s="30" t="n"/>
      <c r="L41" s="30" t="n"/>
    </row>
    <row r="42">
      <c r="A42" s="31" t="n">
        <v>46022</v>
      </c>
      <c r="B42" s="24" t="n">
        <v>3954.95</v>
      </c>
      <c r="C42" s="25" t="n">
        <v>25.01</v>
      </c>
      <c r="D42" s="2" t="inlineStr">
        <is>
          <t>Consolidated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IF(C42="","",(COUNTIFS($D$2:$D$45,D42,$C$2:$C$45,"&gt;0",$C$2:$C$45,"&lt;"&amp;C42)+(COUNTIFS($D$2:$D$45,D42,$C$2:$C$45,C42)+1)/2)/COUNTIFS($D$2:$D$45,D42,$C$2:$C$45,"&gt;0"))</f>
        <v/>
      </c>
      <c r="H42">
        <f>IF(G42="","",IF(G42&lt;=20%,"Q1 Cheapest",IF(G42&lt;=40%,"Q2",IF(G42&lt;=60%,"Q3",IF(G42&lt;=80%,"Q4","Q5 Most Expensive")))))</f>
        <v/>
      </c>
      <c r="I42" s="30" t="n"/>
      <c r="J42" s="30" t="n"/>
      <c r="K42" s="30" t="n"/>
      <c r="L42" s="30" t="n"/>
    </row>
    <row r="43">
      <c r="A43" s="31" t="n">
        <v>46112</v>
      </c>
      <c r="B43" s="24" t="n">
        <v>3317.65</v>
      </c>
      <c r="C43" s="25" t="n">
        <v>25.77</v>
      </c>
      <c r="D43" s="2" t="inlineStr">
        <is>
          <t>Consolidated</t>
        </is>
      </c>
      <c r="E43" s="33">
        <f>IFERROR(B43/C43,"")</f>
        <v/>
      </c>
      <c r="F43" s="30">
        <f>IF(AND(D43=D39,E39&lt;&gt;""),E43/E39-1,"")</f>
        <v/>
      </c>
      <c r="G43" s="30">
        <f>IF(C43="","",(COUNTIFS($D$2:$D$45,D43,$C$2:$C$45,"&gt;0",$C$2:$C$45,"&lt;"&amp;C43)+(COUNTIFS($D$2:$D$45,D43,$C$2:$C$45,C43)+1)/2)/COUNTIFS($D$2:$D$45,D43,$C$2:$C$45,"&gt;0"))</f>
        <v/>
      </c>
      <c r="H43">
        <f>IF(G43="","",IF(G43&lt;=20%,"Q1 Cheapest",IF(G43&lt;=40%,"Q2",IF(G43&lt;=60%,"Q3",IF(G43&lt;=80%,"Q4","Q5 Most Expensive")))))</f>
        <v/>
      </c>
      <c r="I43" s="30" t="n"/>
      <c r="J43" s="30" t="n"/>
      <c r="K43" s="30" t="n"/>
      <c r="L43" s="30" t="n"/>
    </row>
    <row r="44">
      <c r="A44" s="31" t="n">
        <v>46203</v>
      </c>
      <c r="B44" s="24" t="n">
        <v>4296</v>
      </c>
      <c r="C44" s="25" t="n">
        <v>20.26</v>
      </c>
      <c r="D44" s="2" t="inlineStr">
        <is>
          <t>Consolidated</t>
        </is>
      </c>
      <c r="E44" s="33">
        <f>IFERROR(B44/C44,"")</f>
        <v/>
      </c>
      <c r="F44" s="30">
        <f>IF(AND(D44=D40,E40&lt;&gt;""),E44/E40-1,"")</f>
        <v/>
      </c>
      <c r="G44" s="30">
        <f>IF(C44="","",(COUNTIFS($D$2:$D$45,D44,$C$2:$C$45,"&gt;0",$C$2:$C$45,"&lt;"&amp;C44)+(COUNTIFS($D$2:$D$45,D44,$C$2:$C$45,C44)+1)/2)/COUNTIFS($D$2:$D$45,D44,$C$2:$C$45,"&gt;0"))</f>
        <v/>
      </c>
      <c r="H44">
        <f>IF(G44="","",IF(G44&lt;=20%,"Q1 Cheapest",IF(G44&lt;=40%,"Q2",IF(G44&lt;=60%,"Q3",IF(G44&lt;=80%,"Q4","Q5 Most Expensive")))))</f>
        <v/>
      </c>
      <c r="I44" s="30" t="n"/>
      <c r="J44" s="30" t="n"/>
      <c r="K44" s="30" t="n"/>
      <c r="L44" s="30" t="n"/>
    </row>
    <row r="45">
      <c r="A45" s="31" t="n">
        <v>46295</v>
      </c>
      <c r="B45" s="24" t="n">
        <v>4188.65</v>
      </c>
      <c r="C45" s="25" t="n">
        <v>22.92</v>
      </c>
      <c r="D45" s="2" t="inlineStr">
        <is>
          <t>Consolidated</t>
        </is>
      </c>
      <c r="E45" s="33">
        <f>IFERROR(B45/C45,"")</f>
        <v/>
      </c>
      <c r="F45" s="30">
        <f>IF(AND(D45=D41,E41&lt;&gt;""),E45/E41-1,"")</f>
        <v/>
      </c>
      <c r="G45" s="30">
        <f>IF(C45="","",(COUNTIFS($D$2:$D$45,D45,$C$2:$C$45,"&gt;0",$C$2:$C$45,"&lt;"&amp;C45)+(COUNTIFS($D$2:$D$45,D45,$C$2:$C$45,C45)+1)/2)/COUNTIFS($D$2:$D$45,D45,$C$2:$C$45,"&gt;0"))</f>
        <v/>
      </c>
      <c r="H45">
        <f>IF(G45="","",IF(G45&lt;=20%,"Q1 Cheapest",IF(G45&lt;=40%,"Q2",IF(G45&lt;=60%,"Q3",IF(G45&lt;=80%,"Q4","Q5 Most Expensive")))))</f>
        <v/>
      </c>
      <c r="I45" s="30" t="n"/>
      <c r="J45" s="30" t="n"/>
      <c r="K45" s="30" t="n"/>
      <c r="L45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8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4358.55</v>
      </c>
      <c r="C2" s="25" t="n">
        <v>20.86</v>
      </c>
      <c r="D2" s="26" t="n">
        <v>0.55303030303</v>
      </c>
      <c r="E2" s="26" t="n">
        <v>-0.09513224016339999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4340.45</v>
      </c>
      <c r="C3" s="25" t="n">
        <v>20.77</v>
      </c>
      <c r="D3" s="26" t="n">
        <v>0.537878787879</v>
      </c>
      <c r="E3" s="26" t="n">
        <v>-0.0951141603485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4335.15</v>
      </c>
      <c r="C4" s="25" t="n">
        <v>20.75</v>
      </c>
      <c r="D4" s="26" t="n">
        <v>0.537878787879</v>
      </c>
      <c r="E4" s="26" t="n">
        <v>-0.09524256594619999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4373.75</v>
      </c>
      <c r="C5" s="25" t="n">
        <v>20.93</v>
      </c>
      <c r="D5" s="26" t="n">
        <v>0.583333333333</v>
      </c>
      <c r="E5" s="26" t="n">
        <v>-0.0951067521462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4280.75</v>
      </c>
      <c r="C6" s="25" t="n">
        <v>20.49</v>
      </c>
      <c r="D6" s="26" t="n">
        <v>0.507575757576</v>
      </c>
      <c r="E6" s="26" t="n">
        <v>-0.09548570365929999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4297.9</v>
      </c>
      <c r="C7" s="25" t="n">
        <v>20.57</v>
      </c>
      <c r="D7" s="26" t="n">
        <v>0.507575757576</v>
      </c>
      <c r="E7" s="26" t="n">
        <v>-0.095159481941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4197.8</v>
      </c>
      <c r="C8" s="25" t="n">
        <v>20.09</v>
      </c>
      <c r="D8" s="26" t="n">
        <v>0.492424242424</v>
      </c>
      <c r="E8" s="26" t="n">
        <v>-0.0953743500965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4174.6</v>
      </c>
      <c r="C9" s="25" t="n">
        <v>19.98</v>
      </c>
      <c r="D9" s="26" t="n">
        <v>0.492424242424</v>
      </c>
      <c r="E9" s="26" t="n">
        <v>-0.0951596862927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4188.65</v>
      </c>
      <c r="C10" s="25" t="n">
        <v>22.92</v>
      </c>
      <c r="D10" s="26" t="n">
        <v>0.746268656716</v>
      </c>
      <c r="E10" s="26" t="n">
        <v>-0.0158391445024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4116.45</v>
      </c>
      <c r="C11" s="25" t="n">
        <v>22.53</v>
      </c>
      <c r="D11" s="26" t="n">
        <v>0.708955223881</v>
      </c>
      <c r="E11" s="26" t="n">
        <v>-0.0161317574663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4164.5</v>
      </c>
      <c r="C12" s="25" t="n">
        <v>22.79</v>
      </c>
      <c r="D12" s="26" t="n">
        <v>0.731343283582</v>
      </c>
      <c r="E12" s="26" t="n">
        <v>-0.0158792670815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4195.05</v>
      </c>
      <c r="C13" s="25" t="n">
        <v>22.96</v>
      </c>
      <c r="D13" s="26" t="n">
        <v>0.768656716418</v>
      </c>
      <c r="E13" s="26" t="n">
        <v>-0.0162294123744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4169.3</v>
      </c>
      <c r="C14" s="25" t="n">
        <v>22.81</v>
      </c>
      <c r="D14" s="26" t="n">
        <v>0.738805970149</v>
      </c>
      <c r="E14" s="26" t="n">
        <v>-0.0156686422429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4051.25</v>
      </c>
      <c r="C15" s="25" t="n">
        <v>22.17</v>
      </c>
      <c r="D15" s="26" t="n">
        <v>0.694029850746</v>
      </c>
      <c r="E15" s="26" t="n">
        <v>-0.0159436590467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4093.1</v>
      </c>
      <c r="C16" s="25" t="n">
        <v>22.4</v>
      </c>
      <c r="D16" s="26" t="n">
        <v>0.708955223881</v>
      </c>
      <c r="E16" s="26" t="n">
        <v>-0.0160651971374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4114.2</v>
      </c>
      <c r="C17" s="25" t="n">
        <v>22.51</v>
      </c>
      <c r="D17" s="26" t="n">
        <v>0.708955223881</v>
      </c>
      <c r="E17" s="26" t="n">
        <v>-0.0157348917814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4185.3</v>
      </c>
      <c r="C18" s="25" t="n">
        <v>22.9</v>
      </c>
      <c r="D18" s="26" t="n">
        <v>0.738805970149</v>
      </c>
      <c r="E18" s="26" t="n">
        <v>-0.0159179523835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4159.35</v>
      </c>
      <c r="C19" s="25" t="n">
        <v>22.76</v>
      </c>
      <c r="D19" s="26" t="n">
        <v>0.723880597015</v>
      </c>
      <c r="E19" s="26" t="n">
        <v>-0.0158164988531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12" customWidth="1" min="3" max="3"/>
    <col width="32" customWidth="1" min="4" max="4"/>
    <col width="15" customWidth="1" min="5" max="5"/>
  </cols>
  <sheetData>
    <row r="1">
      <c r="A1" s="35" t="inlineStr">
        <is>
          <t>NIFTY High Beta 50 Composition</t>
        </is>
      </c>
    </row>
    <row r="2">
      <c r="A2" s="2" t="inlineStr">
        <is>
          <t>As of</t>
        </is>
      </c>
      <c r="B2" s="4" t="inlineStr">
        <is>
          <t>Retrieved 2026-10-14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Adani Energy Solutions Ltd.</t>
        </is>
      </c>
      <c r="C6" t="inlineStr">
        <is>
          <t>ADANIENSOL</t>
        </is>
      </c>
      <c r="D6" t="inlineStr">
        <is>
          <t>Power</t>
        </is>
      </c>
    </row>
    <row r="7">
      <c r="A7" t="n">
        <v>2</v>
      </c>
      <c r="B7" t="inlineStr">
        <is>
          <t>Adani Enterprises Ltd.</t>
        </is>
      </c>
      <c r="C7" t="inlineStr">
        <is>
          <t>ADANIENT</t>
        </is>
      </c>
      <c r="D7" t="inlineStr">
        <is>
          <t>Metals &amp; Mining</t>
        </is>
      </c>
    </row>
    <row r="8">
      <c r="A8" t="n">
        <v>3</v>
      </c>
      <c r="B8" t="inlineStr">
        <is>
          <t>Adani Green Energy Ltd.</t>
        </is>
      </c>
      <c r="C8" t="inlineStr">
        <is>
          <t>ADANIGREEN</t>
        </is>
      </c>
      <c r="D8" t="inlineStr">
        <is>
          <t>Power</t>
        </is>
      </c>
    </row>
    <row r="9">
      <c r="A9" t="n">
        <v>4</v>
      </c>
      <c r="B9" t="inlineStr">
        <is>
          <t>Adani Ports and Special Economic Zone Ltd.</t>
        </is>
      </c>
      <c r="C9" t="inlineStr">
        <is>
          <t>ADANIPORTS</t>
        </is>
      </c>
      <c r="D9" t="inlineStr">
        <is>
          <t>Services</t>
        </is>
      </c>
    </row>
    <row r="10">
      <c r="A10" t="n">
        <v>5</v>
      </c>
      <c r="B10" t="inlineStr">
        <is>
          <t>Aditya Birla Capital Ltd.</t>
        </is>
      </c>
      <c r="C10" t="inlineStr">
        <is>
          <t>ABCAPITAL</t>
        </is>
      </c>
      <c r="D10" t="inlineStr">
        <is>
          <t>Financial Services</t>
        </is>
      </c>
    </row>
    <row r="11">
      <c r="A11" t="n">
        <v>6</v>
      </c>
      <c r="B11" t="inlineStr">
        <is>
          <t>Amber Enterprises India Ltd.</t>
        </is>
      </c>
      <c r="C11" t="inlineStr">
        <is>
          <t>AMBER</t>
        </is>
      </c>
      <c r="D11" t="inlineStr">
        <is>
          <t>Consumer Durables</t>
        </is>
      </c>
    </row>
    <row r="12">
      <c r="A12" t="n">
        <v>7</v>
      </c>
      <c r="B12" t="inlineStr">
        <is>
          <t>Ambuja Cements Ltd.</t>
        </is>
      </c>
      <c r="C12" t="inlineStr">
        <is>
          <t>AMBUJACEM</t>
        </is>
      </c>
      <c r="D12" t="inlineStr">
        <is>
          <t>Construction Materials</t>
        </is>
      </c>
    </row>
    <row r="13">
      <c r="A13" t="n">
        <v>8</v>
      </c>
      <c r="B13" t="inlineStr">
        <is>
          <t>Angel One Ltd.</t>
        </is>
      </c>
      <c r="C13" t="inlineStr">
        <is>
          <t>ANGELONE</t>
        </is>
      </c>
      <c r="D13" t="inlineStr">
        <is>
          <t>Financial Services</t>
        </is>
      </c>
    </row>
    <row r="14">
      <c r="A14" t="n">
        <v>9</v>
      </c>
      <c r="B14" t="inlineStr">
        <is>
          <t>Apar Industries Ltd.</t>
        </is>
      </c>
      <c r="C14" t="inlineStr">
        <is>
          <t>APARINDS</t>
        </is>
      </c>
      <c r="D14" t="inlineStr">
        <is>
          <t>Capital Goods</t>
        </is>
      </c>
    </row>
    <row r="15">
      <c r="A15" t="n">
        <v>10</v>
      </c>
      <c r="B15" t="inlineStr">
        <is>
          <t>Ashok Leyland Ltd.</t>
        </is>
      </c>
      <c r="C15" t="inlineStr">
        <is>
          <t>ASHOKLEY</t>
        </is>
      </c>
      <c r="D15" t="inlineStr">
        <is>
          <t>Capital Goods</t>
        </is>
      </c>
    </row>
    <row r="16">
      <c r="A16" t="n">
        <v>11</v>
      </c>
      <c r="B16" t="inlineStr">
        <is>
          <t>Bajaj Finance Ltd.</t>
        </is>
      </c>
      <c r="C16" t="inlineStr">
        <is>
          <t>BAJFINANCE</t>
        </is>
      </c>
      <c r="D16" t="inlineStr">
        <is>
          <t>Financial Services</t>
        </is>
      </c>
    </row>
    <row r="17">
      <c r="A17" t="n">
        <v>12</v>
      </c>
      <c r="B17" t="inlineStr">
        <is>
          <t>Bandhan Bank Ltd.</t>
        </is>
      </c>
      <c r="C17" t="inlineStr">
        <is>
          <t>BANDHANBNK</t>
        </is>
      </c>
      <c r="D17" t="inlineStr">
        <is>
          <t>Financial Services</t>
        </is>
      </c>
    </row>
    <row r="18">
      <c r="A18" t="n">
        <v>13</v>
      </c>
      <c r="B18" t="inlineStr">
        <is>
          <t>Bank of India</t>
        </is>
      </c>
      <c r="C18" t="inlineStr">
        <is>
          <t>BANKINDIA</t>
        </is>
      </c>
      <c r="D18" t="inlineStr">
        <is>
          <t>Financial Services</t>
        </is>
      </c>
    </row>
    <row r="19">
      <c r="A19" t="n">
        <v>14</v>
      </c>
      <c r="B19" t="inlineStr">
        <is>
          <t>Bank of Maharashtra</t>
        </is>
      </c>
      <c r="C19" t="inlineStr">
        <is>
          <t>MAHABANK</t>
        </is>
      </c>
      <c r="D19" t="inlineStr">
        <is>
          <t>Financial Services</t>
        </is>
      </c>
    </row>
    <row r="20">
      <c r="A20" t="n">
        <v>15</v>
      </c>
      <c r="B20" t="inlineStr">
        <is>
          <t>Bharat Heavy Electricals Ltd.</t>
        </is>
      </c>
      <c r="C20" t="inlineStr">
        <is>
          <t>BHEL</t>
        </is>
      </c>
      <c r="D20" t="inlineStr">
        <is>
          <t>Capital Goods</t>
        </is>
      </c>
    </row>
    <row r="21">
      <c r="A21" t="n">
        <v>16</v>
      </c>
      <c r="B21" t="inlineStr">
        <is>
          <t>BSE Ltd.</t>
        </is>
      </c>
      <c r="C21" t="inlineStr">
        <is>
          <t>BSE</t>
        </is>
      </c>
      <c r="D21" t="inlineStr">
        <is>
          <t>Financial Services</t>
        </is>
      </c>
    </row>
    <row r="22">
      <c r="A22" t="n">
        <v>17</v>
      </c>
      <c r="B22" t="inlineStr">
        <is>
          <t>Central Depository Services (India) Ltd.</t>
        </is>
      </c>
      <c r="C22" t="inlineStr">
        <is>
          <t>CDSL</t>
        </is>
      </c>
      <c r="D22" t="inlineStr">
        <is>
          <t>Financial Services</t>
        </is>
      </c>
    </row>
    <row r="23">
      <c r="A23" t="n">
        <v>18</v>
      </c>
      <c r="B23" t="inlineStr">
        <is>
          <t>Cholamandalam Investment and Finance Company Ltd.</t>
        </is>
      </c>
      <c r="C23" t="inlineStr">
        <is>
          <t>CHOLAFIN</t>
        </is>
      </c>
      <c r="D23" t="inlineStr">
        <is>
          <t>Financial Services</t>
        </is>
      </c>
    </row>
    <row r="24">
      <c r="A24" t="n">
        <v>19</v>
      </c>
      <c r="B24" t="inlineStr">
        <is>
          <t>Dixon Technologies (India) Ltd.</t>
        </is>
      </c>
      <c r="C24" t="inlineStr">
        <is>
          <t>DIXON</t>
        </is>
      </c>
      <c r="D24" t="inlineStr">
        <is>
          <t>Consumer Durables</t>
        </is>
      </c>
    </row>
    <row r="25">
      <c r="A25" t="n">
        <v>20</v>
      </c>
      <c r="B25" t="inlineStr">
        <is>
          <t>DLF Ltd.</t>
        </is>
      </c>
      <c r="C25" t="inlineStr">
        <is>
          <t>DLF</t>
        </is>
      </c>
      <c r="D25" t="inlineStr">
        <is>
          <t>Realty</t>
        </is>
      </c>
    </row>
    <row r="26">
      <c r="A26" t="n">
        <v>21</v>
      </c>
      <c r="B26" t="inlineStr">
        <is>
          <t>GMR Airports Ltd.</t>
        </is>
      </c>
      <c r="C26" t="inlineStr">
        <is>
          <t>GMRAIRPORT</t>
        </is>
      </c>
      <c r="D26" t="inlineStr">
        <is>
          <t>Services</t>
        </is>
      </c>
    </row>
    <row r="27">
      <c r="A27" t="n">
        <v>22</v>
      </c>
      <c r="B27" t="inlineStr">
        <is>
          <t>Godrej Properties Ltd.</t>
        </is>
      </c>
      <c r="C27" t="inlineStr">
        <is>
          <t>GODREJPROP</t>
        </is>
      </c>
      <c r="D27" t="inlineStr">
        <is>
          <t>Realty</t>
        </is>
      </c>
    </row>
    <row r="28">
      <c r="A28" t="n">
        <v>23</v>
      </c>
      <c r="B28" t="inlineStr">
        <is>
          <t>HDFC Asset Management Company Ltd.</t>
        </is>
      </c>
      <c r="C28" t="inlineStr">
        <is>
          <t>HDFCAMC</t>
        </is>
      </c>
      <c r="D28" t="inlineStr">
        <is>
          <t>Financial Services</t>
        </is>
      </c>
    </row>
    <row r="29">
      <c r="A29" t="n">
        <v>24</v>
      </c>
      <c r="B29" t="inlineStr">
        <is>
          <t>Hindustan Copper Ltd.</t>
        </is>
      </c>
      <c r="C29" t="inlineStr">
        <is>
          <t>HINDCOPPER</t>
        </is>
      </c>
      <c r="D29" t="inlineStr">
        <is>
          <t>Metals &amp; Mining</t>
        </is>
      </c>
    </row>
    <row r="30">
      <c r="A30" t="n">
        <v>25</v>
      </c>
      <c r="B30" t="inlineStr">
        <is>
          <t>Hindustan Petroleum Corporation Ltd.</t>
        </is>
      </c>
      <c r="C30" t="inlineStr">
        <is>
          <t>HINDPETRO</t>
        </is>
      </c>
      <c r="D30" t="inlineStr">
        <is>
          <t>Oil Gas &amp; Consumable Fuels</t>
        </is>
      </c>
    </row>
    <row r="31">
      <c r="A31" t="n">
        <v>26</v>
      </c>
      <c r="B31" t="inlineStr">
        <is>
          <t>IIFL Finance Ltd.</t>
        </is>
      </c>
      <c r="C31" t="inlineStr">
        <is>
          <t>IIFL</t>
        </is>
      </c>
      <c r="D31" t="inlineStr">
        <is>
          <t>Financial Services</t>
        </is>
      </c>
    </row>
    <row r="32">
      <c r="A32" t="n">
        <v>27</v>
      </c>
      <c r="B32" t="inlineStr">
        <is>
          <t>Indian Railway Finance Corporation Ltd.</t>
        </is>
      </c>
      <c r="C32" t="inlineStr">
        <is>
          <t>IRFC</t>
        </is>
      </c>
      <c r="D32" t="inlineStr">
        <is>
          <t>Financial Services</t>
        </is>
      </c>
    </row>
    <row r="33">
      <c r="A33" t="n">
        <v>28</v>
      </c>
      <c r="B33" t="inlineStr">
        <is>
          <t>InterGlobe Aviation Ltd.</t>
        </is>
      </c>
      <c r="C33" t="inlineStr">
        <is>
          <t>INDIGO</t>
        </is>
      </c>
      <c r="D33" t="inlineStr">
        <is>
          <t>Services</t>
        </is>
      </c>
    </row>
    <row r="34">
      <c r="A34" t="n">
        <v>29</v>
      </c>
      <c r="B34" t="inlineStr">
        <is>
          <t>Jio Financial Services Ltd.</t>
        </is>
      </c>
      <c r="C34" t="inlineStr">
        <is>
          <t>JIOFIN</t>
        </is>
      </c>
      <c r="D34" t="inlineStr">
        <is>
          <t>Financial Services</t>
        </is>
      </c>
    </row>
    <row r="35">
      <c r="A35" t="n">
        <v>30</v>
      </c>
      <c r="B35" t="inlineStr">
        <is>
          <t>Kalyan Jewellers India Ltd.</t>
        </is>
      </c>
      <c r="C35" t="inlineStr">
        <is>
          <t>KALYANKJIL</t>
        </is>
      </c>
      <c r="D35" t="inlineStr">
        <is>
          <t>Consumer Durables</t>
        </is>
      </c>
    </row>
    <row r="36">
      <c r="A36" t="n">
        <v>31</v>
      </c>
      <c r="B36" t="inlineStr">
        <is>
          <t>Kaynes Technology India Ltd.</t>
        </is>
      </c>
      <c r="C36" t="inlineStr">
        <is>
          <t>KAYNES</t>
        </is>
      </c>
      <c r="D36" t="inlineStr">
        <is>
          <t>Capital Goods</t>
        </is>
      </c>
    </row>
    <row r="37">
      <c r="A37" t="n">
        <v>32</v>
      </c>
      <c r="B37" t="inlineStr">
        <is>
          <t>L&amp;T Finance Ltd.</t>
        </is>
      </c>
      <c r="C37" t="inlineStr">
        <is>
          <t>LTF</t>
        </is>
      </c>
      <c r="D37" t="inlineStr">
        <is>
          <t>Financial Services</t>
        </is>
      </c>
    </row>
    <row r="38">
      <c r="A38" t="n">
        <v>33</v>
      </c>
      <c r="B38" t="inlineStr">
        <is>
          <t>Larsen &amp; Toubro Ltd.</t>
        </is>
      </c>
      <c r="C38" t="inlineStr">
        <is>
          <t>LT</t>
        </is>
      </c>
      <c r="D38" t="inlineStr">
        <is>
          <t>Construction</t>
        </is>
      </c>
    </row>
    <row r="39">
      <c r="A39" t="n">
        <v>34</v>
      </c>
      <c r="B39" t="inlineStr">
        <is>
          <t>Lodha Developers Ltd.</t>
        </is>
      </c>
      <c r="C39" t="inlineStr">
        <is>
          <t>LODHA</t>
        </is>
      </c>
      <c r="D39" t="inlineStr">
        <is>
          <t>Realty</t>
        </is>
      </c>
    </row>
    <row r="40">
      <c r="A40" t="n">
        <v>35</v>
      </c>
      <c r="B40" t="inlineStr">
        <is>
          <t>Mahindra &amp; Mahindra Financial Services Ltd.</t>
        </is>
      </c>
      <c r="C40" t="inlineStr">
        <is>
          <t>M&amp;MFIN</t>
        </is>
      </c>
      <c r="D40" t="inlineStr">
        <is>
          <t>Financial Services</t>
        </is>
      </c>
    </row>
    <row r="41">
      <c r="A41" t="n">
        <v>36</v>
      </c>
      <c r="B41" t="inlineStr">
        <is>
          <t>Mahindra &amp; Mahindra Ltd.</t>
        </is>
      </c>
      <c r="C41" t="inlineStr">
        <is>
          <t>M&amp;M</t>
        </is>
      </c>
      <c r="D41" t="inlineStr">
        <is>
          <t>Automobile and Auto Components</t>
        </is>
      </c>
    </row>
    <row r="42">
      <c r="A42" t="n">
        <v>37</v>
      </c>
      <c r="B42" t="inlineStr">
        <is>
          <t>Mazagoan Dock Shipbuilders Ltd.</t>
        </is>
      </c>
      <c r="C42" t="inlineStr">
        <is>
          <t>MAZDOCK</t>
        </is>
      </c>
      <c r="D42" t="inlineStr">
        <is>
          <t>Capital Goods</t>
        </is>
      </c>
    </row>
    <row r="43">
      <c r="A43" t="n">
        <v>38</v>
      </c>
      <c r="B43" t="inlineStr">
        <is>
          <t>MTAR Technologies Ltd.</t>
        </is>
      </c>
      <c r="C43" t="inlineStr">
        <is>
          <t>MTARTECH</t>
        </is>
      </c>
      <c r="D43" t="inlineStr">
        <is>
          <t>Capital Goods</t>
        </is>
      </c>
    </row>
    <row r="44">
      <c r="A44" t="n">
        <v>39</v>
      </c>
      <c r="B44" t="inlineStr">
        <is>
          <t>Nippon Life India Asset Management Ltd.</t>
        </is>
      </c>
      <c r="C44" t="inlineStr">
        <is>
          <t>NAM-INDIA</t>
        </is>
      </c>
      <c r="D44" t="inlineStr">
        <is>
          <t>Financial Services</t>
        </is>
      </c>
    </row>
    <row r="45">
      <c r="A45" t="n">
        <v>40</v>
      </c>
      <c r="B45" t="inlineStr">
        <is>
          <t>One 97 Communications Ltd.</t>
        </is>
      </c>
      <c r="C45" t="inlineStr">
        <is>
          <t>PAYTM</t>
        </is>
      </c>
      <c r="D45" t="inlineStr">
        <is>
          <t>Financial Services</t>
        </is>
      </c>
    </row>
    <row r="46">
      <c r="A46" t="n">
        <v>41</v>
      </c>
      <c r="B46" t="inlineStr">
        <is>
          <t>PNB Housing Finance Ltd.</t>
        </is>
      </c>
      <c r="C46" t="inlineStr">
        <is>
          <t>PNBHOUSING</t>
        </is>
      </c>
      <c r="D46" t="inlineStr">
        <is>
          <t>Financial Services</t>
        </is>
      </c>
    </row>
    <row r="47">
      <c r="A47" t="n">
        <v>42</v>
      </c>
      <c r="B47" t="inlineStr">
        <is>
          <t>Prestige Estates Projects Ltd.</t>
        </is>
      </c>
      <c r="C47" t="inlineStr">
        <is>
          <t>PRESTIGE</t>
        </is>
      </c>
      <c r="D47" t="inlineStr">
        <is>
          <t>Realty</t>
        </is>
      </c>
    </row>
    <row r="48">
      <c r="A48" t="n">
        <v>43</v>
      </c>
      <c r="B48" t="inlineStr">
        <is>
          <t>Rail Vikas Nigam Ltd.</t>
        </is>
      </c>
      <c r="C48" t="inlineStr">
        <is>
          <t>RVNL</t>
        </is>
      </c>
      <c r="D48" t="inlineStr">
        <is>
          <t>Construction</t>
        </is>
      </c>
    </row>
    <row r="49">
      <c r="A49" t="n">
        <v>44</v>
      </c>
      <c r="B49" t="inlineStr">
        <is>
          <t>REC Ltd.</t>
        </is>
      </c>
      <c r="C49" t="inlineStr">
        <is>
          <t>RECLTD</t>
        </is>
      </c>
      <c r="D49" t="inlineStr">
        <is>
          <t>Financial Services</t>
        </is>
      </c>
    </row>
    <row r="50">
      <c r="A50" t="n">
        <v>45</v>
      </c>
      <c r="B50" t="inlineStr">
        <is>
          <t>Redington Ltd.</t>
        </is>
      </c>
      <c r="C50" t="inlineStr">
        <is>
          <t>REDINGTON</t>
        </is>
      </c>
      <c r="D50" t="inlineStr">
        <is>
          <t>Services</t>
        </is>
      </c>
    </row>
    <row r="51">
      <c r="A51" t="n">
        <v>46</v>
      </c>
      <c r="B51" t="inlineStr">
        <is>
          <t>Samvardhana Motherson International Ltd.</t>
        </is>
      </c>
      <c r="C51" t="inlineStr">
        <is>
          <t>MOTHERSON</t>
        </is>
      </c>
      <c r="D51" t="inlineStr">
        <is>
          <t>Automobile and Auto Components</t>
        </is>
      </c>
    </row>
    <row r="52">
      <c r="A52" t="n">
        <v>47</v>
      </c>
      <c r="B52" t="inlineStr">
        <is>
          <t>Shriram Finance Ltd.</t>
        </is>
      </c>
      <c r="C52" t="inlineStr">
        <is>
          <t>SHRIRAMFIN</t>
        </is>
      </c>
      <c r="D52" t="inlineStr">
        <is>
          <t>Financial Services</t>
        </is>
      </c>
    </row>
    <row r="53">
      <c r="A53" t="n">
        <v>48</v>
      </c>
      <c r="B53" t="inlineStr">
        <is>
          <t>Tata Motors Passenger Vehicles Ltd.</t>
        </is>
      </c>
      <c r="C53" t="inlineStr">
        <is>
          <t>TMPV</t>
        </is>
      </c>
      <c r="D53" t="inlineStr">
        <is>
          <t>Automobile and Auto Components</t>
        </is>
      </c>
    </row>
    <row r="54">
      <c r="A54" t="n">
        <v>49</v>
      </c>
      <c r="B54" t="inlineStr">
        <is>
          <t>Union Bank of India</t>
        </is>
      </c>
      <c r="C54" t="inlineStr">
        <is>
          <t>UNIONBANK</t>
        </is>
      </c>
      <c r="D54" t="inlineStr">
        <is>
          <t>Financial Services</t>
        </is>
      </c>
    </row>
    <row r="55">
      <c r="A55" t="n">
        <v>50</v>
      </c>
      <c r="B55" t="inlineStr">
        <is>
          <t>Vodafone Idea Ltd.</t>
        </is>
      </c>
      <c r="C55" t="inlineStr">
        <is>
          <t>IDEA</t>
        </is>
      </c>
      <c r="D55" t="inlineStr">
        <is>
          <t>Telecommunication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2026-10-14T17:37:07Z</dcterms:created>
  <dcterms:modified xsi:type="dcterms:W3CDTF">2026-10-14T17:37:28Z</dcterms:modified>
</cp:coreProperties>
</file>