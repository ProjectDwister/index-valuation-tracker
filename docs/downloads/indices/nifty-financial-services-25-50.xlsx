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17" customWidth="1" min="6" max="6"/>
    <col width="19" customWidth="1" min="7" max="7"/>
  </cols>
  <sheetData>
    <row r="1" ht="26" customHeight="1">
      <c r="A1" s="1" t="inlineStr">
        <is>
          <t>NIFTY Financial Services 25/50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27552</v>
      </c>
      <c r="D5" s="2" t="inlineStr">
        <is>
          <t>P/E</t>
        </is>
      </c>
      <c r="E5" s="7" t="n">
        <v>15.23</v>
      </c>
    </row>
    <row r="6">
      <c r="A6" s="2" t="inlineStr">
        <is>
          <t>P/E percentile</t>
        </is>
      </c>
      <c r="B6" s="8" t="n">
        <v>0.05303030303030303</v>
      </c>
      <c r="D6" s="2" t="inlineStr">
        <is>
          <t>Implied EPS</t>
        </is>
      </c>
      <c r="E6" s="9" t="n">
        <v>1809.061063690085</v>
      </c>
    </row>
    <row r="7">
      <c r="A7" s="2" t="inlineStr">
        <is>
          <t>YoY implied EPS growth</t>
        </is>
      </c>
      <c r="B7" s="8" t="n">
        <v>0.0791562000960504</v>
      </c>
      <c r="D7" s="2" t="inlineStr">
        <is>
          <t>Earnings yield</t>
        </is>
      </c>
      <c r="E7" s="10" t="n">
        <v>0.06565988181221273</v>
      </c>
    </row>
    <row r="8">
      <c r="A8" s="2" t="inlineStr">
        <is>
          <t>Valuation score</t>
        </is>
      </c>
      <c r="B8" s="11" t="n">
        <v>94.6969696969697</v>
      </c>
      <c r="D8" s="2" t="inlineStr">
        <is>
          <t>Growth score</t>
        </is>
      </c>
      <c r="E8" s="11" t="n">
        <v>51.66248003842016</v>
      </c>
    </row>
    <row r="9">
      <c r="A9" s="2" t="inlineStr">
        <is>
          <t>Composite score</t>
        </is>
      </c>
      <c r="B9" s="11" t="n">
        <v>81.78662279940482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16.24783381735691</v>
      </c>
      <c r="C13" s="15" t="n">
        <v>29393.32352828744</v>
      </c>
      <c r="D13" s="16" t="n">
        <v>0.06683084815212825</v>
      </c>
    </row>
    <row r="14">
      <c r="A14" t="inlineStr">
        <is>
          <t>HOLD → SELL</t>
        </is>
      </c>
      <c r="B14" s="14" t="n">
        <v>17.50248833724989</v>
      </c>
      <c r="C14" s="15" t="n">
        <v>31663.07016860859</v>
      </c>
      <c r="D14" s="16" t="n">
        <v>0.1492113156434594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4</v>
      </c>
      <c r="C18" s="16" t="n">
        <v>0.3143587918558191</v>
      </c>
      <c r="D18" s="16" t="n">
        <v>0.193733258786567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0.08319641705317654</v>
      </c>
      <c r="D19" s="16" t="n">
        <v>0.181444865081632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6</v>
      </c>
      <c r="C20" s="16" t="n">
        <v>0.2437578087592251</v>
      </c>
      <c r="D20" s="16" t="n">
        <v>0.1816047377421586</v>
      </c>
      <c r="E20" s="16" t="n">
        <v>0.2173408129946817</v>
      </c>
      <c r="F20" s="16" t="n"/>
      <c r="G20" s="16" t="n">
        <v>0</v>
      </c>
    </row>
    <row r="21">
      <c r="A21" t="inlineStr">
        <is>
          <t>Q4</t>
        </is>
      </c>
      <c r="B21" t="n">
        <v>4</v>
      </c>
      <c r="C21" s="16" t="n">
        <v>0.03647116533644135</v>
      </c>
      <c r="D21" s="16" t="n"/>
      <c r="E21" s="16" t="n"/>
      <c r="F21" s="16" t="n"/>
      <c r="G21" s="16" t="n"/>
    </row>
    <row r="22">
      <c r="A22" t="inlineStr">
        <is>
          <t>Q5 Most Expensive</t>
        </is>
      </c>
      <c r="B22" t="n">
        <v>6</v>
      </c>
      <c r="C22" s="16" t="n">
        <v>0.04238463228830802</v>
      </c>
      <c r="D22" s="16" t="n">
        <v>0.1456305098631514</v>
      </c>
      <c r="E22" s="16" t="n">
        <v>0.1178697013771344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24</v>
      </c>
    </row>
    <row r="27">
      <c r="A27" s="2" t="inlineStr">
        <is>
          <t>Backtest start</t>
        </is>
      </c>
      <c r="B27" t="inlineStr">
        <is>
          <t>2020-09-30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15403.75</v>
      </c>
      <c r="C2" s="7" t="n">
        <v>21.98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16450.25</v>
      </c>
      <c r="C3" s="7" t="n">
        <v>21.74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16521.2</v>
      </c>
      <c r="C4" s="7" t="n">
        <v>20.79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16636.85</v>
      </c>
      <c r="C5" s="7" t="n">
        <v>21.14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18170.6</v>
      </c>
      <c r="C6" s="7" t="n">
        <v>22.68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18328.6</v>
      </c>
      <c r="C7" s="7" t="n">
        <v>22.69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18614.85</v>
      </c>
      <c r="C8" s="7" t="n">
        <v>22.56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17455.2</v>
      </c>
      <c r="C9" s="7" t="n">
        <v>20.37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17260.2</v>
      </c>
      <c r="C10" s="7" t="n">
        <v>20.31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17597.55</v>
      </c>
      <c r="C11" s="7" t="n">
        <v>20.14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16530.35</v>
      </c>
      <c r="C12" s="7" t="n">
        <v>18.15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16860.2</v>
      </c>
      <c r="C13" s="7" t="n">
        <v>19.1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16475.6</v>
      </c>
      <c r="C14" s="7" t="n">
        <v>18.19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16219.25</v>
      </c>
      <c r="C15" s="7" t="n">
        <v>17.02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15210.45</v>
      </c>
      <c r="C16" s="7" t="n">
        <v>15.79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17172.75</v>
      </c>
      <c r="C17" s="7" t="n">
        <v>17.21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17955</v>
      </c>
      <c r="C18" s="7" t="n">
        <v>17.5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17041.1</v>
      </c>
      <c r="C19" s="7" t="n">
        <v>16.5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17794.9</v>
      </c>
      <c r="C20" s="7" t="n">
        <v>16.65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18605.7</v>
      </c>
      <c r="C21" s="7" t="n">
        <v>17.1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18292.5</v>
      </c>
      <c r="C22" s="7" t="n">
        <v>16.93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17477.5</v>
      </c>
      <c r="C23" s="7" t="n">
        <v>15.7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17248.65</v>
      </c>
      <c r="C24" s="7" t="n">
        <v>15.19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17281.05</v>
      </c>
      <c r="C25" s="7" t="n">
        <v>15.35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18373.3</v>
      </c>
      <c r="C26" s="7" t="n">
        <v>16.08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19079.1</v>
      </c>
      <c r="C27" s="7" t="n">
        <v>16.33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20135.25</v>
      </c>
      <c r="C28" s="7" t="n">
        <v>17.45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20659.35</v>
      </c>
      <c r="C29" s="7" t="n">
        <v>17.32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20111.45</v>
      </c>
      <c r="C30" s="7" t="n">
        <v>16.24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20552.2</v>
      </c>
      <c r="C31" s="7" t="n">
        <v>17.15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20040.25</v>
      </c>
      <c r="C32" s="7" t="n">
        <v>15.96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21276.5</v>
      </c>
      <c r="C33" s="7" t="n">
        <v>16.48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22565.95</v>
      </c>
      <c r="C34" s="7" t="n">
        <v>17.81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22287.05</v>
      </c>
      <c r="C35" s="7" t="n">
        <v>17.04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22226.95</v>
      </c>
      <c r="C36" s="7" t="n">
        <v>16.84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22713.5</v>
      </c>
      <c r="C37" s="7" t="n">
        <v>17.48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23629.45</v>
      </c>
      <c r="C38" s="7" t="n">
        <v>16.65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23395.7</v>
      </c>
      <c r="C39" s="7" t="n">
        <v>16.13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25247.55</v>
      </c>
      <c r="C40" s="7" t="n">
        <v>17.47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25942.25</v>
      </c>
      <c r="C41" s="7" t="n">
        <v>17.32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26392</v>
      </c>
      <c r="C42" s="7" t="n">
        <v>17.52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27113.2</v>
      </c>
      <c r="C43" s="7" t="n">
        <v>17.86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25963.85</v>
      </c>
      <c r="C44" s="7" t="n">
        <v>16.92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25768.45</v>
      </c>
      <c r="C45" s="7" t="n">
        <v>16.65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25105.85</v>
      </c>
      <c r="C46" s="7" t="n">
        <v>16.01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24970.15</v>
      </c>
      <c r="C47" s="7" t="n">
        <v>15.57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24485.75</v>
      </c>
      <c r="C48" s="7" t="n">
        <v>14.81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26766.75</v>
      </c>
      <c r="C49" s="7" t="n">
        <v>16.76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27822</v>
      </c>
      <c r="C50" s="7" t="n">
        <v>17.23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28453.2</v>
      </c>
      <c r="C51" s="7" t="n">
        <v>17.51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29419.4</v>
      </c>
      <c r="C52" s="7" t="n">
        <v>17.98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28592.5</v>
      </c>
      <c r="C53" s="7" t="n">
        <v>17.3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27476.35</v>
      </c>
      <c r="C54" s="7" t="n">
        <v>16.39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28102.05</v>
      </c>
      <c r="C55" s="7" t="n">
        <v>16.83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29475.6</v>
      </c>
      <c r="C56" s="7" t="n">
        <v>17.62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30424.75</v>
      </c>
      <c r="C57" s="7" t="n">
        <v>17.93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30177.95</v>
      </c>
      <c r="C58" s="7" t="n">
        <v>17.78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29773.1</v>
      </c>
      <c r="C59" s="7" t="n">
        <v>17.51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30229.85</v>
      </c>
      <c r="C60" s="7" t="n">
        <v>17.57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25705.6</v>
      </c>
      <c r="C61" s="7" t="n">
        <v>15.12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27958.55</v>
      </c>
      <c r="C62" s="7" t="n">
        <v>16.44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27671.1</v>
      </c>
      <c r="C63" s="7" t="n">
        <v>16.07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28840.15</v>
      </c>
      <c r="C64" s="7" t="n">
        <v>16.55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29055.85</v>
      </c>
      <c r="C65" s="7" t="n">
        <v>16.26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28487.9</v>
      </c>
      <c r="C66" s="7" t="n">
        <v>15.75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1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44104</v>
      </c>
      <c r="B2" s="6" t="n">
        <v>10511.8</v>
      </c>
      <c r="C2" s="7" t="n">
        <v>20.94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IF(C2="","",(COUNTIFS($D$2:$D$25,D2,$C$2:$C$25,"&gt;0",$C$2:$C$25,"&lt;"&amp;C2)+(COUNTIFS($D$2:$D$25,D2,$C$2:$C$25,C2)+1)/2)/COUNTIFS($D$2:$D$25,D2,$C$2:$C$25,"&gt;0"))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44196</v>
      </c>
      <c r="B3" s="6" t="n">
        <v>14701.45</v>
      </c>
      <c r="C3" s="7" t="n">
        <v>27.45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IF(C3="","",(COUNTIFS($D$2:$D$25,D3,$C$2:$C$25,"&gt;0",$C$2:$C$25,"&lt;"&amp;C3)+(COUNTIFS($D$2:$D$25,D3,$C$2:$C$25,C3)+1)/2)/COUNTIFS($D$2:$D$25,D3,$C$2:$C$25,"&gt;0"))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44286</v>
      </c>
      <c r="B4" s="6" t="n">
        <v>15488.2</v>
      </c>
      <c r="C4" s="7" t="n">
        <v>22.82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IF(C4="","",(COUNTIFS($D$2:$D$25,D4,$C$2:$C$25,"&gt;0",$C$2:$C$25,"&lt;"&amp;C4)+(COUNTIFS($D$2:$D$25,D4,$C$2:$C$25,C4)+1)/2)/COUNTIFS($D$2:$D$25,D4,$C$2:$C$25,"&gt;0"))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44377</v>
      </c>
      <c r="B5" s="6" t="n">
        <v>16521.2</v>
      </c>
      <c r="C5" s="7" t="n">
        <v>20.79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IF(C5="","",(COUNTIFS($D$2:$D$25,D5,$C$2:$C$25,"&gt;0",$C$2:$C$25,"&lt;"&amp;C5)+(COUNTIFS($D$2:$D$25,D5,$C$2:$C$25,C5)+1)/2)/COUNTIFS($D$2:$D$25,D5,$C$2:$C$25,"&gt;0"))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44469</v>
      </c>
      <c r="B6" s="6" t="n">
        <v>18328.6</v>
      </c>
      <c r="C6" s="7" t="n">
        <v>22.69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IF(C6="","",(COUNTIFS($D$2:$D$25,D6,$C$2:$C$25,"&gt;0",$C$2:$C$25,"&lt;"&amp;C6)+(COUNTIFS($D$2:$D$25,D6,$C$2:$C$25,C6)+1)/2)/COUNTIFS($D$2:$D$25,D6,$C$2:$C$25,"&gt;0"))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44561</v>
      </c>
      <c r="B7" s="6" t="n">
        <v>17260.2</v>
      </c>
      <c r="C7" s="7" t="n">
        <v>20.31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IF(C7="","",(COUNTIFS($D$2:$D$25,D7,$C$2:$C$25,"&gt;0",$C$2:$C$25,"&lt;"&amp;C7)+(COUNTIFS($D$2:$D$25,D7,$C$2:$C$25,C7)+1)/2)/COUNTIFS($D$2:$D$25,D7,$C$2:$C$25,"&gt;0"))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44651</v>
      </c>
      <c r="B8" s="6" t="n">
        <v>16860.2</v>
      </c>
      <c r="C8" s="7" t="n">
        <v>19.1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IF(C8="","",(COUNTIFS($D$2:$D$25,D8,$C$2:$C$25,"&gt;0",$C$2:$C$25,"&lt;"&amp;C8)+(COUNTIFS($D$2:$D$25,D8,$C$2:$C$25,C8)+1)/2)/COUNTIFS($D$2:$D$25,D8,$C$2:$C$25,"&gt;0"))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44742</v>
      </c>
      <c r="B9" s="6" t="n">
        <v>15210.45</v>
      </c>
      <c r="C9" s="7" t="n">
        <v>15.79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IF(C9="","",(COUNTIFS($D$2:$D$25,D9,$C$2:$C$25,"&gt;0",$C$2:$C$25,"&lt;"&amp;C9)+(COUNTIFS($D$2:$D$25,D9,$C$2:$C$25,C9)+1)/2)/COUNTIFS($D$2:$D$25,D9,$C$2:$C$25,"&gt;0"))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 t="n"/>
      <c r="L9" s="16" t="n"/>
    </row>
    <row r="10">
      <c r="A10" s="18" t="n">
        <v>44834</v>
      </c>
      <c r="B10" s="6" t="n">
        <v>17041.1</v>
      </c>
      <c r="C10" s="7" t="n">
        <v>16.5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IF(C10="","",(COUNTIFS($D$2:$D$25,D10,$C$2:$C$25,"&gt;0",$C$2:$C$25,"&lt;"&amp;C10)+(COUNTIFS($D$2:$D$25,D10,$C$2:$C$25,C10)+1)/2)/COUNTIFS($D$2:$D$25,D10,$C$2:$C$25,"&gt;0"))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 t="n"/>
      <c r="L10" s="16" t="n"/>
    </row>
    <row r="11">
      <c r="A11" s="18" t="n">
        <v>44926</v>
      </c>
      <c r="B11" s="6" t="n">
        <v>18292.5</v>
      </c>
      <c r="C11" s="7" t="n">
        <v>16.93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IF(C11="","",(COUNTIFS($D$2:$D$25,D11,$C$2:$C$25,"&gt;0",$C$2:$C$25,"&lt;"&amp;C11)+(COUNTIFS($D$2:$D$25,D11,$C$2:$C$25,C11)+1)/2)/COUNTIFS($D$2:$D$25,D11,$C$2:$C$25,"&gt;0"))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 t="n"/>
      <c r="L11" s="16" t="n"/>
    </row>
    <row r="12">
      <c r="A12" s="18" t="n">
        <v>45016</v>
      </c>
      <c r="B12" s="6" t="n">
        <v>17281.05</v>
      </c>
      <c r="C12" s="7" t="n">
        <v>15.35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IF(C12="","",(COUNTIFS($D$2:$D$25,D12,$C$2:$C$25,"&gt;0",$C$2:$C$25,"&lt;"&amp;C12)+(COUNTIFS($D$2:$D$25,D12,$C$2:$C$25,C12)+1)/2)/COUNTIFS($D$2:$D$25,D12,$C$2:$C$25,"&gt;0"))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 t="n"/>
      <c r="L12" s="16" t="n"/>
    </row>
    <row r="13">
      <c r="A13" s="18" t="n">
        <v>45107</v>
      </c>
      <c r="B13" s="6" t="n">
        <v>20135.25</v>
      </c>
      <c r="C13" s="7" t="n">
        <v>17.45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IF(C13="","",(COUNTIFS($D$2:$D$25,D13,$C$2:$C$25,"&gt;0",$C$2:$C$25,"&lt;"&amp;C13)+(COUNTIFS($D$2:$D$25,D13,$C$2:$C$25,C13)+1)/2)/COUNTIFS($D$2:$D$25,D13,$C$2:$C$25,"&gt;0"))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 t="n"/>
      <c r="L13" s="16" t="n"/>
    </row>
    <row r="14">
      <c r="A14" s="18" t="n">
        <v>45199</v>
      </c>
      <c r="B14" s="6" t="n">
        <v>20552.2</v>
      </c>
      <c r="C14" s="7" t="n">
        <v>17.15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IF(C14="","",(COUNTIFS($D$2:$D$25,D14,$C$2:$C$25,"&gt;0",$C$2:$C$25,"&lt;"&amp;C14)+(COUNTIFS($D$2:$D$25,D14,$C$2:$C$25,C14)+1)/2)/COUNTIFS($D$2:$D$25,D14,$C$2:$C$25,"&gt;0"))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45291</v>
      </c>
      <c r="B15" s="6" t="n">
        <v>22565.95</v>
      </c>
      <c r="C15" s="7" t="n">
        <v>17.81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IF(C15="","",(COUNTIFS($D$2:$D$25,D15,$C$2:$C$25,"&gt;0",$C$2:$C$25,"&lt;"&amp;C15)+(COUNTIFS($D$2:$D$25,D15,$C$2:$C$25,C15)+1)/2)/COUNTIFS($D$2:$D$25,D15,$C$2:$C$25,"&gt;0"))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45382</v>
      </c>
      <c r="B16" s="6" t="n">
        <v>22713.5</v>
      </c>
      <c r="C16" s="7" t="n">
        <v>17.48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IF(C16="","",(COUNTIFS($D$2:$D$25,D16,$C$2:$C$25,"&gt;0",$C$2:$C$25,"&lt;"&amp;C16)+(COUNTIFS($D$2:$D$25,D16,$C$2:$C$25,C16)+1)/2)/COUNTIFS($D$2:$D$25,D16,$C$2:$C$25,"&gt;0"))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45473</v>
      </c>
      <c r="B17" s="6" t="n">
        <v>25247.55</v>
      </c>
      <c r="C17" s="7" t="n">
        <v>17.47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IF(C17="","",(COUNTIFS($D$2:$D$25,D17,$C$2:$C$25,"&gt;0",$C$2:$C$25,"&lt;"&amp;C17)+(COUNTIFS($D$2:$D$25,D17,$C$2:$C$25,C17)+1)/2)/COUNTIFS($D$2:$D$25,D17,$C$2:$C$25,"&gt;0"))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 t="n"/>
      <c r="K17" s="16" t="n"/>
      <c r="L17" s="16" t="n"/>
    </row>
    <row r="18">
      <c r="A18" s="18" t="n">
        <v>45565</v>
      </c>
      <c r="B18" s="6" t="n">
        <v>27113.2</v>
      </c>
      <c r="C18" s="7" t="n">
        <v>17.86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IF(C18="","",(COUNTIFS($D$2:$D$25,D18,$C$2:$C$25,"&gt;0",$C$2:$C$25,"&lt;"&amp;C18)+(COUNTIFS($D$2:$D$25,D18,$C$2:$C$25,C18)+1)/2)/COUNTIFS($D$2:$D$25,D18,$C$2:$C$25,"&gt;0"))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 t="n"/>
      <c r="K18" s="16" t="n"/>
      <c r="L18" s="16" t="n"/>
    </row>
    <row r="19">
      <c r="A19" s="18" t="n">
        <v>45657</v>
      </c>
      <c r="B19" s="6" t="n">
        <v>25105.85</v>
      </c>
      <c r="C19" s="7" t="n">
        <v>16.01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IF(C19="","",(COUNTIFS($D$2:$D$25,D19,$C$2:$C$25,"&gt;0",$C$2:$C$25,"&lt;"&amp;C19)+(COUNTIFS($D$2:$D$25,D19,$C$2:$C$25,C19)+1)/2)/COUNTIFS($D$2:$D$25,D19,$C$2:$C$25,"&gt;0"))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 t="n"/>
      <c r="K19" s="16" t="n"/>
      <c r="L19" s="16" t="n"/>
    </row>
    <row r="20">
      <c r="A20" s="18" t="n">
        <v>45747</v>
      </c>
      <c r="B20" s="6" t="n">
        <v>26766.75</v>
      </c>
      <c r="C20" s="7" t="n">
        <v>16.76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IF(C20="","",(COUNTIFS($D$2:$D$25,D20,$C$2:$C$25,"&gt;0",$C$2:$C$25,"&lt;"&amp;C20)+(COUNTIFS($D$2:$D$25,D20,$C$2:$C$25,C20)+1)/2)/COUNTIFS($D$2:$D$25,D20,$C$2:$C$25,"&gt;0"))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 t="n"/>
      <c r="K20" s="16" t="n"/>
      <c r="L20" s="16" t="n"/>
    </row>
    <row r="21">
      <c r="A21" s="18" t="n">
        <v>45838</v>
      </c>
      <c r="B21" s="6" t="n">
        <v>29419.4</v>
      </c>
      <c r="C21" s="7" t="n">
        <v>17.98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IF(C21="","",(COUNTIFS($D$2:$D$25,D21,$C$2:$C$25,"&gt;0",$C$2:$C$25,"&lt;"&amp;C21)+(COUNTIFS($D$2:$D$25,D21,$C$2:$C$25,C21)+1)/2)/COUNTIFS($D$2:$D$25,D21,$C$2:$C$25,"&gt;0"))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 t="n"/>
      <c r="K21" s="16" t="n"/>
      <c r="L21" s="16" t="n"/>
    </row>
    <row r="22">
      <c r="A22" s="18" t="n">
        <v>45930</v>
      </c>
      <c r="B22" s="6" t="n">
        <v>28102.05</v>
      </c>
      <c r="C22" s="7" t="n">
        <v>16.83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IF(C22="","",(COUNTIFS($D$2:$D$25,D22,$C$2:$C$25,"&gt;0",$C$2:$C$25,"&lt;"&amp;C22)+(COUNTIFS($D$2:$D$25,D22,$C$2:$C$25,C22)+1)/2)/COUNTIFS($D$2:$D$25,D22,$C$2:$C$25,"&gt;0"))</f>
        <v/>
      </c>
      <c r="H22">
        <f>IF(G22="","",IF(G22&lt;=20%,"Q1 Cheapest",IF(G22&lt;=40%,"Q2",IF(G22&lt;=60%,"Q3",IF(G22&lt;=80%,"Q4","Q5 Most Expensive")))))</f>
        <v/>
      </c>
      <c r="I22" s="16" t="n"/>
      <c r="J22" s="16" t="n"/>
      <c r="K22" s="16" t="n"/>
      <c r="L22" s="16" t="n"/>
    </row>
    <row r="23">
      <c r="A23" s="18" t="n">
        <v>46022</v>
      </c>
      <c r="B23" s="6" t="n">
        <v>30177.95</v>
      </c>
      <c r="C23" s="7" t="n">
        <v>17.78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IF(C23="","",(COUNTIFS($D$2:$D$25,D23,$C$2:$C$25,"&gt;0",$C$2:$C$25,"&lt;"&amp;C23)+(COUNTIFS($D$2:$D$25,D23,$C$2:$C$25,C23)+1)/2)/COUNTIFS($D$2:$D$25,D23,$C$2:$C$25,"&gt;0"))</f>
        <v/>
      </c>
      <c r="H23">
        <f>IF(G23="","",IF(G23&lt;=20%,"Q1 Cheapest",IF(G23&lt;=40%,"Q2",IF(G23&lt;=60%,"Q3",IF(G23&lt;=80%,"Q4","Q5 Most Expensive")))))</f>
        <v/>
      </c>
      <c r="I23" s="16" t="n"/>
      <c r="J23" s="16" t="n"/>
      <c r="K23" s="16" t="n"/>
      <c r="L23" s="16" t="n"/>
    </row>
    <row r="24">
      <c r="A24" s="18" t="n">
        <v>46112</v>
      </c>
      <c r="B24" s="6" t="n">
        <v>25705.6</v>
      </c>
      <c r="C24" s="7" t="n">
        <v>15.12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IF(C24="","",(COUNTIFS($D$2:$D$25,D24,$C$2:$C$25,"&gt;0",$C$2:$C$25,"&lt;"&amp;C24)+(COUNTIFS($D$2:$D$25,D24,$C$2:$C$25,C24)+1)/2)/COUNTIFS($D$2:$D$25,D24,$C$2:$C$25,"&gt;0"))</f>
        <v/>
      </c>
      <c r="H24">
        <f>IF(G24="","",IF(G24&lt;=20%,"Q1 Cheapest",IF(G24&lt;=40%,"Q2",IF(G24&lt;=60%,"Q3",IF(G24&lt;=80%,"Q4","Q5 Most Expensive")))))</f>
        <v/>
      </c>
      <c r="I24" s="16" t="n"/>
      <c r="J24" s="16" t="n"/>
      <c r="K24" s="16" t="n"/>
      <c r="L24" s="16" t="n"/>
    </row>
    <row r="25">
      <c r="A25" s="18" t="n">
        <v>46203</v>
      </c>
      <c r="B25" s="6" t="n">
        <v>28840.15</v>
      </c>
      <c r="C25" s="7" t="n">
        <v>16.55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IF(C25="","",(COUNTIFS($D$2:$D$25,D25,$C$2:$C$25,"&gt;0",$C$2:$C$25,"&lt;"&amp;C25)+(COUNTIFS($D$2:$D$25,D25,$C$2:$C$25,C25)+1)/2)/COUNTIFS($D$2:$D$25,D25,$C$2:$C$25,"&gt;0"))</f>
        <v/>
      </c>
      <c r="H25">
        <f>IF(G25="","",IF(G25&lt;=20%,"Q1 Cheapest",IF(G25&lt;=40%,"Q2",IF(G25&lt;=60%,"Q3",IF(G25&lt;=80%,"Q4","Q5 Most Expensive")))))</f>
        <v/>
      </c>
      <c r="I25" s="16" t="n"/>
      <c r="J25" s="16" t="n"/>
      <c r="K25" s="16" t="n"/>
      <c r="L25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27552</v>
      </c>
      <c r="C2" s="7" t="n">
        <v>15.23</v>
      </c>
      <c r="D2" s="8" t="n">
        <v>0.0530303030303</v>
      </c>
      <c r="E2" s="8" t="n">
        <v>0.0791562000961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2026-09-21T11:26:08Z</dcterms:created>
  <dcterms:modified xsi:type="dcterms:W3CDTF">2026-09-21T11:26:09Z</dcterms:modified>
</cp:coreProperties>
</file>