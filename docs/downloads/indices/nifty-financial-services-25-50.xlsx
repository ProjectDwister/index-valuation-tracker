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1" customWidth="1" min="5" max="5"/>
    <col width="17" customWidth="1" min="6" max="6"/>
    <col width="19" customWidth="1" min="7" max="7"/>
  </cols>
  <sheetData>
    <row r="1" ht="26" customHeight="1">
      <c r="A1" s="1" t="inlineStr">
        <is>
          <t>NIFTY Financial Services 25/50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Sectoral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27552</v>
      </c>
      <c r="D5" s="2" t="inlineStr">
        <is>
          <t>P/E</t>
        </is>
      </c>
      <c r="E5" s="7" t="n">
        <v>15.23</v>
      </c>
    </row>
    <row r="6">
      <c r="A6" s="2" t="inlineStr">
        <is>
          <t>P/E percentile</t>
        </is>
      </c>
      <c r="B6" s="8" t="n">
        <v>0.05303030303030303</v>
      </c>
      <c r="D6" s="2" t="inlineStr">
        <is>
          <t>Implied EPS</t>
        </is>
      </c>
      <c r="E6" s="9" t="n">
        <v>1809.061063690085</v>
      </c>
    </row>
    <row r="7">
      <c r="A7" s="2" t="inlineStr">
        <is>
          <t>YoY implied EPS growth</t>
        </is>
      </c>
      <c r="B7" s="8" t="n">
        <v>0.0791562000960504</v>
      </c>
      <c r="D7" s="2" t="inlineStr">
        <is>
          <t>Earnings yield</t>
        </is>
      </c>
      <c r="E7" s="10" t="n">
        <v>0.06565988181221273</v>
      </c>
    </row>
    <row r="8">
      <c r="A8" s="2" t="inlineStr">
        <is>
          <t>Valuation score</t>
        </is>
      </c>
      <c r="B8" s="11" t="n">
        <v>94.6969696969697</v>
      </c>
      <c r="D8" s="2" t="inlineStr">
        <is>
          <t>Growth score</t>
        </is>
      </c>
      <c r="E8" s="11" t="n">
        <v>51.66248003842016</v>
      </c>
    </row>
    <row r="9">
      <c r="A9" s="2" t="inlineStr">
        <is>
          <t>Composite score</t>
        </is>
      </c>
      <c r="B9" s="11" t="n">
        <v>81.78662279940482</v>
      </c>
      <c r="D9" s="2" t="inlineStr">
        <is>
          <t>Signal</t>
        </is>
      </c>
      <c r="E9" s="12" t="inlineStr">
        <is>
          <t>BUY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16.24783381735691</v>
      </c>
      <c r="C13" s="15" t="n">
        <v>29393.32352828744</v>
      </c>
      <c r="D13" s="16" t="n">
        <v>0.06683084815212825</v>
      </c>
    </row>
    <row r="14">
      <c r="A14" t="inlineStr">
        <is>
          <t>HOLD → SELL</t>
        </is>
      </c>
      <c r="B14" s="14" t="n">
        <v>17.50248833724989</v>
      </c>
      <c r="C14" s="15" t="n">
        <v>31663.07016860859</v>
      </c>
      <c r="D14" s="16" t="n">
        <v>0.1492113156434594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4</v>
      </c>
      <c r="C18" s="16" t="n">
        <v>0.3143587918558191</v>
      </c>
      <c r="D18" s="16" t="n">
        <v>0.193733258786567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0.08319641705317654</v>
      </c>
      <c r="D19" s="16" t="n">
        <v>0.181444865081632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6</v>
      </c>
      <c r="C20" s="16" t="n">
        <v>0.2437578087592251</v>
      </c>
      <c r="D20" s="16" t="n">
        <v>0.1816047377421586</v>
      </c>
      <c r="E20" s="16" t="n">
        <v>0.2173408129946817</v>
      </c>
      <c r="F20" s="16" t="n"/>
      <c r="G20" s="16" t="n">
        <v>0</v>
      </c>
    </row>
    <row r="21">
      <c r="A21" t="inlineStr">
        <is>
          <t>Q4</t>
        </is>
      </c>
      <c r="B21" t="n">
        <v>4</v>
      </c>
      <c r="C21" s="16" t="n">
        <v>0.03647116533644135</v>
      </c>
      <c r="D21" s="16" t="n"/>
      <c r="E21" s="16" t="n"/>
      <c r="F21" s="16" t="n"/>
      <c r="G21" s="16" t="n"/>
    </row>
    <row r="22">
      <c r="A22" t="inlineStr">
        <is>
          <t>Q5 Most Expensive</t>
        </is>
      </c>
      <c r="B22" t="n">
        <v>6</v>
      </c>
      <c r="C22" s="16" t="n">
        <v>0.04238463228830802</v>
      </c>
      <c r="D22" s="16" t="n">
        <v>0.1456305098631514</v>
      </c>
      <c r="E22" s="16" t="n">
        <v>0.1178697013771344</v>
      </c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65</v>
      </c>
    </row>
    <row r="26">
      <c r="A26" s="2" t="inlineStr">
        <is>
          <t>Quarter-end P/E observations</t>
        </is>
      </c>
      <c r="B26" t="n">
        <v>24</v>
      </c>
    </row>
    <row r="27">
      <c r="A27" s="2" t="inlineStr">
        <is>
          <t>Backtest start</t>
        </is>
      </c>
      <c r="B27" t="inlineStr">
        <is>
          <t>2020-09-30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44316</v>
      </c>
      <c r="B2" s="6" t="n">
        <v>15403.75</v>
      </c>
      <c r="C2" s="7" t="n">
        <v>21.98</v>
      </c>
      <c r="D2" s="19">
        <f>IFERROR(B2/C2,"")</f>
        <v/>
      </c>
      <c r="E2" s="20">
        <f>IFERROR(1/C2,"")</f>
        <v/>
      </c>
    </row>
    <row r="3">
      <c r="A3" s="18" t="n">
        <v>44347</v>
      </c>
      <c r="B3" s="6" t="n">
        <v>16450.25</v>
      </c>
      <c r="C3" s="7" t="n">
        <v>21.74</v>
      </c>
      <c r="D3" s="19">
        <f>IFERROR(B3/C3,"")</f>
        <v/>
      </c>
      <c r="E3" s="20">
        <f>IFERROR(1/C3,"")</f>
        <v/>
      </c>
    </row>
    <row r="4">
      <c r="A4" s="18" t="n">
        <v>44377</v>
      </c>
      <c r="B4" s="6" t="n">
        <v>16521.2</v>
      </c>
      <c r="C4" s="7" t="n">
        <v>20.79</v>
      </c>
      <c r="D4" s="19">
        <f>IFERROR(B4/C4,"")</f>
        <v/>
      </c>
      <c r="E4" s="20">
        <f>IFERROR(1/C4,"")</f>
        <v/>
      </c>
    </row>
    <row r="5">
      <c r="A5" s="18" t="n">
        <v>44408</v>
      </c>
      <c r="B5" s="6" t="n">
        <v>16636.85</v>
      </c>
      <c r="C5" s="7" t="n">
        <v>21.14</v>
      </c>
      <c r="D5" s="19">
        <f>IFERROR(B5/C5,"")</f>
        <v/>
      </c>
      <c r="E5" s="20">
        <f>IFERROR(1/C5,"")</f>
        <v/>
      </c>
    </row>
    <row r="6">
      <c r="A6" s="18" t="n">
        <v>44439</v>
      </c>
      <c r="B6" s="6" t="n">
        <v>18170.6</v>
      </c>
      <c r="C6" s="7" t="n">
        <v>22.68</v>
      </c>
      <c r="D6" s="19">
        <f>IFERROR(B6/C6,"")</f>
        <v/>
      </c>
      <c r="E6" s="20">
        <f>IFERROR(1/C6,"")</f>
        <v/>
      </c>
    </row>
    <row r="7">
      <c r="A7" s="18" t="n">
        <v>44469</v>
      </c>
      <c r="B7" s="6" t="n">
        <v>18328.6</v>
      </c>
      <c r="C7" s="7" t="n">
        <v>22.69</v>
      </c>
      <c r="D7" s="19">
        <f>IFERROR(B7/C7,"")</f>
        <v/>
      </c>
      <c r="E7" s="20">
        <f>IFERROR(1/C7,"")</f>
        <v/>
      </c>
    </row>
    <row r="8">
      <c r="A8" s="18" t="n">
        <v>44500</v>
      </c>
      <c r="B8" s="6" t="n">
        <v>18614.85</v>
      </c>
      <c r="C8" s="7" t="n">
        <v>22.56</v>
      </c>
      <c r="D8" s="19">
        <f>IFERROR(B8/C8,"")</f>
        <v/>
      </c>
      <c r="E8" s="20">
        <f>IFERROR(1/C8,"")</f>
        <v/>
      </c>
    </row>
    <row r="9">
      <c r="A9" s="18" t="n">
        <v>44530</v>
      </c>
      <c r="B9" s="6" t="n">
        <v>17455.2</v>
      </c>
      <c r="C9" s="7" t="n">
        <v>20.37</v>
      </c>
      <c r="D9" s="19">
        <f>IFERROR(B9/C9,"")</f>
        <v/>
      </c>
      <c r="E9" s="20">
        <f>IFERROR(1/C9,"")</f>
        <v/>
      </c>
    </row>
    <row r="10">
      <c r="A10" s="18" t="n">
        <v>44561</v>
      </c>
      <c r="B10" s="6" t="n">
        <v>17260.2</v>
      </c>
      <c r="C10" s="7" t="n">
        <v>20.31</v>
      </c>
      <c r="D10" s="19">
        <f>IFERROR(B10/C10,"")</f>
        <v/>
      </c>
      <c r="E10" s="20">
        <f>IFERROR(1/C10,"")</f>
        <v/>
      </c>
    </row>
    <row r="11">
      <c r="A11" s="18" t="n">
        <v>44592</v>
      </c>
      <c r="B11" s="6" t="n">
        <v>17597.55</v>
      </c>
      <c r="C11" s="7" t="n">
        <v>20.14</v>
      </c>
      <c r="D11" s="19">
        <f>IFERROR(B11/C11,"")</f>
        <v/>
      </c>
      <c r="E11" s="20">
        <f>IFERROR(1/C11,"")</f>
        <v/>
      </c>
    </row>
    <row r="12">
      <c r="A12" s="18" t="n">
        <v>44620</v>
      </c>
      <c r="B12" s="6" t="n">
        <v>16530.35</v>
      </c>
      <c r="C12" s="7" t="n">
        <v>18.15</v>
      </c>
      <c r="D12" s="19">
        <f>IFERROR(B12/C12,"")</f>
        <v/>
      </c>
      <c r="E12" s="20">
        <f>IFERROR(1/C12,"")</f>
        <v/>
      </c>
    </row>
    <row r="13">
      <c r="A13" s="18" t="n">
        <v>44651</v>
      </c>
      <c r="B13" s="6" t="n">
        <v>16860.2</v>
      </c>
      <c r="C13" s="7" t="n">
        <v>19.1</v>
      </c>
      <c r="D13" s="19">
        <f>IFERROR(B13/C13,"")</f>
        <v/>
      </c>
      <c r="E13" s="20">
        <f>IFERROR(1/C13,"")</f>
        <v/>
      </c>
    </row>
    <row r="14">
      <c r="A14" s="18" t="n">
        <v>44681</v>
      </c>
      <c r="B14" s="6" t="n">
        <v>16475.6</v>
      </c>
      <c r="C14" s="7" t="n">
        <v>18.19</v>
      </c>
      <c r="D14" s="19">
        <f>IFERROR(B14/C14,"")</f>
        <v/>
      </c>
      <c r="E14" s="20">
        <f>IFERROR(1/C14,"")</f>
        <v/>
      </c>
    </row>
    <row r="15">
      <c r="A15" s="18" t="n">
        <v>44712</v>
      </c>
      <c r="B15" s="6" t="n">
        <v>16219.25</v>
      </c>
      <c r="C15" s="7" t="n">
        <v>17.02</v>
      </c>
      <c r="D15" s="19">
        <f>IFERROR(B15/C15,"")</f>
        <v/>
      </c>
      <c r="E15" s="20">
        <f>IFERROR(1/C15,"")</f>
        <v/>
      </c>
    </row>
    <row r="16">
      <c r="A16" s="18" t="n">
        <v>44742</v>
      </c>
      <c r="B16" s="6" t="n">
        <v>15210.45</v>
      </c>
      <c r="C16" s="7" t="n">
        <v>15.79</v>
      </c>
      <c r="D16" s="19">
        <f>IFERROR(B16/C16,"")</f>
        <v/>
      </c>
      <c r="E16" s="20">
        <f>IFERROR(1/C16,"")</f>
        <v/>
      </c>
    </row>
    <row r="17">
      <c r="A17" s="18" t="n">
        <v>44773</v>
      </c>
      <c r="B17" s="6" t="n">
        <v>17172.75</v>
      </c>
      <c r="C17" s="7" t="n">
        <v>17.21</v>
      </c>
      <c r="D17" s="19">
        <f>IFERROR(B17/C17,"")</f>
        <v/>
      </c>
      <c r="E17" s="20">
        <f>IFERROR(1/C17,"")</f>
        <v/>
      </c>
    </row>
    <row r="18">
      <c r="A18" s="18" t="n">
        <v>44804</v>
      </c>
      <c r="B18" s="6" t="n">
        <v>17955</v>
      </c>
      <c r="C18" s="7" t="n">
        <v>17.5</v>
      </c>
      <c r="D18" s="19">
        <f>IFERROR(B18/C18,"")</f>
        <v/>
      </c>
      <c r="E18" s="20">
        <f>IFERROR(1/C18,"")</f>
        <v/>
      </c>
    </row>
    <row r="19">
      <c r="A19" s="18" t="n">
        <v>44834</v>
      </c>
      <c r="B19" s="6" t="n">
        <v>17041.1</v>
      </c>
      <c r="C19" s="7" t="n">
        <v>16.5</v>
      </c>
      <c r="D19" s="19">
        <f>IFERROR(B19/C19,"")</f>
        <v/>
      </c>
      <c r="E19" s="20">
        <f>IFERROR(1/C19,"")</f>
        <v/>
      </c>
    </row>
    <row r="20">
      <c r="A20" s="18" t="n">
        <v>44865</v>
      </c>
      <c r="B20" s="6" t="n">
        <v>17794.9</v>
      </c>
      <c r="C20" s="7" t="n">
        <v>16.65</v>
      </c>
      <c r="D20" s="19">
        <f>IFERROR(B20/C20,"")</f>
        <v/>
      </c>
      <c r="E20" s="20">
        <f>IFERROR(1/C20,"")</f>
        <v/>
      </c>
    </row>
    <row r="21">
      <c r="A21" s="18" t="n">
        <v>44895</v>
      </c>
      <c r="B21" s="6" t="n">
        <v>18605.7</v>
      </c>
      <c r="C21" s="7" t="n">
        <v>17.1</v>
      </c>
      <c r="D21" s="19">
        <f>IFERROR(B21/C21,"")</f>
        <v/>
      </c>
      <c r="E21" s="20">
        <f>IFERROR(1/C21,"")</f>
        <v/>
      </c>
    </row>
    <row r="22">
      <c r="A22" s="18" t="n">
        <v>44926</v>
      </c>
      <c r="B22" s="6" t="n">
        <v>18292.5</v>
      </c>
      <c r="C22" s="7" t="n">
        <v>16.93</v>
      </c>
      <c r="D22" s="19">
        <f>IFERROR(B22/C22,"")</f>
        <v/>
      </c>
      <c r="E22" s="20">
        <f>IFERROR(1/C22,"")</f>
        <v/>
      </c>
    </row>
    <row r="23">
      <c r="A23" s="18" t="n">
        <v>44957</v>
      </c>
      <c r="B23" s="6" t="n">
        <v>17477.5</v>
      </c>
      <c r="C23" s="7" t="n">
        <v>15.7</v>
      </c>
      <c r="D23" s="19">
        <f>IFERROR(B23/C23,"")</f>
        <v/>
      </c>
      <c r="E23" s="20">
        <f>IFERROR(1/C23,"")</f>
        <v/>
      </c>
    </row>
    <row r="24">
      <c r="A24" s="18" t="n">
        <v>44985</v>
      </c>
      <c r="B24" s="6" t="n">
        <v>17248.65</v>
      </c>
      <c r="C24" s="7" t="n">
        <v>15.19</v>
      </c>
      <c r="D24" s="19">
        <f>IFERROR(B24/C24,"")</f>
        <v/>
      </c>
      <c r="E24" s="20">
        <f>IFERROR(1/C24,"")</f>
        <v/>
      </c>
    </row>
    <row r="25">
      <c r="A25" s="18" t="n">
        <v>45016</v>
      </c>
      <c r="B25" s="6" t="n">
        <v>17281.05</v>
      </c>
      <c r="C25" s="7" t="n">
        <v>15.35</v>
      </c>
      <c r="D25" s="19">
        <f>IFERROR(B25/C25,"")</f>
        <v/>
      </c>
      <c r="E25" s="20">
        <f>IFERROR(1/C25,"")</f>
        <v/>
      </c>
    </row>
    <row r="26">
      <c r="A26" s="18" t="n">
        <v>45046</v>
      </c>
      <c r="B26" s="6" t="n">
        <v>18373.3</v>
      </c>
      <c r="C26" s="7" t="n">
        <v>16.08</v>
      </c>
      <c r="D26" s="19">
        <f>IFERROR(B26/C26,"")</f>
        <v/>
      </c>
      <c r="E26" s="20">
        <f>IFERROR(1/C26,"")</f>
        <v/>
      </c>
    </row>
    <row r="27">
      <c r="A27" s="18" t="n">
        <v>45077</v>
      </c>
      <c r="B27" s="6" t="n">
        <v>19079.1</v>
      </c>
      <c r="C27" s="7" t="n">
        <v>16.33</v>
      </c>
      <c r="D27" s="19">
        <f>IFERROR(B27/C27,"")</f>
        <v/>
      </c>
      <c r="E27" s="20">
        <f>IFERROR(1/C27,"")</f>
        <v/>
      </c>
    </row>
    <row r="28">
      <c r="A28" s="18" t="n">
        <v>45107</v>
      </c>
      <c r="B28" s="6" t="n">
        <v>20135.25</v>
      </c>
      <c r="C28" s="7" t="n">
        <v>17.45</v>
      </c>
      <c r="D28" s="19">
        <f>IFERROR(B28/C28,"")</f>
        <v/>
      </c>
      <c r="E28" s="20">
        <f>IFERROR(1/C28,"")</f>
        <v/>
      </c>
    </row>
    <row r="29">
      <c r="A29" s="18" t="n">
        <v>45138</v>
      </c>
      <c r="B29" s="6" t="n">
        <v>20659.35</v>
      </c>
      <c r="C29" s="7" t="n">
        <v>17.32</v>
      </c>
      <c r="D29" s="19">
        <f>IFERROR(B29/C29,"")</f>
        <v/>
      </c>
      <c r="E29" s="20">
        <f>IFERROR(1/C29,"")</f>
        <v/>
      </c>
    </row>
    <row r="30">
      <c r="A30" s="18" t="n">
        <v>45169</v>
      </c>
      <c r="B30" s="6" t="n">
        <v>20111.45</v>
      </c>
      <c r="C30" s="7" t="n">
        <v>16.24</v>
      </c>
      <c r="D30" s="19">
        <f>IFERROR(B30/C30,"")</f>
        <v/>
      </c>
      <c r="E30" s="20">
        <f>IFERROR(1/C30,"")</f>
        <v/>
      </c>
    </row>
    <row r="31">
      <c r="A31" s="18" t="n">
        <v>45199</v>
      </c>
      <c r="B31" s="6" t="n">
        <v>20552.2</v>
      </c>
      <c r="C31" s="7" t="n">
        <v>17.15</v>
      </c>
      <c r="D31" s="19">
        <f>IFERROR(B31/C31,"")</f>
        <v/>
      </c>
      <c r="E31" s="20">
        <f>IFERROR(1/C31,"")</f>
        <v/>
      </c>
    </row>
    <row r="32">
      <c r="A32" s="18" t="n">
        <v>45230</v>
      </c>
      <c r="B32" s="6" t="n">
        <v>20040.25</v>
      </c>
      <c r="C32" s="7" t="n">
        <v>15.96</v>
      </c>
      <c r="D32" s="19">
        <f>IFERROR(B32/C32,"")</f>
        <v/>
      </c>
      <c r="E32" s="20">
        <f>IFERROR(1/C32,"")</f>
        <v/>
      </c>
    </row>
    <row r="33">
      <c r="A33" s="18" t="n">
        <v>45260</v>
      </c>
      <c r="B33" s="6" t="n">
        <v>21276.5</v>
      </c>
      <c r="C33" s="7" t="n">
        <v>16.48</v>
      </c>
      <c r="D33" s="19">
        <f>IFERROR(B33/C33,"")</f>
        <v/>
      </c>
      <c r="E33" s="20">
        <f>IFERROR(1/C33,"")</f>
        <v/>
      </c>
    </row>
    <row r="34">
      <c r="A34" s="18" t="n">
        <v>45291</v>
      </c>
      <c r="B34" s="6" t="n">
        <v>22565.95</v>
      </c>
      <c r="C34" s="7" t="n">
        <v>17.81</v>
      </c>
      <c r="D34" s="19">
        <f>IFERROR(B34/C34,"")</f>
        <v/>
      </c>
      <c r="E34" s="20">
        <f>IFERROR(1/C34,"")</f>
        <v/>
      </c>
    </row>
    <row r="35">
      <c r="A35" s="18" t="n">
        <v>45322</v>
      </c>
      <c r="B35" s="6" t="n">
        <v>22287.05</v>
      </c>
      <c r="C35" s="7" t="n">
        <v>17.04</v>
      </c>
      <c r="D35" s="19">
        <f>IFERROR(B35/C35,"")</f>
        <v/>
      </c>
      <c r="E35" s="20">
        <f>IFERROR(1/C35,"")</f>
        <v/>
      </c>
    </row>
    <row r="36">
      <c r="A36" s="18" t="n">
        <v>45351</v>
      </c>
      <c r="B36" s="6" t="n">
        <v>22226.95</v>
      </c>
      <c r="C36" s="7" t="n">
        <v>16.84</v>
      </c>
      <c r="D36" s="19">
        <f>IFERROR(B36/C36,"")</f>
        <v/>
      </c>
      <c r="E36" s="20">
        <f>IFERROR(1/C36,"")</f>
        <v/>
      </c>
    </row>
    <row r="37">
      <c r="A37" s="18" t="n">
        <v>45382</v>
      </c>
      <c r="B37" s="6" t="n">
        <v>22713.5</v>
      </c>
      <c r="C37" s="7" t="n">
        <v>17.48</v>
      </c>
      <c r="D37" s="19">
        <f>IFERROR(B37/C37,"")</f>
        <v/>
      </c>
      <c r="E37" s="20">
        <f>IFERROR(1/C37,"")</f>
        <v/>
      </c>
    </row>
    <row r="38">
      <c r="A38" s="18" t="n">
        <v>45412</v>
      </c>
      <c r="B38" s="6" t="n">
        <v>23629.45</v>
      </c>
      <c r="C38" s="7" t="n">
        <v>16.65</v>
      </c>
      <c r="D38" s="19">
        <f>IFERROR(B38/C38,"")</f>
        <v/>
      </c>
      <c r="E38" s="20">
        <f>IFERROR(1/C38,"")</f>
        <v/>
      </c>
    </row>
    <row r="39">
      <c r="A39" s="18" t="n">
        <v>45443</v>
      </c>
      <c r="B39" s="6" t="n">
        <v>23395.7</v>
      </c>
      <c r="C39" s="7" t="n">
        <v>16.13</v>
      </c>
      <c r="D39" s="19">
        <f>IFERROR(B39/C39,"")</f>
        <v/>
      </c>
      <c r="E39" s="20">
        <f>IFERROR(1/C39,"")</f>
        <v/>
      </c>
    </row>
    <row r="40">
      <c r="A40" s="18" t="n">
        <v>45473</v>
      </c>
      <c r="B40" s="6" t="n">
        <v>25247.55</v>
      </c>
      <c r="C40" s="7" t="n">
        <v>17.47</v>
      </c>
      <c r="D40" s="19">
        <f>IFERROR(B40/C40,"")</f>
        <v/>
      </c>
      <c r="E40" s="20">
        <f>IFERROR(1/C40,"")</f>
        <v/>
      </c>
    </row>
    <row r="41">
      <c r="A41" s="18" t="n">
        <v>45504</v>
      </c>
      <c r="B41" s="6" t="n">
        <v>25942.25</v>
      </c>
      <c r="C41" s="7" t="n">
        <v>17.32</v>
      </c>
      <c r="D41" s="19">
        <f>IFERROR(B41/C41,"")</f>
        <v/>
      </c>
      <c r="E41" s="20">
        <f>IFERROR(1/C41,"")</f>
        <v/>
      </c>
    </row>
    <row r="42">
      <c r="A42" s="18" t="n">
        <v>45535</v>
      </c>
      <c r="B42" s="6" t="n">
        <v>26392</v>
      </c>
      <c r="C42" s="7" t="n">
        <v>17.52</v>
      </c>
      <c r="D42" s="19">
        <f>IFERROR(B42/C42,"")</f>
        <v/>
      </c>
      <c r="E42" s="20">
        <f>IFERROR(1/C42,"")</f>
        <v/>
      </c>
    </row>
    <row r="43">
      <c r="A43" s="18" t="n">
        <v>45565</v>
      </c>
      <c r="B43" s="6" t="n">
        <v>27113.2</v>
      </c>
      <c r="C43" s="7" t="n">
        <v>17.86</v>
      </c>
      <c r="D43" s="19">
        <f>IFERROR(B43/C43,"")</f>
        <v/>
      </c>
      <c r="E43" s="20">
        <f>IFERROR(1/C43,"")</f>
        <v/>
      </c>
    </row>
    <row r="44">
      <c r="A44" s="18" t="n">
        <v>45596</v>
      </c>
      <c r="B44" s="6" t="n">
        <v>25963.85</v>
      </c>
      <c r="C44" s="7" t="n">
        <v>16.92</v>
      </c>
      <c r="D44" s="19">
        <f>IFERROR(B44/C44,"")</f>
        <v/>
      </c>
      <c r="E44" s="20">
        <f>IFERROR(1/C44,"")</f>
        <v/>
      </c>
    </row>
    <row r="45">
      <c r="A45" s="18" t="n">
        <v>45626</v>
      </c>
      <c r="B45" s="6" t="n">
        <v>25768.45</v>
      </c>
      <c r="C45" s="7" t="n">
        <v>16.65</v>
      </c>
      <c r="D45" s="19">
        <f>IFERROR(B45/C45,"")</f>
        <v/>
      </c>
      <c r="E45" s="20">
        <f>IFERROR(1/C45,"")</f>
        <v/>
      </c>
    </row>
    <row r="46">
      <c r="A46" s="18" t="n">
        <v>45657</v>
      </c>
      <c r="B46" s="6" t="n">
        <v>25105.85</v>
      </c>
      <c r="C46" s="7" t="n">
        <v>16.01</v>
      </c>
      <c r="D46" s="19">
        <f>IFERROR(B46/C46,"")</f>
        <v/>
      </c>
      <c r="E46" s="20">
        <f>IFERROR(1/C46,"")</f>
        <v/>
      </c>
    </row>
    <row r="47">
      <c r="A47" s="18" t="n">
        <v>45688</v>
      </c>
      <c r="B47" s="6" t="n">
        <v>24970.15</v>
      </c>
      <c r="C47" s="7" t="n">
        <v>15.57</v>
      </c>
      <c r="D47" s="19">
        <f>IFERROR(B47/C47,"")</f>
        <v/>
      </c>
      <c r="E47" s="20">
        <f>IFERROR(1/C47,"")</f>
        <v/>
      </c>
    </row>
    <row r="48">
      <c r="A48" s="18" t="n">
        <v>45716</v>
      </c>
      <c r="B48" s="6" t="n">
        <v>24485.75</v>
      </c>
      <c r="C48" s="7" t="n">
        <v>14.81</v>
      </c>
      <c r="D48" s="19">
        <f>IFERROR(B48/C48,"")</f>
        <v/>
      </c>
      <c r="E48" s="20">
        <f>IFERROR(1/C48,"")</f>
        <v/>
      </c>
    </row>
    <row r="49">
      <c r="A49" s="18" t="n">
        <v>45747</v>
      </c>
      <c r="B49" s="6" t="n">
        <v>26766.75</v>
      </c>
      <c r="C49" s="7" t="n">
        <v>16.76</v>
      </c>
      <c r="D49" s="19">
        <f>IFERROR(B49/C49,"")</f>
        <v/>
      </c>
      <c r="E49" s="20">
        <f>IFERROR(1/C49,"")</f>
        <v/>
      </c>
    </row>
    <row r="50">
      <c r="A50" s="18" t="n">
        <v>45777</v>
      </c>
      <c r="B50" s="6" t="n">
        <v>27822</v>
      </c>
      <c r="C50" s="7" t="n">
        <v>17.23</v>
      </c>
      <c r="D50" s="19">
        <f>IFERROR(B50/C50,"")</f>
        <v/>
      </c>
      <c r="E50" s="20">
        <f>IFERROR(1/C50,"")</f>
        <v/>
      </c>
    </row>
    <row r="51">
      <c r="A51" s="18" t="n">
        <v>45808</v>
      </c>
      <c r="B51" s="6" t="n">
        <v>28453.2</v>
      </c>
      <c r="C51" s="7" t="n">
        <v>17.51</v>
      </c>
      <c r="D51" s="19">
        <f>IFERROR(B51/C51,"")</f>
        <v/>
      </c>
      <c r="E51" s="20">
        <f>IFERROR(1/C51,"")</f>
        <v/>
      </c>
    </row>
    <row r="52">
      <c r="A52" s="18" t="n">
        <v>45838</v>
      </c>
      <c r="B52" s="6" t="n">
        <v>29419.4</v>
      </c>
      <c r="C52" s="7" t="n">
        <v>17.98</v>
      </c>
      <c r="D52" s="19">
        <f>IFERROR(B52/C52,"")</f>
        <v/>
      </c>
      <c r="E52" s="20">
        <f>IFERROR(1/C52,"")</f>
        <v/>
      </c>
    </row>
    <row r="53">
      <c r="A53" s="18" t="n">
        <v>45869</v>
      </c>
      <c r="B53" s="6" t="n">
        <v>28592.5</v>
      </c>
      <c r="C53" s="7" t="n">
        <v>17.3</v>
      </c>
      <c r="D53" s="19">
        <f>IFERROR(B53/C53,"")</f>
        <v/>
      </c>
      <c r="E53" s="20">
        <f>IFERROR(1/C53,"")</f>
        <v/>
      </c>
    </row>
    <row r="54">
      <c r="A54" s="18" t="n">
        <v>45900</v>
      </c>
      <c r="B54" s="6" t="n">
        <v>27476.35</v>
      </c>
      <c r="C54" s="7" t="n">
        <v>16.39</v>
      </c>
      <c r="D54" s="19">
        <f>IFERROR(B54/C54,"")</f>
        <v/>
      </c>
      <c r="E54" s="20">
        <f>IFERROR(1/C54,"")</f>
        <v/>
      </c>
    </row>
    <row r="55">
      <c r="A55" s="18" t="n">
        <v>45930</v>
      </c>
      <c r="B55" s="6" t="n">
        <v>28102.05</v>
      </c>
      <c r="C55" s="7" t="n">
        <v>16.83</v>
      </c>
      <c r="D55" s="19">
        <f>IFERROR(B55/C55,"")</f>
        <v/>
      </c>
      <c r="E55" s="20">
        <f>IFERROR(1/C55,"")</f>
        <v/>
      </c>
    </row>
    <row r="56">
      <c r="A56" s="18" t="n">
        <v>45961</v>
      </c>
      <c r="B56" s="6" t="n">
        <v>29475.6</v>
      </c>
      <c r="C56" s="7" t="n">
        <v>17.62</v>
      </c>
      <c r="D56" s="19">
        <f>IFERROR(B56/C56,"")</f>
        <v/>
      </c>
      <c r="E56" s="20">
        <f>IFERROR(1/C56,"")</f>
        <v/>
      </c>
    </row>
    <row r="57">
      <c r="A57" s="18" t="n">
        <v>45991</v>
      </c>
      <c r="B57" s="6" t="n">
        <v>30424.75</v>
      </c>
      <c r="C57" s="7" t="n">
        <v>17.93</v>
      </c>
      <c r="D57" s="19">
        <f>IFERROR(B57/C57,"")</f>
        <v/>
      </c>
      <c r="E57" s="20">
        <f>IFERROR(1/C57,"")</f>
        <v/>
      </c>
    </row>
    <row r="58">
      <c r="A58" s="18" t="n">
        <v>46022</v>
      </c>
      <c r="B58" s="6" t="n">
        <v>30177.95</v>
      </c>
      <c r="C58" s="7" t="n">
        <v>17.78</v>
      </c>
      <c r="D58" s="19">
        <f>IFERROR(B58/C58,"")</f>
        <v/>
      </c>
      <c r="E58" s="20">
        <f>IFERROR(1/C58,"")</f>
        <v/>
      </c>
    </row>
    <row r="59">
      <c r="A59" s="18" t="n">
        <v>46053</v>
      </c>
      <c r="B59" s="6" t="n">
        <v>29773.1</v>
      </c>
      <c r="C59" s="7" t="n">
        <v>17.51</v>
      </c>
      <c r="D59" s="19">
        <f>IFERROR(B59/C59,"")</f>
        <v/>
      </c>
      <c r="E59" s="20">
        <f>IFERROR(1/C59,"")</f>
        <v/>
      </c>
    </row>
    <row r="60">
      <c r="A60" s="18" t="n">
        <v>46081</v>
      </c>
      <c r="B60" s="6" t="n">
        <v>30229.85</v>
      </c>
      <c r="C60" s="7" t="n">
        <v>17.57</v>
      </c>
      <c r="D60" s="19">
        <f>IFERROR(B60/C60,"")</f>
        <v/>
      </c>
      <c r="E60" s="20">
        <f>IFERROR(1/C60,"")</f>
        <v/>
      </c>
    </row>
    <row r="61">
      <c r="A61" s="18" t="n">
        <v>46112</v>
      </c>
      <c r="B61" s="6" t="n">
        <v>25705.6</v>
      </c>
      <c r="C61" s="7" t="n">
        <v>15.12</v>
      </c>
      <c r="D61" s="19">
        <f>IFERROR(B61/C61,"")</f>
        <v/>
      </c>
      <c r="E61" s="20">
        <f>IFERROR(1/C61,"")</f>
        <v/>
      </c>
    </row>
    <row r="62">
      <c r="A62" s="18" t="n">
        <v>46142</v>
      </c>
      <c r="B62" s="6" t="n">
        <v>27958.55</v>
      </c>
      <c r="C62" s="7" t="n">
        <v>16.44</v>
      </c>
      <c r="D62" s="19">
        <f>IFERROR(B62/C62,"")</f>
        <v/>
      </c>
      <c r="E62" s="20">
        <f>IFERROR(1/C62,"")</f>
        <v/>
      </c>
    </row>
    <row r="63">
      <c r="A63" s="18" t="n">
        <v>46173</v>
      </c>
      <c r="B63" s="6" t="n">
        <v>27671.1</v>
      </c>
      <c r="C63" s="7" t="n">
        <v>16.07</v>
      </c>
      <c r="D63" s="19">
        <f>IFERROR(B63/C63,"")</f>
        <v/>
      </c>
      <c r="E63" s="20">
        <f>IFERROR(1/C63,"")</f>
        <v/>
      </c>
    </row>
    <row r="64">
      <c r="A64" s="18" t="n">
        <v>46203</v>
      </c>
      <c r="B64" s="6" t="n">
        <v>28840.15</v>
      </c>
      <c r="C64" s="7" t="n">
        <v>16.55</v>
      </c>
      <c r="D64" s="19">
        <f>IFERROR(B64/C64,"")</f>
        <v/>
      </c>
      <c r="E64" s="20">
        <f>IFERROR(1/C64,"")</f>
        <v/>
      </c>
    </row>
    <row r="65">
      <c r="A65" s="18" t="n">
        <v>46234</v>
      </c>
      <c r="B65" s="6" t="n">
        <v>29055.85</v>
      </c>
      <c r="C65" s="7" t="n">
        <v>16.26</v>
      </c>
      <c r="D65" s="19">
        <f>IFERROR(B65/C65,"")</f>
        <v/>
      </c>
      <c r="E65" s="20">
        <f>IFERROR(1/C65,"")</f>
        <v/>
      </c>
    </row>
    <row r="66">
      <c r="A66" s="18" t="n">
        <v>46265</v>
      </c>
      <c r="B66" s="6" t="n">
        <v>28487.9</v>
      </c>
      <c r="C66" s="7" t="n">
        <v>15.75</v>
      </c>
      <c r="D66" s="19">
        <f>IFERROR(B66/C66,"")</f>
        <v/>
      </c>
      <c r="E66" s="20">
        <f>IFERROR(1/C66,"")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1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44104</v>
      </c>
      <c r="B2" s="6" t="n">
        <v>10511.8</v>
      </c>
      <c r="C2" s="7" t="n">
        <v>20.94</v>
      </c>
      <c r="D2" s="2" t="inlineStr">
        <is>
          <t>Standalone</t>
        </is>
      </c>
      <c r="E2" s="21">
        <f>IFERROR(B2/C2,"")</f>
        <v/>
      </c>
      <c r="F2" s="16" t="n"/>
      <c r="G2" s="16">
        <f>IF(C2="","",(COUNTIFS($D$2:$D$25,D2,$C$2:$C$25,"&gt;0",$C$2:$C$25,"&lt;"&amp;C2)+(COUNTIFS($D$2:$D$25,D2,$C$2:$C$25,C2)+1)/2)/COUNTIFS($D$2:$D$25,D2,$C$2:$C$25,"&gt;0"))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>
        <f>IFERROR((B22/B2)^(1/5)-1,"")</f>
        <v/>
      </c>
      <c r="L2" s="16" t="n"/>
    </row>
    <row r="3">
      <c r="A3" s="18" t="n">
        <v>44196</v>
      </c>
      <c r="B3" s="6" t="n">
        <v>14701.45</v>
      </c>
      <c r="C3" s="7" t="n">
        <v>27.45</v>
      </c>
      <c r="D3" s="2" t="inlineStr">
        <is>
          <t>Standalone</t>
        </is>
      </c>
      <c r="E3" s="21">
        <f>IFERROR(B3/C3,"")</f>
        <v/>
      </c>
      <c r="F3" s="16" t="n"/>
      <c r="G3" s="16">
        <f>IF(C3="","",(COUNTIFS($D$2:$D$25,D3,$C$2:$C$25,"&gt;0",$C$2:$C$25,"&lt;"&amp;C3)+(COUNTIFS($D$2:$D$25,D3,$C$2:$C$25,C3)+1)/2)/COUNTIFS($D$2:$D$25,D3,$C$2:$C$25,"&gt;0"))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>
        <f>IFERROR((B23/B3)^(1/5)-1,"")</f>
        <v/>
      </c>
      <c r="L3" s="16" t="n"/>
    </row>
    <row r="4">
      <c r="A4" s="18" t="n">
        <v>44286</v>
      </c>
      <c r="B4" s="6" t="n">
        <v>15488.2</v>
      </c>
      <c r="C4" s="7" t="n">
        <v>22.82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IF(C4="","",(COUNTIFS($D$2:$D$25,D4,$C$2:$C$25,"&gt;0",$C$2:$C$25,"&lt;"&amp;C4)+(COUNTIFS($D$2:$D$25,D4,$C$2:$C$25,C4)+1)/2)/COUNTIFS($D$2:$D$25,D4,$C$2:$C$25,"&gt;0"))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>
        <f>IFERROR((B24/B4)^(1/5)-1,"")</f>
        <v/>
      </c>
      <c r="L4" s="16" t="n"/>
    </row>
    <row r="5">
      <c r="A5" s="18" t="n">
        <v>44377</v>
      </c>
      <c r="B5" s="6" t="n">
        <v>16521.2</v>
      </c>
      <c r="C5" s="7" t="n">
        <v>20.79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IF(C5="","",(COUNTIFS($D$2:$D$25,D5,$C$2:$C$25,"&gt;0",$C$2:$C$25,"&lt;"&amp;C5)+(COUNTIFS($D$2:$D$25,D5,$C$2:$C$25,C5)+1)/2)/COUNTIFS($D$2:$D$25,D5,$C$2:$C$25,"&gt;0"))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>
        <f>IFERROR((B25/B5)^(1/5)-1,"")</f>
        <v/>
      </c>
      <c r="L5" s="16" t="n"/>
    </row>
    <row r="6">
      <c r="A6" s="18" t="n">
        <v>44469</v>
      </c>
      <c r="B6" s="6" t="n">
        <v>18328.6</v>
      </c>
      <c r="C6" s="7" t="n">
        <v>22.69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IF(C6="","",(COUNTIFS($D$2:$D$25,D6,$C$2:$C$25,"&gt;0",$C$2:$C$25,"&lt;"&amp;C6)+(COUNTIFS($D$2:$D$25,D6,$C$2:$C$25,C6)+1)/2)/COUNTIFS($D$2:$D$25,D6,$C$2:$C$25,"&gt;0"))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44561</v>
      </c>
      <c r="B7" s="6" t="n">
        <v>17260.2</v>
      </c>
      <c r="C7" s="7" t="n">
        <v>20.31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IF(C7="","",(COUNTIFS($D$2:$D$25,D7,$C$2:$C$25,"&gt;0",$C$2:$C$25,"&lt;"&amp;C7)+(COUNTIFS($D$2:$D$25,D7,$C$2:$C$25,C7)+1)/2)/COUNTIFS($D$2:$D$25,D7,$C$2:$C$25,"&gt;0"))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44651</v>
      </c>
      <c r="B8" s="6" t="n">
        <v>16860.2</v>
      </c>
      <c r="C8" s="7" t="n">
        <v>19.1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IF(C8="","",(COUNTIFS($D$2:$D$25,D8,$C$2:$C$25,"&gt;0",$C$2:$C$25,"&lt;"&amp;C8)+(COUNTIFS($D$2:$D$25,D8,$C$2:$C$25,C8)+1)/2)/COUNTIFS($D$2:$D$25,D8,$C$2:$C$25,"&gt;0"))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44742</v>
      </c>
      <c r="B9" s="6" t="n">
        <v>15210.45</v>
      </c>
      <c r="C9" s="7" t="n">
        <v>15.79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IF(C9="","",(COUNTIFS($D$2:$D$25,D9,$C$2:$C$25,"&gt;0",$C$2:$C$25,"&lt;"&amp;C9)+(COUNTIFS($D$2:$D$25,D9,$C$2:$C$25,C9)+1)/2)/COUNTIFS($D$2:$D$25,D9,$C$2:$C$25,"&gt;0"))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>
        <f>IFERROR((B21/B9)^(1/3)-1,"")</f>
        <v/>
      </c>
      <c r="K9" s="16" t="n"/>
      <c r="L9" s="16" t="n"/>
    </row>
    <row r="10">
      <c r="A10" s="18" t="n">
        <v>44834</v>
      </c>
      <c r="B10" s="6" t="n">
        <v>17041.1</v>
      </c>
      <c r="C10" s="7" t="n">
        <v>16.5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IF(C10="","",(COUNTIFS($D$2:$D$25,D10,$C$2:$C$25,"&gt;0",$C$2:$C$25,"&lt;"&amp;C10)+(COUNTIFS($D$2:$D$25,D10,$C$2:$C$25,C10)+1)/2)/COUNTIFS($D$2:$D$25,D10,$C$2:$C$25,"&gt;0"))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>
        <f>IFERROR((B22/B10)^(1/3)-1,"")</f>
        <v/>
      </c>
      <c r="K10" s="16" t="n"/>
      <c r="L10" s="16" t="n"/>
    </row>
    <row r="11">
      <c r="A11" s="18" t="n">
        <v>44926</v>
      </c>
      <c r="B11" s="6" t="n">
        <v>18292.5</v>
      </c>
      <c r="C11" s="7" t="n">
        <v>16.93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IF(C11="","",(COUNTIFS($D$2:$D$25,D11,$C$2:$C$25,"&gt;0",$C$2:$C$25,"&lt;"&amp;C11)+(COUNTIFS($D$2:$D$25,D11,$C$2:$C$25,C11)+1)/2)/COUNTIFS($D$2:$D$25,D11,$C$2:$C$25,"&gt;0"))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>
        <f>IFERROR((B23/B11)^(1/3)-1,"")</f>
        <v/>
      </c>
      <c r="K11" s="16" t="n"/>
      <c r="L11" s="16" t="n"/>
    </row>
    <row r="12">
      <c r="A12" s="18" t="n">
        <v>45016</v>
      </c>
      <c r="B12" s="6" t="n">
        <v>17281.05</v>
      </c>
      <c r="C12" s="7" t="n">
        <v>15.35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IF(C12="","",(COUNTIFS($D$2:$D$25,D12,$C$2:$C$25,"&gt;0",$C$2:$C$25,"&lt;"&amp;C12)+(COUNTIFS($D$2:$D$25,D12,$C$2:$C$25,C12)+1)/2)/COUNTIFS($D$2:$D$25,D12,$C$2:$C$25,"&gt;0"))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>
        <f>IFERROR((B24/B12)^(1/3)-1,"")</f>
        <v/>
      </c>
      <c r="K12" s="16" t="n"/>
      <c r="L12" s="16" t="n"/>
    </row>
    <row r="13">
      <c r="A13" s="18" t="n">
        <v>45107</v>
      </c>
      <c r="B13" s="6" t="n">
        <v>20135.25</v>
      </c>
      <c r="C13" s="7" t="n">
        <v>17.45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IF(C13="","",(COUNTIFS($D$2:$D$25,D13,$C$2:$C$25,"&gt;0",$C$2:$C$25,"&lt;"&amp;C13)+(COUNTIFS($D$2:$D$25,D13,$C$2:$C$25,C13)+1)/2)/COUNTIFS($D$2:$D$25,D13,$C$2:$C$25,"&gt;0"))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>
        <f>IFERROR((B25/B13)^(1/3)-1,"")</f>
        <v/>
      </c>
      <c r="K13" s="16" t="n"/>
      <c r="L13" s="16" t="n"/>
    </row>
    <row r="14">
      <c r="A14" s="18" t="n">
        <v>45199</v>
      </c>
      <c r="B14" s="6" t="n">
        <v>20552.2</v>
      </c>
      <c r="C14" s="7" t="n">
        <v>17.15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IF(C14="","",(COUNTIFS($D$2:$D$25,D14,$C$2:$C$25,"&gt;0",$C$2:$C$25,"&lt;"&amp;C14)+(COUNTIFS($D$2:$D$25,D14,$C$2:$C$25,C14)+1)/2)/COUNTIFS($D$2:$D$25,D14,$C$2:$C$25,"&gt;0"))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45291</v>
      </c>
      <c r="B15" s="6" t="n">
        <v>22565.95</v>
      </c>
      <c r="C15" s="7" t="n">
        <v>17.81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IF(C15="","",(COUNTIFS($D$2:$D$25,D15,$C$2:$C$25,"&gt;0",$C$2:$C$25,"&lt;"&amp;C15)+(COUNTIFS($D$2:$D$25,D15,$C$2:$C$25,C15)+1)/2)/COUNTIFS($D$2:$D$25,D15,$C$2:$C$25,"&gt;0"))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45382</v>
      </c>
      <c r="B16" s="6" t="n">
        <v>22713.5</v>
      </c>
      <c r="C16" s="7" t="n">
        <v>17.48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IF(C16="","",(COUNTIFS($D$2:$D$25,D16,$C$2:$C$25,"&gt;0",$C$2:$C$25,"&lt;"&amp;C16)+(COUNTIFS($D$2:$D$25,D16,$C$2:$C$25,C16)+1)/2)/COUNTIFS($D$2:$D$25,D16,$C$2:$C$25,"&gt;0"))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45473</v>
      </c>
      <c r="B17" s="6" t="n">
        <v>25247.55</v>
      </c>
      <c r="C17" s="7" t="n">
        <v>17.47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IF(C17="","",(COUNTIFS($D$2:$D$25,D17,$C$2:$C$25,"&gt;0",$C$2:$C$25,"&lt;"&amp;C17)+(COUNTIFS($D$2:$D$25,D17,$C$2:$C$25,C17)+1)/2)/COUNTIFS($D$2:$D$25,D17,$C$2:$C$25,"&gt;0"))</f>
        <v/>
      </c>
      <c r="H17">
        <f>IF(G17="","",IF(G17&lt;=20%,"Q1 Cheapest",IF(G17&lt;=40%,"Q2",IF(G17&lt;=60%,"Q3",IF(G17&lt;=80%,"Q4","Q5 Most Expensive")))))</f>
        <v/>
      </c>
      <c r="I17" s="16">
        <f>IFERROR(B21/B17-1,"")</f>
        <v/>
      </c>
      <c r="J17" s="16" t="n"/>
      <c r="K17" s="16" t="n"/>
      <c r="L17" s="16" t="n"/>
    </row>
    <row r="18">
      <c r="A18" s="18" t="n">
        <v>45565</v>
      </c>
      <c r="B18" s="6" t="n">
        <v>27113.2</v>
      </c>
      <c r="C18" s="7" t="n">
        <v>17.86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IF(C18="","",(COUNTIFS($D$2:$D$25,D18,$C$2:$C$25,"&gt;0",$C$2:$C$25,"&lt;"&amp;C18)+(COUNTIFS($D$2:$D$25,D18,$C$2:$C$25,C18)+1)/2)/COUNTIFS($D$2:$D$25,D18,$C$2:$C$25,"&gt;0"))</f>
        <v/>
      </c>
      <c r="H18">
        <f>IF(G18="","",IF(G18&lt;=20%,"Q1 Cheapest",IF(G18&lt;=40%,"Q2",IF(G18&lt;=60%,"Q3",IF(G18&lt;=80%,"Q4","Q5 Most Expensive")))))</f>
        <v/>
      </c>
      <c r="I18" s="16">
        <f>IFERROR(B22/B18-1,"")</f>
        <v/>
      </c>
      <c r="J18" s="16" t="n"/>
      <c r="K18" s="16" t="n"/>
      <c r="L18" s="16" t="n"/>
    </row>
    <row r="19">
      <c r="A19" s="18" t="n">
        <v>45657</v>
      </c>
      <c r="B19" s="6" t="n">
        <v>25105.85</v>
      </c>
      <c r="C19" s="7" t="n">
        <v>16.01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IF(C19="","",(COUNTIFS($D$2:$D$25,D19,$C$2:$C$25,"&gt;0",$C$2:$C$25,"&lt;"&amp;C19)+(COUNTIFS($D$2:$D$25,D19,$C$2:$C$25,C19)+1)/2)/COUNTIFS($D$2:$D$25,D19,$C$2:$C$25,"&gt;0"))</f>
        <v/>
      </c>
      <c r="H19">
        <f>IF(G19="","",IF(G19&lt;=20%,"Q1 Cheapest",IF(G19&lt;=40%,"Q2",IF(G19&lt;=60%,"Q3",IF(G19&lt;=80%,"Q4","Q5 Most Expensive")))))</f>
        <v/>
      </c>
      <c r="I19" s="16">
        <f>IFERROR(B23/B19-1,"")</f>
        <v/>
      </c>
      <c r="J19" s="16" t="n"/>
      <c r="K19" s="16" t="n"/>
      <c r="L19" s="16" t="n"/>
    </row>
    <row r="20">
      <c r="A20" s="18" t="n">
        <v>45747</v>
      </c>
      <c r="B20" s="6" t="n">
        <v>26766.75</v>
      </c>
      <c r="C20" s="7" t="n">
        <v>16.76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IF(C20="","",(COUNTIFS($D$2:$D$25,D20,$C$2:$C$25,"&gt;0",$C$2:$C$25,"&lt;"&amp;C20)+(COUNTIFS($D$2:$D$25,D20,$C$2:$C$25,C20)+1)/2)/COUNTIFS($D$2:$D$25,D20,$C$2:$C$25,"&gt;0"))</f>
        <v/>
      </c>
      <c r="H20">
        <f>IF(G20="","",IF(G20&lt;=20%,"Q1 Cheapest",IF(G20&lt;=40%,"Q2",IF(G20&lt;=60%,"Q3",IF(G20&lt;=80%,"Q4","Q5 Most Expensive")))))</f>
        <v/>
      </c>
      <c r="I20" s="16">
        <f>IFERROR(B24/B20-1,"")</f>
        <v/>
      </c>
      <c r="J20" s="16" t="n"/>
      <c r="K20" s="16" t="n"/>
      <c r="L20" s="16" t="n"/>
    </row>
    <row r="21">
      <c r="A21" s="18" t="n">
        <v>45838</v>
      </c>
      <c r="B21" s="6" t="n">
        <v>29419.4</v>
      </c>
      <c r="C21" s="7" t="n">
        <v>17.98</v>
      </c>
      <c r="D21" s="2" t="inlineStr">
        <is>
          <t>Consolidated</t>
        </is>
      </c>
      <c r="E21" s="21">
        <f>IFERROR(B21/C21,"")</f>
        <v/>
      </c>
      <c r="F21" s="16">
        <f>IF(AND(D21=D17,E17&lt;&gt;""),E21/E17-1,"")</f>
        <v/>
      </c>
      <c r="G21" s="16">
        <f>IF(C21="","",(COUNTIFS($D$2:$D$25,D21,$C$2:$C$25,"&gt;0",$C$2:$C$25,"&lt;"&amp;C21)+(COUNTIFS($D$2:$D$25,D21,$C$2:$C$25,C21)+1)/2)/COUNTIFS($D$2:$D$25,D21,$C$2:$C$25,"&gt;0"))</f>
        <v/>
      </c>
      <c r="H21">
        <f>IF(G21="","",IF(G21&lt;=20%,"Q1 Cheapest",IF(G21&lt;=40%,"Q2",IF(G21&lt;=60%,"Q3",IF(G21&lt;=80%,"Q4","Q5 Most Expensive")))))</f>
        <v/>
      </c>
      <c r="I21" s="16">
        <f>IFERROR(B25/B21-1,"")</f>
        <v/>
      </c>
      <c r="J21" s="16" t="n"/>
      <c r="K21" s="16" t="n"/>
      <c r="L21" s="16" t="n"/>
    </row>
    <row r="22">
      <c r="A22" s="18" t="n">
        <v>45930</v>
      </c>
      <c r="B22" s="6" t="n">
        <v>28102.05</v>
      </c>
      <c r="C22" s="7" t="n">
        <v>16.83</v>
      </c>
      <c r="D22" s="2" t="inlineStr">
        <is>
          <t>Consolidated</t>
        </is>
      </c>
      <c r="E22" s="21">
        <f>IFERROR(B22/C22,"")</f>
        <v/>
      </c>
      <c r="F22" s="16">
        <f>IF(AND(D22=D18,E18&lt;&gt;""),E22/E18-1,"")</f>
        <v/>
      </c>
      <c r="G22" s="16">
        <f>IF(C22="","",(COUNTIFS($D$2:$D$25,D22,$C$2:$C$25,"&gt;0",$C$2:$C$25,"&lt;"&amp;C22)+(COUNTIFS($D$2:$D$25,D22,$C$2:$C$25,C22)+1)/2)/COUNTIFS($D$2:$D$25,D22,$C$2:$C$25,"&gt;0"))</f>
        <v/>
      </c>
      <c r="H22">
        <f>IF(G22="","",IF(G22&lt;=20%,"Q1 Cheapest",IF(G22&lt;=40%,"Q2",IF(G22&lt;=60%,"Q3",IF(G22&lt;=80%,"Q4","Q5 Most Expensive")))))</f>
        <v/>
      </c>
      <c r="I22" s="16" t="n"/>
      <c r="J22" s="16" t="n"/>
      <c r="K22" s="16" t="n"/>
      <c r="L22" s="16" t="n"/>
    </row>
    <row r="23">
      <c r="A23" s="18" t="n">
        <v>46022</v>
      </c>
      <c r="B23" s="6" t="n">
        <v>30177.95</v>
      </c>
      <c r="C23" s="7" t="n">
        <v>17.78</v>
      </c>
      <c r="D23" s="2" t="inlineStr">
        <is>
          <t>Consolidated</t>
        </is>
      </c>
      <c r="E23" s="21">
        <f>IFERROR(B23/C23,"")</f>
        <v/>
      </c>
      <c r="F23" s="16">
        <f>IF(AND(D23=D19,E19&lt;&gt;""),E23/E19-1,"")</f>
        <v/>
      </c>
      <c r="G23" s="16">
        <f>IF(C23="","",(COUNTIFS($D$2:$D$25,D23,$C$2:$C$25,"&gt;0",$C$2:$C$25,"&lt;"&amp;C23)+(COUNTIFS($D$2:$D$25,D23,$C$2:$C$25,C23)+1)/2)/COUNTIFS($D$2:$D$25,D23,$C$2:$C$25,"&gt;0"))</f>
        <v/>
      </c>
      <c r="H23">
        <f>IF(G23="","",IF(G23&lt;=20%,"Q1 Cheapest",IF(G23&lt;=40%,"Q2",IF(G23&lt;=60%,"Q3",IF(G23&lt;=80%,"Q4","Q5 Most Expensive")))))</f>
        <v/>
      </c>
      <c r="I23" s="16" t="n"/>
      <c r="J23" s="16" t="n"/>
      <c r="K23" s="16" t="n"/>
      <c r="L23" s="16" t="n"/>
    </row>
    <row r="24">
      <c r="A24" s="18" t="n">
        <v>46112</v>
      </c>
      <c r="B24" s="6" t="n">
        <v>25705.6</v>
      </c>
      <c r="C24" s="7" t="n">
        <v>15.12</v>
      </c>
      <c r="D24" s="2" t="inlineStr">
        <is>
          <t>Consolidated</t>
        </is>
      </c>
      <c r="E24" s="21">
        <f>IFERROR(B24/C24,"")</f>
        <v/>
      </c>
      <c r="F24" s="16">
        <f>IF(AND(D24=D20,E20&lt;&gt;""),E24/E20-1,"")</f>
        <v/>
      </c>
      <c r="G24" s="16">
        <f>IF(C24="","",(COUNTIFS($D$2:$D$25,D24,$C$2:$C$25,"&gt;0",$C$2:$C$25,"&lt;"&amp;C24)+(COUNTIFS($D$2:$D$25,D24,$C$2:$C$25,C24)+1)/2)/COUNTIFS($D$2:$D$25,D24,$C$2:$C$25,"&gt;0"))</f>
        <v/>
      </c>
      <c r="H24">
        <f>IF(G24="","",IF(G24&lt;=20%,"Q1 Cheapest",IF(G24&lt;=40%,"Q2",IF(G24&lt;=60%,"Q3",IF(G24&lt;=80%,"Q4","Q5 Most Expensive")))))</f>
        <v/>
      </c>
      <c r="I24" s="16" t="n"/>
      <c r="J24" s="16" t="n"/>
      <c r="K24" s="16" t="n"/>
      <c r="L24" s="16" t="n"/>
    </row>
    <row r="25">
      <c r="A25" s="18" t="n">
        <v>46203</v>
      </c>
      <c r="B25" s="6" t="n">
        <v>28840.15</v>
      </c>
      <c r="C25" s="7" t="n">
        <v>16.55</v>
      </c>
      <c r="D25" s="2" t="inlineStr">
        <is>
          <t>Consolidated</t>
        </is>
      </c>
      <c r="E25" s="21">
        <f>IFERROR(B25/C25,"")</f>
        <v/>
      </c>
      <c r="F25" s="16">
        <f>IF(AND(D25=D21,E21&lt;&gt;""),E25/E21-1,"")</f>
        <v/>
      </c>
      <c r="G25" s="16">
        <f>IF(C25="","",(COUNTIFS($D$2:$D$25,D25,$C$2:$C$25,"&gt;0",$C$2:$C$25,"&lt;"&amp;C25)+(COUNTIFS($D$2:$D$25,D25,$C$2:$C$25,C25)+1)/2)/COUNTIFS($D$2:$D$25,D25,$C$2:$C$25,"&gt;0"))</f>
        <v/>
      </c>
      <c r="H25">
        <f>IF(G25="","",IF(G25&lt;=20%,"Q1 Cheapest",IF(G25&lt;=40%,"Q2",IF(G25&lt;=60%,"Q3",IF(G25&lt;=80%,"Q4","Q5 Most Expensive")))))</f>
        <v/>
      </c>
      <c r="I25" s="16" t="n"/>
      <c r="J25" s="16" t="n"/>
      <c r="K25" s="16" t="n"/>
      <c r="L25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7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27552</v>
      </c>
      <c r="C2" s="7" t="n">
        <v>15.23</v>
      </c>
      <c r="D2" s="8" t="n">
        <v>0.0530303030303</v>
      </c>
      <c r="E2" s="8" t="n">
        <v>0.0791562000961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2026-09-21T10:07:34Z</dcterms:created>
  <dcterms:modified xsi:type="dcterms:W3CDTF">2026-09-21T10:07:34Z</dcterms:modified>
</cp:coreProperties>
</file>