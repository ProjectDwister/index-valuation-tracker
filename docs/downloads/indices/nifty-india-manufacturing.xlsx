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India Manufacturing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15929.65</v>
      </c>
      <c r="D5" s="2" t="inlineStr">
        <is>
          <t>P/E</t>
        </is>
      </c>
      <c r="E5" s="7" t="n">
        <v>27.53</v>
      </c>
    </row>
    <row r="6">
      <c r="A6" s="2" t="inlineStr">
        <is>
          <t>P/E percentile</t>
        </is>
      </c>
      <c r="B6" s="8" t="n">
        <v>0.6048387096774194</v>
      </c>
      <c r="D6" s="2" t="inlineStr">
        <is>
          <t>Implied EPS</t>
        </is>
      </c>
      <c r="E6" s="9" t="n">
        <v>578.6287686160551</v>
      </c>
    </row>
    <row r="7">
      <c r="A7" s="2" t="inlineStr">
        <is>
          <t>YoY implied EPS growth</t>
        </is>
      </c>
      <c r="B7" s="8" t="n">
        <v>0.1049028422261125</v>
      </c>
      <c r="D7" s="2" t="inlineStr">
        <is>
          <t>Earnings yield</t>
        </is>
      </c>
      <c r="E7" s="10" t="n">
        <v>0.03632401017072285</v>
      </c>
    </row>
    <row r="8">
      <c r="A8" s="2" t="inlineStr">
        <is>
          <t>Valuation score</t>
        </is>
      </c>
      <c r="B8" s="11" t="n">
        <v>39.51612903225806</v>
      </c>
      <c r="D8" s="2" t="inlineStr">
        <is>
          <t>Growth score</t>
        </is>
      </c>
      <c r="E8" s="11" t="n">
        <v>61.96113689044498</v>
      </c>
    </row>
    <row r="9">
      <c r="A9" s="2" t="inlineStr">
        <is>
          <t>Composite score</t>
        </is>
      </c>
      <c r="B9" s="11" t="n">
        <v>46.24963138971414</v>
      </c>
      <c r="D9" s="2" t="inlineStr">
        <is>
          <t>Signal</t>
        </is>
      </c>
      <c r="E9" s="12" t="inlineStr">
        <is>
          <t>HOLD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22.14714221073396</v>
      </c>
      <c r="C13" s="15" t="n">
        <v>12814.97362576165</v>
      </c>
      <c r="D13" s="16" t="n">
        <v>-0.1955269810848543</v>
      </c>
    </row>
    <row r="14">
      <c r="A14" t="inlineStr">
        <is>
          <t>HOLD → SELL</t>
        </is>
      </c>
      <c r="B14" s="14" t="n">
        <v>28.32388880509514</v>
      </c>
      <c r="C14" s="15" t="n">
        <v>16389.01690171027</v>
      </c>
      <c r="D14" s="16" t="n">
        <v>0.02883722503069897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4</v>
      </c>
      <c r="C18" s="16" t="n">
        <v>0.1199672799967086</v>
      </c>
      <c r="D18" s="16" t="n">
        <v>0.2110632138529952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4</v>
      </c>
      <c r="C19" s="16" t="n">
        <v>0.3392726059392728</v>
      </c>
      <c r="D19" s="16" t="n">
        <v>0.2320203582057889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4</v>
      </c>
      <c r="C20" s="16" t="n">
        <v>0.2522751054317149</v>
      </c>
      <c r="D20" s="16" t="n"/>
      <c r="E20" s="16" t="n"/>
      <c r="F20" s="16" t="n"/>
      <c r="G20" s="16" t="n"/>
    </row>
    <row r="21">
      <c r="A21" t="inlineStr">
        <is>
          <t>Q4</t>
        </is>
      </c>
      <c r="B21" t="n">
        <v>4</v>
      </c>
      <c r="C21" s="16" t="n">
        <v>0.3293516772205697</v>
      </c>
      <c r="D21" s="16" t="n">
        <v>0.199275976603309</v>
      </c>
      <c r="E21" s="16" t="n"/>
      <c r="F21" s="16" t="n"/>
      <c r="G21" s="16" t="n">
        <v>0</v>
      </c>
    </row>
    <row r="22">
      <c r="A22" t="inlineStr">
        <is>
          <t>Q5 Most Expensive</t>
        </is>
      </c>
      <c r="B22" t="n">
        <v>4</v>
      </c>
      <c r="C22" s="16" t="n">
        <v>0.04310552932049</v>
      </c>
      <c r="D22" s="16" t="n"/>
      <c r="E22" s="16" t="n"/>
      <c r="F22" s="16" t="n"/>
      <c r="G22" s="16" t="n"/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61</v>
      </c>
    </row>
    <row r="26">
      <c r="A26" s="2" t="inlineStr">
        <is>
          <t>Quarter-end P/E observations</t>
        </is>
      </c>
      <c r="B26" t="n">
        <v>20</v>
      </c>
    </row>
    <row r="27">
      <c r="A27" s="2" t="inlineStr">
        <is>
          <t>Backtest start</t>
        </is>
      </c>
      <c r="B27" t="inlineStr">
        <is>
          <t>2021-09-30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44439</v>
      </c>
      <c r="B2" s="6" t="n">
        <v>7677.98</v>
      </c>
      <c r="C2" s="7" t="n">
        <v>20.9</v>
      </c>
      <c r="D2" s="19">
        <f>IFERROR(B2/C2,"")</f>
        <v/>
      </c>
      <c r="E2" s="20">
        <f>IFERROR(1/C2,"")</f>
        <v/>
      </c>
    </row>
    <row r="3">
      <c r="A3" s="18" t="n">
        <v>44469</v>
      </c>
      <c r="B3" s="6" t="n">
        <v>7897.43</v>
      </c>
      <c r="C3" s="7" t="n">
        <v>21.45</v>
      </c>
      <c r="D3" s="19">
        <f>IFERROR(B3/C3,"")</f>
        <v/>
      </c>
      <c r="E3" s="20">
        <f>IFERROR(1/C3,"")</f>
        <v/>
      </c>
    </row>
    <row r="4">
      <c r="A4" s="18" t="n">
        <v>44500</v>
      </c>
      <c r="B4" s="6" t="n">
        <v>7954.94</v>
      </c>
      <c r="C4" s="7" t="n">
        <v>20.98</v>
      </c>
      <c r="D4" s="19">
        <f>IFERROR(B4/C4,"")</f>
        <v/>
      </c>
      <c r="E4" s="20">
        <f>IFERROR(1/C4,"")</f>
        <v/>
      </c>
    </row>
    <row r="5">
      <c r="A5" s="18" t="n">
        <v>44530</v>
      </c>
      <c r="B5" s="6" t="n">
        <v>7601.3</v>
      </c>
      <c r="C5" s="7" t="n">
        <v>17.97</v>
      </c>
      <c r="D5" s="19">
        <f>IFERROR(B5/C5,"")</f>
        <v/>
      </c>
      <c r="E5" s="20">
        <f>IFERROR(1/C5,"")</f>
        <v/>
      </c>
    </row>
    <row r="6">
      <c r="A6" s="18" t="n">
        <v>44561</v>
      </c>
      <c r="B6" s="6" t="n">
        <v>7931.99</v>
      </c>
      <c r="C6" s="7" t="n">
        <v>18.84</v>
      </c>
      <c r="D6" s="19">
        <f>IFERROR(B6/C6,"")</f>
        <v/>
      </c>
      <c r="E6" s="20">
        <f>IFERROR(1/C6,"")</f>
        <v/>
      </c>
    </row>
    <row r="7">
      <c r="A7" s="18" t="n">
        <v>44592</v>
      </c>
      <c r="B7" s="6" t="n">
        <v>7897.7</v>
      </c>
      <c r="C7" s="7" t="n">
        <v>18.64</v>
      </c>
      <c r="D7" s="19">
        <f>IFERROR(B7/C7,"")</f>
        <v/>
      </c>
      <c r="E7" s="20">
        <f>IFERROR(1/C7,"")</f>
        <v/>
      </c>
    </row>
    <row r="8">
      <c r="A8" s="18" t="n">
        <v>44620</v>
      </c>
      <c r="B8" s="6" t="n">
        <v>7697.55</v>
      </c>
      <c r="C8" s="7" t="n">
        <v>17.28</v>
      </c>
      <c r="D8" s="19">
        <f>IFERROR(B8/C8,"")</f>
        <v/>
      </c>
      <c r="E8" s="20">
        <f>IFERROR(1/C8,"")</f>
        <v/>
      </c>
    </row>
    <row r="9">
      <c r="A9" s="18" t="n">
        <v>44651</v>
      </c>
      <c r="B9" s="6" t="n">
        <v>7963.05</v>
      </c>
      <c r="C9" s="7" t="n">
        <v>19.03</v>
      </c>
      <c r="D9" s="19">
        <f>IFERROR(B9/C9,"")</f>
        <v/>
      </c>
      <c r="E9" s="20">
        <f>IFERROR(1/C9,"")</f>
        <v/>
      </c>
    </row>
    <row r="10">
      <c r="A10" s="18" t="n">
        <v>44681</v>
      </c>
      <c r="B10" s="6" t="n">
        <v>8070.5</v>
      </c>
      <c r="C10" s="7" t="n">
        <v>19.28</v>
      </c>
      <c r="D10" s="19">
        <f>IFERROR(B10/C10,"")</f>
        <v/>
      </c>
      <c r="E10" s="20">
        <f>IFERROR(1/C10,"")</f>
        <v/>
      </c>
    </row>
    <row r="11">
      <c r="A11" s="18" t="n">
        <v>44712</v>
      </c>
      <c r="B11" s="6" t="n">
        <v>7673.95</v>
      </c>
      <c r="C11" s="7" t="n">
        <v>17.42</v>
      </c>
      <c r="D11" s="19">
        <f>IFERROR(B11/C11,"")</f>
        <v/>
      </c>
      <c r="E11" s="20">
        <f>IFERROR(1/C11,"")</f>
        <v/>
      </c>
    </row>
    <row r="12">
      <c r="A12" s="18" t="n">
        <v>44742</v>
      </c>
      <c r="B12" s="6" t="n">
        <v>7286.05</v>
      </c>
      <c r="C12" s="7" t="n">
        <v>15.95</v>
      </c>
      <c r="D12" s="19">
        <f>IFERROR(B12/C12,"")</f>
        <v/>
      </c>
      <c r="E12" s="20">
        <f>IFERROR(1/C12,"")</f>
        <v/>
      </c>
    </row>
    <row r="13">
      <c r="A13" s="18" t="n">
        <v>44773</v>
      </c>
      <c r="B13" s="6" t="n">
        <v>8012.5</v>
      </c>
      <c r="C13" s="7" t="n">
        <v>17.91</v>
      </c>
      <c r="D13" s="19">
        <f>IFERROR(B13/C13,"")</f>
        <v/>
      </c>
      <c r="E13" s="20">
        <f>IFERROR(1/C13,"")</f>
        <v/>
      </c>
    </row>
    <row r="14">
      <c r="A14" s="18" t="n">
        <v>44804</v>
      </c>
      <c r="B14" s="6" t="n">
        <v>8393.549999999999</v>
      </c>
      <c r="C14" s="7" t="n">
        <v>19.18</v>
      </c>
      <c r="D14" s="19">
        <f>IFERROR(B14/C14,"")</f>
        <v/>
      </c>
      <c r="E14" s="20">
        <f>IFERROR(1/C14,"")</f>
        <v/>
      </c>
    </row>
    <row r="15">
      <c r="A15" s="18" t="n">
        <v>44834</v>
      </c>
      <c r="B15" s="6" t="n">
        <v>8158</v>
      </c>
      <c r="C15" s="7" t="n">
        <v>18.96</v>
      </c>
      <c r="D15" s="19">
        <f>IFERROR(B15/C15,"")</f>
        <v/>
      </c>
      <c r="E15" s="20">
        <f>IFERROR(1/C15,"")</f>
        <v/>
      </c>
    </row>
    <row r="16">
      <c r="A16" s="18" t="n">
        <v>44865</v>
      </c>
      <c r="B16" s="6" t="n">
        <v>8390.85</v>
      </c>
      <c r="C16" s="7" t="n">
        <v>20.1</v>
      </c>
      <c r="D16" s="19">
        <f>IFERROR(B16/C16,"")</f>
        <v/>
      </c>
      <c r="E16" s="20">
        <f>IFERROR(1/C16,"")</f>
        <v/>
      </c>
    </row>
    <row r="17">
      <c r="A17" s="18" t="n">
        <v>44895</v>
      </c>
      <c r="B17" s="6" t="n">
        <v>8542.75</v>
      </c>
      <c r="C17" s="7" t="n">
        <v>22.58</v>
      </c>
      <c r="D17" s="19">
        <f>IFERROR(B17/C17,"")</f>
        <v/>
      </c>
      <c r="E17" s="20">
        <f>IFERROR(1/C17,"")</f>
        <v/>
      </c>
    </row>
    <row r="18">
      <c r="A18" s="18" t="n">
        <v>44926</v>
      </c>
      <c r="B18" s="6" t="n">
        <v>8241.75</v>
      </c>
      <c r="C18" s="7" t="n">
        <v>21.76</v>
      </c>
      <c r="D18" s="19">
        <f>IFERROR(B18/C18,"")</f>
        <v/>
      </c>
      <c r="E18" s="20">
        <f>IFERROR(1/C18,"")</f>
        <v/>
      </c>
    </row>
    <row r="19">
      <c r="A19" s="18" t="n">
        <v>44957</v>
      </c>
      <c r="B19" s="6" t="n">
        <v>8286.299999999999</v>
      </c>
      <c r="C19" s="7" t="n">
        <v>22.04</v>
      </c>
      <c r="D19" s="19">
        <f>IFERROR(B19/C19,"")</f>
        <v/>
      </c>
      <c r="E19" s="20">
        <f>IFERROR(1/C19,"")</f>
        <v/>
      </c>
    </row>
    <row r="20">
      <c r="A20" s="18" t="n">
        <v>44985</v>
      </c>
      <c r="B20" s="6" t="n">
        <v>7943.6</v>
      </c>
      <c r="C20" s="7" t="n">
        <v>24.14</v>
      </c>
      <c r="D20" s="19">
        <f>IFERROR(B20/C20,"")</f>
        <v/>
      </c>
      <c r="E20" s="20">
        <f>IFERROR(1/C20,"")</f>
        <v/>
      </c>
    </row>
    <row r="21">
      <c r="A21" s="18" t="n">
        <v>45016</v>
      </c>
      <c r="B21" s="6" t="n">
        <v>7948.1</v>
      </c>
      <c r="C21" s="7" t="n">
        <v>24.07</v>
      </c>
      <c r="D21" s="19">
        <f>IFERROR(B21/C21,"")</f>
        <v/>
      </c>
      <c r="E21" s="20">
        <f>IFERROR(1/C21,"")</f>
        <v/>
      </c>
    </row>
    <row r="22">
      <c r="A22" s="18" t="n">
        <v>45046</v>
      </c>
      <c r="B22" s="6" t="n">
        <v>8340.65</v>
      </c>
      <c r="C22" s="7" t="n">
        <v>25.15</v>
      </c>
      <c r="D22" s="19">
        <f>IFERROR(B22/C22,"")</f>
        <v/>
      </c>
      <c r="E22" s="20">
        <f>IFERROR(1/C22,"")</f>
        <v/>
      </c>
    </row>
    <row r="23">
      <c r="A23" s="18" t="n">
        <v>45077</v>
      </c>
      <c r="B23" s="6" t="n">
        <v>8680.4</v>
      </c>
      <c r="C23" s="7" t="n">
        <v>25.94</v>
      </c>
      <c r="D23" s="19">
        <f>IFERROR(B23/C23,"")</f>
        <v/>
      </c>
      <c r="E23" s="20">
        <f>IFERROR(1/C23,"")</f>
        <v/>
      </c>
    </row>
    <row r="24">
      <c r="A24" s="18" t="n">
        <v>45107</v>
      </c>
      <c r="B24" s="6" t="n">
        <v>9204.15</v>
      </c>
      <c r="C24" s="7" t="n">
        <v>27.74</v>
      </c>
      <c r="D24" s="19">
        <f>IFERROR(B24/C24,"")</f>
        <v/>
      </c>
      <c r="E24" s="20">
        <f>IFERROR(1/C24,"")</f>
        <v/>
      </c>
    </row>
    <row r="25">
      <c r="A25" s="18" t="n">
        <v>45138</v>
      </c>
      <c r="B25" s="6" t="n">
        <v>9679.75</v>
      </c>
      <c r="C25" s="7" t="n">
        <v>26.83</v>
      </c>
      <c r="D25" s="19">
        <f>IFERROR(B25/C25,"")</f>
        <v/>
      </c>
      <c r="E25" s="20">
        <f>IFERROR(1/C25,"")</f>
        <v/>
      </c>
    </row>
    <row r="26">
      <c r="A26" s="18" t="n">
        <v>45169</v>
      </c>
      <c r="B26" s="6" t="n">
        <v>9709.65</v>
      </c>
      <c r="C26" s="7" t="n">
        <v>25.62</v>
      </c>
      <c r="D26" s="19">
        <f>IFERROR(B26/C26,"")</f>
        <v/>
      </c>
      <c r="E26" s="20">
        <f>IFERROR(1/C26,"")</f>
        <v/>
      </c>
    </row>
    <row r="27">
      <c r="A27" s="18" t="n">
        <v>45199</v>
      </c>
      <c r="B27" s="6" t="n">
        <v>9796.799999999999</v>
      </c>
      <c r="C27" s="7" t="n">
        <v>25.9</v>
      </c>
      <c r="D27" s="19">
        <f>IFERROR(B27/C27,"")</f>
        <v/>
      </c>
      <c r="E27" s="20">
        <f>IFERROR(1/C27,"")</f>
        <v/>
      </c>
    </row>
    <row r="28">
      <c r="A28" s="18" t="n">
        <v>45230</v>
      </c>
      <c r="B28" s="6" t="n">
        <v>9428.75</v>
      </c>
      <c r="C28" s="7" t="n">
        <v>23.24</v>
      </c>
      <c r="D28" s="19">
        <f>IFERROR(B28/C28,"")</f>
        <v/>
      </c>
      <c r="E28" s="20">
        <f>IFERROR(1/C28,"")</f>
        <v/>
      </c>
    </row>
    <row r="29">
      <c r="A29" s="18" t="n">
        <v>45260</v>
      </c>
      <c r="B29" s="6" t="n">
        <v>10305.05</v>
      </c>
      <c r="C29" s="7" t="n">
        <v>25.2</v>
      </c>
      <c r="D29" s="19">
        <f>IFERROR(B29/C29,"")</f>
        <v/>
      </c>
      <c r="E29" s="20">
        <f>IFERROR(1/C29,"")</f>
        <v/>
      </c>
    </row>
    <row r="30">
      <c r="A30" s="18" t="n">
        <v>45291</v>
      </c>
      <c r="B30" s="6" t="n">
        <v>11037.95</v>
      </c>
      <c r="C30" s="7" t="n">
        <v>26.92</v>
      </c>
      <c r="D30" s="19">
        <f>IFERROR(B30/C30,"")</f>
        <v/>
      </c>
      <c r="E30" s="20">
        <f>IFERROR(1/C30,"")</f>
        <v/>
      </c>
    </row>
    <row r="31">
      <c r="A31" s="18" t="n">
        <v>45322</v>
      </c>
      <c r="B31" s="6" t="n">
        <v>11282.45</v>
      </c>
      <c r="C31" s="7" t="n">
        <v>25.93</v>
      </c>
      <c r="D31" s="19">
        <f>IFERROR(B31/C31,"")</f>
        <v/>
      </c>
      <c r="E31" s="20">
        <f>IFERROR(1/C31,"")</f>
        <v/>
      </c>
    </row>
    <row r="32">
      <c r="A32" s="18" t="n">
        <v>45351</v>
      </c>
      <c r="B32" s="6" t="n">
        <v>11748.25</v>
      </c>
      <c r="C32" s="7" t="n">
        <v>26.3</v>
      </c>
      <c r="D32" s="19">
        <f>IFERROR(B32/C32,"")</f>
        <v/>
      </c>
      <c r="E32" s="20">
        <f>IFERROR(1/C32,"")</f>
        <v/>
      </c>
    </row>
    <row r="33">
      <c r="A33" s="18" t="n">
        <v>45382</v>
      </c>
      <c r="B33" s="6" t="n">
        <v>12240</v>
      </c>
      <c r="C33" s="7" t="n">
        <v>27.65</v>
      </c>
      <c r="D33" s="19">
        <f>IFERROR(B33/C33,"")</f>
        <v/>
      </c>
      <c r="E33" s="20">
        <f>IFERROR(1/C33,"")</f>
        <v/>
      </c>
    </row>
    <row r="34">
      <c r="A34" s="18" t="n">
        <v>45412</v>
      </c>
      <c r="B34" s="6" t="n">
        <v>12970</v>
      </c>
      <c r="C34" s="7" t="n">
        <v>29.21</v>
      </c>
      <c r="D34" s="19">
        <f>IFERROR(B34/C34,"")</f>
        <v/>
      </c>
      <c r="E34" s="20">
        <f>IFERROR(1/C34,"")</f>
        <v/>
      </c>
    </row>
    <row r="35">
      <c r="A35" s="18" t="n">
        <v>45443</v>
      </c>
      <c r="B35" s="6" t="n">
        <v>13684.95</v>
      </c>
      <c r="C35" s="7" t="n">
        <v>29.83</v>
      </c>
      <c r="D35" s="19">
        <f>IFERROR(B35/C35,"")</f>
        <v/>
      </c>
      <c r="E35" s="20">
        <f>IFERROR(1/C35,"")</f>
        <v/>
      </c>
    </row>
    <row r="36">
      <c r="A36" s="18" t="n">
        <v>45473</v>
      </c>
      <c r="B36" s="6" t="n">
        <v>14622.1</v>
      </c>
      <c r="C36" s="7" t="n">
        <v>30.87</v>
      </c>
      <c r="D36" s="19">
        <f>IFERROR(B36/C36,"")</f>
        <v/>
      </c>
      <c r="E36" s="20">
        <f>IFERROR(1/C36,"")</f>
        <v/>
      </c>
    </row>
    <row r="37">
      <c r="A37" s="18" t="n">
        <v>45504</v>
      </c>
      <c r="B37" s="6" t="n">
        <v>15194.2</v>
      </c>
      <c r="C37" s="7" t="n">
        <v>33.15</v>
      </c>
      <c r="D37" s="19">
        <f>IFERROR(B37/C37,"")</f>
        <v/>
      </c>
      <c r="E37" s="20">
        <f>IFERROR(1/C37,"")</f>
        <v/>
      </c>
    </row>
    <row r="38">
      <c r="A38" s="18" t="n">
        <v>45535</v>
      </c>
      <c r="B38" s="6" t="n">
        <v>15177.15</v>
      </c>
      <c r="C38" s="7" t="n">
        <v>33.13</v>
      </c>
      <c r="D38" s="19">
        <f>IFERROR(B38/C38,"")</f>
        <v/>
      </c>
      <c r="E38" s="20">
        <f>IFERROR(1/C38,"")</f>
        <v/>
      </c>
    </row>
    <row r="39">
      <c r="A39" s="18" t="n">
        <v>45565</v>
      </c>
      <c r="B39" s="6" t="n">
        <v>15612.05</v>
      </c>
      <c r="C39" s="7" t="n">
        <v>34.09</v>
      </c>
      <c r="D39" s="19">
        <f>IFERROR(B39/C39,"")</f>
        <v/>
      </c>
      <c r="E39" s="20">
        <f>IFERROR(1/C39,"")</f>
        <v/>
      </c>
    </row>
    <row r="40">
      <c r="A40" s="18" t="n">
        <v>45596</v>
      </c>
      <c r="B40" s="6" t="n">
        <v>14210.05</v>
      </c>
      <c r="C40" s="7" t="n">
        <v>32.93</v>
      </c>
      <c r="D40" s="19">
        <f>IFERROR(B40/C40,"")</f>
        <v/>
      </c>
      <c r="E40" s="20">
        <f>IFERROR(1/C40,"")</f>
        <v/>
      </c>
    </row>
    <row r="41">
      <c r="A41" s="18" t="n">
        <v>45626</v>
      </c>
      <c r="B41" s="6" t="n">
        <v>14093.1</v>
      </c>
      <c r="C41" s="7" t="n">
        <v>30.08</v>
      </c>
      <c r="D41" s="19">
        <f>IFERROR(B41/C41,"")</f>
        <v/>
      </c>
      <c r="E41" s="20">
        <f>IFERROR(1/C41,"")</f>
        <v/>
      </c>
    </row>
    <row r="42">
      <c r="A42" s="18" t="n">
        <v>45657</v>
      </c>
      <c r="B42" s="6" t="n">
        <v>13822.55</v>
      </c>
      <c r="C42" s="7" t="n">
        <v>29.3</v>
      </c>
      <c r="D42" s="19">
        <f>IFERROR(B42/C42,"")</f>
        <v/>
      </c>
      <c r="E42" s="20">
        <f>IFERROR(1/C42,"")</f>
        <v/>
      </c>
    </row>
    <row r="43">
      <c r="A43" s="18" t="n">
        <v>45688</v>
      </c>
      <c r="B43" s="6" t="n">
        <v>13305.5</v>
      </c>
      <c r="C43" s="7" t="n">
        <v>28.4</v>
      </c>
      <c r="D43" s="19">
        <f>IFERROR(B43/C43,"")</f>
        <v/>
      </c>
      <c r="E43" s="20">
        <f>IFERROR(1/C43,"")</f>
        <v/>
      </c>
    </row>
    <row r="44">
      <c r="A44" s="18" t="n">
        <v>45716</v>
      </c>
      <c r="B44" s="6" t="n">
        <v>12116.85</v>
      </c>
      <c r="C44" s="7" t="n">
        <v>25.03</v>
      </c>
      <c r="D44" s="19">
        <f>IFERROR(B44/C44,"")</f>
        <v/>
      </c>
      <c r="E44" s="20">
        <f>IFERROR(1/C44,"")</f>
        <v/>
      </c>
    </row>
    <row r="45">
      <c r="A45" s="18" t="n">
        <v>45747</v>
      </c>
      <c r="B45" s="6" t="n">
        <v>13097.55</v>
      </c>
      <c r="C45" s="7" t="n">
        <v>27.47</v>
      </c>
      <c r="D45" s="19">
        <f>IFERROR(B45/C45,"")</f>
        <v/>
      </c>
      <c r="E45" s="20">
        <f>IFERROR(1/C45,"")</f>
        <v/>
      </c>
    </row>
    <row r="46">
      <c r="A46" s="18" t="n">
        <v>45777</v>
      </c>
      <c r="B46" s="6" t="n">
        <v>13505.35</v>
      </c>
      <c r="C46" s="7" t="n">
        <v>28.3</v>
      </c>
      <c r="D46" s="19">
        <f>IFERROR(B46/C46,"")</f>
        <v/>
      </c>
      <c r="E46" s="20">
        <f>IFERROR(1/C46,"")</f>
        <v/>
      </c>
    </row>
    <row r="47">
      <c r="A47" s="18" t="n">
        <v>45808</v>
      </c>
      <c r="B47" s="6" t="n">
        <v>14149.85</v>
      </c>
      <c r="C47" s="7" t="n">
        <v>29.33</v>
      </c>
      <c r="D47" s="19">
        <f>IFERROR(B47/C47,"")</f>
        <v/>
      </c>
      <c r="E47" s="20">
        <f>IFERROR(1/C47,"")</f>
        <v/>
      </c>
    </row>
    <row r="48">
      <c r="A48" s="18" t="n">
        <v>45838</v>
      </c>
      <c r="B48" s="6" t="n">
        <v>14548.8</v>
      </c>
      <c r="C48" s="7" t="n">
        <v>29.23</v>
      </c>
      <c r="D48" s="19">
        <f>IFERROR(B48/C48,"")</f>
        <v/>
      </c>
      <c r="E48" s="20">
        <f>IFERROR(1/C48,"")</f>
        <v/>
      </c>
    </row>
    <row r="49">
      <c r="A49" s="18" t="n">
        <v>45869</v>
      </c>
      <c r="B49" s="6" t="n">
        <v>14228.45</v>
      </c>
      <c r="C49" s="7" t="n">
        <v>28.12</v>
      </c>
      <c r="D49" s="19">
        <f>IFERROR(B49/C49,"")</f>
        <v/>
      </c>
      <c r="E49" s="20">
        <f>IFERROR(1/C49,"")</f>
        <v/>
      </c>
    </row>
    <row r="50">
      <c r="A50" s="18" t="n">
        <v>45900</v>
      </c>
      <c r="B50" s="6" t="n">
        <v>14236.85</v>
      </c>
      <c r="C50" s="7" t="n">
        <v>27.18</v>
      </c>
      <c r="D50" s="19">
        <f>IFERROR(B50/C50,"")</f>
        <v/>
      </c>
      <c r="E50" s="20">
        <f>IFERROR(1/C50,"")</f>
        <v/>
      </c>
    </row>
    <row r="51">
      <c r="A51" s="18" t="n">
        <v>45930</v>
      </c>
      <c r="B51" s="6" t="n">
        <v>14768.15</v>
      </c>
      <c r="C51" s="7" t="n">
        <v>28.55</v>
      </c>
      <c r="D51" s="19">
        <f>IFERROR(B51/C51,"")</f>
        <v/>
      </c>
      <c r="E51" s="20">
        <f>IFERROR(1/C51,"")</f>
        <v/>
      </c>
    </row>
    <row r="52">
      <c r="A52" s="18" t="n">
        <v>45961</v>
      </c>
      <c r="B52" s="6" t="n">
        <v>15255.8</v>
      </c>
      <c r="C52" s="7" t="n">
        <v>28.62</v>
      </c>
      <c r="D52" s="19">
        <f>IFERROR(B52/C52,"")</f>
        <v/>
      </c>
      <c r="E52" s="20">
        <f>IFERROR(1/C52,"")</f>
        <v/>
      </c>
    </row>
    <row r="53">
      <c r="A53" s="18" t="n">
        <v>45991</v>
      </c>
      <c r="B53" s="6" t="n">
        <v>15305</v>
      </c>
      <c r="C53" s="7" t="n">
        <v>28.07</v>
      </c>
      <c r="D53" s="19">
        <f>IFERROR(B53/C53,"")</f>
        <v/>
      </c>
      <c r="E53" s="20">
        <f>IFERROR(1/C53,"")</f>
        <v/>
      </c>
    </row>
    <row r="54">
      <c r="A54" s="18" t="n">
        <v>46022</v>
      </c>
      <c r="B54" s="6" t="n">
        <v>15412.5</v>
      </c>
      <c r="C54" s="7" t="n">
        <v>28.37</v>
      </c>
      <c r="D54" s="19">
        <f>IFERROR(B54/C54,"")</f>
        <v/>
      </c>
      <c r="E54" s="20">
        <f>IFERROR(1/C54,"")</f>
        <v/>
      </c>
    </row>
    <row r="55">
      <c r="A55" s="18" t="n">
        <v>46053</v>
      </c>
      <c r="B55" s="6" t="n">
        <v>15055.7</v>
      </c>
      <c r="C55" s="7" t="n">
        <v>27.26</v>
      </c>
      <c r="D55" s="19">
        <f>IFERROR(B55/C55,"")</f>
        <v/>
      </c>
      <c r="E55" s="20">
        <f>IFERROR(1/C55,"")</f>
        <v/>
      </c>
    </row>
    <row r="56">
      <c r="A56" s="18" t="n">
        <v>46081</v>
      </c>
      <c r="B56" s="6" t="n">
        <v>15771.55</v>
      </c>
      <c r="C56" s="7" t="n">
        <v>28.64</v>
      </c>
      <c r="D56" s="19">
        <f>IFERROR(B56/C56,"")</f>
        <v/>
      </c>
      <c r="E56" s="20">
        <f>IFERROR(1/C56,"")</f>
        <v/>
      </c>
    </row>
    <row r="57">
      <c r="A57" s="18" t="n">
        <v>46112</v>
      </c>
      <c r="B57" s="6" t="n">
        <v>14032.55</v>
      </c>
      <c r="C57" s="7" t="n">
        <v>25.69</v>
      </c>
      <c r="D57" s="19">
        <f>IFERROR(B57/C57,"")</f>
        <v/>
      </c>
      <c r="E57" s="20">
        <f>IFERROR(1/C57,"")</f>
        <v/>
      </c>
    </row>
    <row r="58">
      <c r="A58" s="18" t="n">
        <v>46142</v>
      </c>
      <c r="B58" s="6" t="n">
        <v>15550.3</v>
      </c>
      <c r="C58" s="7" t="n">
        <v>28.45</v>
      </c>
      <c r="D58" s="19">
        <f>IFERROR(B58/C58,"")</f>
        <v/>
      </c>
      <c r="E58" s="20">
        <f>IFERROR(1/C58,"")</f>
        <v/>
      </c>
    </row>
    <row r="59">
      <c r="A59" s="18" t="n">
        <v>46173</v>
      </c>
      <c r="B59" s="6" t="n">
        <v>15889.9</v>
      </c>
      <c r="C59" s="7" t="n">
        <v>27.27</v>
      </c>
      <c r="D59" s="19">
        <f>IFERROR(B59/C59,"")</f>
        <v/>
      </c>
      <c r="E59" s="20">
        <f>IFERROR(1/C59,"")</f>
        <v/>
      </c>
    </row>
    <row r="60">
      <c r="A60" s="18" t="n">
        <v>46203</v>
      </c>
      <c r="B60" s="6" t="n">
        <v>15876</v>
      </c>
      <c r="C60" s="7" t="n">
        <v>27.04</v>
      </c>
      <c r="D60" s="19">
        <f>IFERROR(B60/C60,"")</f>
        <v/>
      </c>
      <c r="E60" s="20">
        <f>IFERROR(1/C60,"")</f>
        <v/>
      </c>
    </row>
    <row r="61">
      <c r="A61" s="18" t="n">
        <v>46234</v>
      </c>
      <c r="B61" s="6" t="n">
        <v>16328.9</v>
      </c>
      <c r="C61" s="7" t="n">
        <v>28.44</v>
      </c>
      <c r="D61" s="19">
        <f>IFERROR(B61/C61,"")</f>
        <v/>
      </c>
      <c r="E61" s="20">
        <f>IFERROR(1/C61,"")</f>
        <v/>
      </c>
    </row>
    <row r="62">
      <c r="A62" s="18" t="n">
        <v>46265</v>
      </c>
      <c r="B62" s="6" t="n">
        <v>16582.95</v>
      </c>
      <c r="C62" s="7" t="n">
        <v>28.65</v>
      </c>
      <c r="D62" s="19">
        <f>IFERROR(B62/C62,"")</f>
        <v/>
      </c>
      <c r="E62" s="20">
        <f>IFERROR(1/C62,"")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44469</v>
      </c>
      <c r="B2" s="6" t="n">
        <v>7897.43</v>
      </c>
      <c r="C2" s="7" t="n">
        <v>21.45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IF(C2="","",(COUNTIFS($D$2:$D$21,D2,$C$2:$C$21,"&gt;0",$C$2:$C$21,"&lt;"&amp;C2)+(COUNTIFS($D$2:$D$21,D2,$C$2:$C$21,C2)+1)/2)/COUNTIFS($D$2:$D$21,D2,$C$2:$C$21,"&gt;0"))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44561</v>
      </c>
      <c r="B3" s="6" t="n">
        <v>7931.99</v>
      </c>
      <c r="C3" s="7" t="n">
        <v>18.84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IF(C3="","",(COUNTIFS($D$2:$D$21,D3,$C$2:$C$21,"&gt;0",$C$2:$C$21,"&lt;"&amp;C3)+(COUNTIFS($D$2:$D$21,D3,$C$2:$C$21,C3)+1)/2)/COUNTIFS($D$2:$D$21,D3,$C$2:$C$21,"&gt;0"))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44651</v>
      </c>
      <c r="B4" s="6" t="n">
        <v>7963.05</v>
      </c>
      <c r="C4" s="7" t="n">
        <v>19.03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IF(C4="","",(COUNTIFS($D$2:$D$21,D4,$C$2:$C$21,"&gt;0",$C$2:$C$21,"&lt;"&amp;C4)+(COUNTIFS($D$2:$D$21,D4,$C$2:$C$21,C4)+1)/2)/COUNTIFS($D$2:$D$21,D4,$C$2:$C$21,"&gt;0"))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44742</v>
      </c>
      <c r="B5" s="6" t="n">
        <v>7286.05</v>
      </c>
      <c r="C5" s="7" t="n">
        <v>15.95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IF(C5="","",(COUNTIFS($D$2:$D$21,D5,$C$2:$C$21,"&gt;0",$C$2:$C$21,"&lt;"&amp;C5)+(COUNTIFS($D$2:$D$21,D5,$C$2:$C$21,C5)+1)/2)/COUNTIFS($D$2:$D$21,D5,$C$2:$C$21,"&gt;0"))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44834</v>
      </c>
      <c r="B6" s="6" t="n">
        <v>8158</v>
      </c>
      <c r="C6" s="7" t="n">
        <v>18.96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IF(C6="","",(COUNTIFS($D$2:$D$21,D6,$C$2:$C$21,"&gt;0",$C$2:$C$21,"&lt;"&amp;C6)+(COUNTIFS($D$2:$D$21,D6,$C$2:$C$21,C6)+1)/2)/COUNTIFS($D$2:$D$21,D6,$C$2:$C$21,"&gt;0"))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44926</v>
      </c>
      <c r="B7" s="6" t="n">
        <v>8241.75</v>
      </c>
      <c r="C7" s="7" t="n">
        <v>21.76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IF(C7="","",(COUNTIFS($D$2:$D$21,D7,$C$2:$C$21,"&gt;0",$C$2:$C$21,"&lt;"&amp;C7)+(COUNTIFS($D$2:$D$21,D7,$C$2:$C$21,C7)+1)/2)/COUNTIFS($D$2:$D$21,D7,$C$2:$C$21,"&gt;0"))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45016</v>
      </c>
      <c r="B8" s="6" t="n">
        <v>7948.1</v>
      </c>
      <c r="C8" s="7" t="n">
        <v>24.07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IF(C8="","",(COUNTIFS($D$2:$D$21,D8,$C$2:$C$21,"&gt;0",$C$2:$C$21,"&lt;"&amp;C8)+(COUNTIFS($D$2:$D$21,D8,$C$2:$C$21,C8)+1)/2)/COUNTIFS($D$2:$D$21,D8,$C$2:$C$21,"&gt;0"))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 t="n"/>
      <c r="L8" s="16" t="n"/>
    </row>
    <row r="9">
      <c r="A9" s="18" t="n">
        <v>45107</v>
      </c>
      <c r="B9" s="6" t="n">
        <v>9204.15</v>
      </c>
      <c r="C9" s="7" t="n">
        <v>27.74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IF(C9="","",(COUNTIFS($D$2:$D$21,D9,$C$2:$C$21,"&gt;0",$C$2:$C$21,"&lt;"&amp;C9)+(COUNTIFS($D$2:$D$21,D9,$C$2:$C$21,C9)+1)/2)/COUNTIFS($D$2:$D$21,D9,$C$2:$C$21,"&gt;0"))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>
        <f>IFERROR((B21/B9)^(1/3)-1,"")</f>
        <v/>
      </c>
      <c r="K9" s="16" t="n"/>
      <c r="L9" s="16" t="n"/>
    </row>
    <row r="10">
      <c r="A10" s="18" t="n">
        <v>45199</v>
      </c>
      <c r="B10" s="6" t="n">
        <v>9796.799999999999</v>
      </c>
      <c r="C10" s="7" t="n">
        <v>25.9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IF(C10="","",(COUNTIFS($D$2:$D$21,D10,$C$2:$C$21,"&gt;0",$C$2:$C$21,"&lt;"&amp;C10)+(COUNTIFS($D$2:$D$21,D10,$C$2:$C$21,C10)+1)/2)/COUNTIFS($D$2:$D$21,D10,$C$2:$C$21,"&gt;0"))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45291</v>
      </c>
      <c r="B11" s="6" t="n">
        <v>11037.95</v>
      </c>
      <c r="C11" s="7" t="n">
        <v>26.92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IF(C11="","",(COUNTIFS($D$2:$D$21,D11,$C$2:$C$21,"&gt;0",$C$2:$C$21,"&lt;"&amp;C11)+(COUNTIFS($D$2:$D$21,D11,$C$2:$C$21,C11)+1)/2)/COUNTIFS($D$2:$D$21,D11,$C$2:$C$21,"&gt;0"))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45382</v>
      </c>
      <c r="B12" s="6" t="n">
        <v>12240</v>
      </c>
      <c r="C12" s="7" t="n">
        <v>27.65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IF(C12="","",(COUNTIFS($D$2:$D$21,D12,$C$2:$C$21,"&gt;0",$C$2:$C$21,"&lt;"&amp;C12)+(COUNTIFS($D$2:$D$21,D12,$C$2:$C$21,C12)+1)/2)/COUNTIFS($D$2:$D$21,D12,$C$2:$C$21,"&gt;0"))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45473</v>
      </c>
      <c r="B13" s="6" t="n">
        <v>14622.1</v>
      </c>
      <c r="C13" s="7" t="n">
        <v>30.87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IF(C13="","",(COUNTIFS($D$2:$D$21,D13,$C$2:$C$21,"&gt;0",$C$2:$C$21,"&lt;"&amp;C13)+(COUNTIFS($D$2:$D$21,D13,$C$2:$C$21,C13)+1)/2)/COUNTIFS($D$2:$D$21,D13,$C$2:$C$21,"&gt;0"))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45565</v>
      </c>
      <c r="B14" s="6" t="n">
        <v>15612.05</v>
      </c>
      <c r="C14" s="7" t="n">
        <v>34.09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IF(C14="","",(COUNTIFS($D$2:$D$21,D14,$C$2:$C$21,"&gt;0",$C$2:$C$21,"&lt;"&amp;C14)+(COUNTIFS($D$2:$D$21,D14,$C$2:$C$21,C14)+1)/2)/COUNTIFS($D$2:$D$21,D14,$C$2:$C$21,"&gt;0"))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45657</v>
      </c>
      <c r="B15" s="6" t="n">
        <v>13822.55</v>
      </c>
      <c r="C15" s="7" t="n">
        <v>29.3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IF(C15="","",(COUNTIFS($D$2:$D$21,D15,$C$2:$C$21,"&gt;0",$C$2:$C$21,"&lt;"&amp;C15)+(COUNTIFS($D$2:$D$21,D15,$C$2:$C$21,C15)+1)/2)/COUNTIFS($D$2:$D$21,D15,$C$2:$C$21,"&gt;0"))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45747</v>
      </c>
      <c r="B16" s="6" t="n">
        <v>13097.55</v>
      </c>
      <c r="C16" s="7" t="n">
        <v>27.47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IF(C16="","",(COUNTIFS($D$2:$D$21,D16,$C$2:$C$21,"&gt;0",$C$2:$C$21,"&lt;"&amp;C16)+(COUNTIFS($D$2:$D$21,D16,$C$2:$C$21,C16)+1)/2)/COUNTIFS($D$2:$D$21,D16,$C$2:$C$21,"&gt;0"))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 t="n"/>
      <c r="K16" s="16" t="n"/>
      <c r="L16" s="16" t="n"/>
    </row>
    <row r="17">
      <c r="A17" s="18" t="n">
        <v>45838</v>
      </c>
      <c r="B17" s="6" t="n">
        <v>14548.8</v>
      </c>
      <c r="C17" s="7" t="n">
        <v>29.23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IF(C17="","",(COUNTIFS($D$2:$D$21,D17,$C$2:$C$21,"&gt;0",$C$2:$C$21,"&lt;"&amp;C17)+(COUNTIFS($D$2:$D$21,D17,$C$2:$C$21,C17)+1)/2)/COUNTIFS($D$2:$D$21,D17,$C$2:$C$21,"&gt;0"))</f>
        <v/>
      </c>
      <c r="H17">
        <f>IF(G17="","",IF(G17&lt;=20%,"Q1 Cheapest",IF(G17&lt;=40%,"Q2",IF(G17&lt;=60%,"Q3",IF(G17&lt;=80%,"Q4","Q5 Most Expensive")))))</f>
        <v/>
      </c>
      <c r="I17" s="16">
        <f>IFERROR(B21/B17-1,"")</f>
        <v/>
      </c>
      <c r="J17" s="16" t="n"/>
      <c r="K17" s="16" t="n"/>
      <c r="L17" s="16" t="n"/>
    </row>
    <row r="18">
      <c r="A18" s="18" t="n">
        <v>45930</v>
      </c>
      <c r="B18" s="6" t="n">
        <v>14768.15</v>
      </c>
      <c r="C18" s="7" t="n">
        <v>28.55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IF(C18="","",(COUNTIFS($D$2:$D$21,D18,$C$2:$C$21,"&gt;0",$C$2:$C$21,"&lt;"&amp;C18)+(COUNTIFS($D$2:$D$21,D18,$C$2:$C$21,C18)+1)/2)/COUNTIFS($D$2:$D$21,D18,$C$2:$C$21,"&gt;0"))</f>
        <v/>
      </c>
      <c r="H18">
        <f>IF(G18="","",IF(G18&lt;=20%,"Q1 Cheapest",IF(G18&lt;=40%,"Q2",IF(G18&lt;=60%,"Q3",IF(G18&lt;=80%,"Q4","Q5 Most Expensive")))))</f>
        <v/>
      </c>
      <c r="I18" s="16" t="n"/>
      <c r="J18" s="16" t="n"/>
      <c r="K18" s="16" t="n"/>
      <c r="L18" s="16" t="n"/>
    </row>
    <row r="19">
      <c r="A19" s="18" t="n">
        <v>46022</v>
      </c>
      <c r="B19" s="6" t="n">
        <v>15412.5</v>
      </c>
      <c r="C19" s="7" t="n">
        <v>28.37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IF(C19="","",(COUNTIFS($D$2:$D$21,D19,$C$2:$C$21,"&gt;0",$C$2:$C$21,"&lt;"&amp;C19)+(COUNTIFS($D$2:$D$21,D19,$C$2:$C$21,C19)+1)/2)/COUNTIFS($D$2:$D$21,D19,$C$2:$C$21,"&gt;0"))</f>
        <v/>
      </c>
      <c r="H19">
        <f>IF(G19="","",IF(G19&lt;=20%,"Q1 Cheapest",IF(G19&lt;=40%,"Q2",IF(G19&lt;=60%,"Q3",IF(G19&lt;=80%,"Q4","Q5 Most Expensive")))))</f>
        <v/>
      </c>
      <c r="I19" s="16" t="n"/>
      <c r="J19" s="16" t="n"/>
      <c r="K19" s="16" t="n"/>
      <c r="L19" s="16" t="n"/>
    </row>
    <row r="20">
      <c r="A20" s="18" t="n">
        <v>46112</v>
      </c>
      <c r="B20" s="6" t="n">
        <v>14032.55</v>
      </c>
      <c r="C20" s="7" t="n">
        <v>25.69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IF(C20="","",(COUNTIFS($D$2:$D$21,D20,$C$2:$C$21,"&gt;0",$C$2:$C$21,"&lt;"&amp;C20)+(COUNTIFS($D$2:$D$21,D20,$C$2:$C$21,C20)+1)/2)/COUNTIFS($D$2:$D$21,D20,$C$2:$C$21,"&gt;0"))</f>
        <v/>
      </c>
      <c r="H20">
        <f>IF(G20="","",IF(G20&lt;=20%,"Q1 Cheapest",IF(G20&lt;=40%,"Q2",IF(G20&lt;=60%,"Q3",IF(G20&lt;=80%,"Q4","Q5 Most Expensive")))))</f>
        <v/>
      </c>
      <c r="I20" s="16" t="n"/>
      <c r="J20" s="16" t="n"/>
      <c r="K20" s="16" t="n"/>
      <c r="L20" s="16" t="n"/>
    </row>
    <row r="21">
      <c r="A21" s="18" t="n">
        <v>46203</v>
      </c>
      <c r="B21" s="6" t="n">
        <v>15876</v>
      </c>
      <c r="C21" s="7" t="n">
        <v>27.04</v>
      </c>
      <c r="D21" s="2" t="inlineStr">
        <is>
          <t>Consolidated</t>
        </is>
      </c>
      <c r="E21" s="21">
        <f>IFERROR(B21/C21,"")</f>
        <v/>
      </c>
      <c r="F21" s="16">
        <f>IF(AND(D21=D17,E17&lt;&gt;""),E21/E17-1,"")</f>
        <v/>
      </c>
      <c r="G21" s="16">
        <f>IF(C21="","",(COUNTIFS($D$2:$D$21,D21,$C$2:$C$21,"&gt;0",$C$2:$C$21,"&lt;"&amp;C21)+(COUNTIFS($D$2:$D$21,D21,$C$2:$C$21,C21)+1)/2)/COUNTIFS($D$2:$D$21,D21,$C$2:$C$21,"&gt;0"))</f>
        <v/>
      </c>
      <c r="H21">
        <f>IF(G21="","",IF(G21&lt;=20%,"Q1 Cheapest",IF(G21&lt;=40%,"Q2",IF(G21&lt;=60%,"Q3",IF(G21&lt;=80%,"Q4","Q5 Most Expensive")))))</f>
        <v/>
      </c>
      <c r="I21" s="16" t="n"/>
      <c r="J21" s="16" t="n"/>
      <c r="K21" s="16" t="n"/>
      <c r="L21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15929.65</v>
      </c>
      <c r="C2" s="7" t="n">
        <v>27.53</v>
      </c>
      <c r="D2" s="8" t="n">
        <v>0.604838709677</v>
      </c>
      <c r="E2" s="8" t="n">
        <v>0.104902842226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2026-09-21T10:32:09Z</dcterms:created>
  <dcterms:modified xsi:type="dcterms:W3CDTF">2026-09-21T10:32:09Z</dcterms:modified>
</cp:coreProperties>
</file>