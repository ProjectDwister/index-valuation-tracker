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8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  <xf numFmtId="10" fontId="0" fillId="0" borderId="0" pivotButton="0" quotePrefix="0" xfId="0"/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Factsheet/Factsheet_Nifty500_Shariah.pdf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21" customWidth="1" min="6" max="6"/>
    <col width="21" customWidth="1" min="7" max="7"/>
  </cols>
  <sheetData>
    <row r="1" ht="26" customHeight="1">
      <c r="A1" s="1" t="inlineStr">
        <is>
          <t>Nifty500 Shariah Valuation Tracker</t>
        </is>
      </c>
    </row>
    <row r="2">
      <c r="A2" s="2" t="inlineStr">
        <is>
          <t>As of</t>
        </is>
      </c>
      <c r="B2" s="23" t="n">
        <v>46311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6682.1</v>
      </c>
      <c r="D5" s="2" t="inlineStr">
        <is>
          <t>P/E</t>
        </is>
      </c>
      <c r="E5" s="25" t="n">
        <v>27.45</v>
      </c>
    </row>
    <row r="6">
      <c r="A6" s="2" t="inlineStr">
        <is>
          <t>P/E percentile</t>
        </is>
      </c>
      <c r="B6" s="26" t="n">
        <v>0.2985074626865671</v>
      </c>
      <c r="D6" s="2" t="inlineStr">
        <is>
          <t>Implied EPS</t>
        </is>
      </c>
      <c r="E6" s="27" t="n">
        <v>243.4280510018215</v>
      </c>
    </row>
    <row r="7">
      <c r="A7" s="2" t="inlineStr">
        <is>
          <t>YoY implied EPS growth</t>
        </is>
      </c>
      <c r="B7" s="26" t="n">
        <v>-0.00298176647054027</v>
      </c>
      <c r="D7" s="2" t="inlineStr">
        <is>
          <t>Earnings yield</t>
        </is>
      </c>
      <c r="E7" s="10" t="n">
        <v>0.03642987249544627</v>
      </c>
    </row>
    <row r="8">
      <c r="A8" s="2" t="inlineStr">
        <is>
          <t>Valuation score</t>
        </is>
      </c>
      <c r="B8" s="28" t="n">
        <v>70.14925373134329</v>
      </c>
      <c r="D8" s="2" t="inlineStr">
        <is>
          <t>Growth score</t>
        </is>
      </c>
      <c r="E8" s="28" t="n">
        <v>20</v>
      </c>
    </row>
    <row r="9">
      <c r="A9" s="2" t="inlineStr">
        <is>
          <t>Composite score</t>
        </is>
      </c>
      <c r="B9" s="28" t="n">
        <v>55.1044776119403</v>
      </c>
      <c r="D9" s="2" t="inlineStr">
        <is>
          <t>Signal</t>
        </is>
      </c>
      <c r="E9" s="12" t="inlineStr">
        <is>
          <t>HOLD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24.10657142857143</v>
      </c>
      <c r="C13" s="15" t="n">
        <v>5868.215699193339</v>
      </c>
      <c r="D13" s="30" t="n">
        <v>-0.1218006765547749</v>
      </c>
    </row>
    <row r="14">
      <c r="A14" t="inlineStr">
        <is>
          <t>HOLD → SELL</t>
        </is>
      </c>
      <c r="B14" s="29" t="n">
        <v>28.41885714285714</v>
      </c>
      <c r="C14" s="15" t="n">
        <v>6917.947005984907</v>
      </c>
      <c r="D14" s="30" t="n">
        <v>0.03529534218058794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8</v>
      </c>
      <c r="C18" s="30" t="n">
        <v>0.2273538311351875</v>
      </c>
      <c r="D18" s="30" t="n">
        <v>0.1111226917175087</v>
      </c>
      <c r="E18" s="30" t="n">
        <v>0.1818368663169296</v>
      </c>
      <c r="F18" s="30" t="n">
        <v>0.1165251893017227</v>
      </c>
      <c r="G18" s="30" t="n">
        <v>0</v>
      </c>
    </row>
    <row r="19">
      <c r="A19" t="inlineStr">
        <is>
          <t>Q2</t>
        </is>
      </c>
      <c r="B19" t="n">
        <v>9</v>
      </c>
      <c r="C19" s="30" t="n">
        <v>0.0112648369380961</v>
      </c>
      <c r="D19" s="30" t="n">
        <v>0.1360162426385225</v>
      </c>
      <c r="E19" s="30" t="n">
        <v>0.1557903188295997</v>
      </c>
      <c r="F19" s="30" t="n">
        <v>0.1265465096404885</v>
      </c>
      <c r="G19" s="30" t="n">
        <v>0</v>
      </c>
    </row>
    <row r="20">
      <c r="A20" t="inlineStr">
        <is>
          <t>Q3</t>
        </is>
      </c>
      <c r="B20" t="n">
        <v>8</v>
      </c>
      <c r="C20" s="30" t="n">
        <v>0.1061644348581527</v>
      </c>
      <c r="D20" s="30" t="n">
        <v>0.06221095318328096</v>
      </c>
      <c r="E20" s="30" t="n">
        <v>0.1631217196175299</v>
      </c>
      <c r="F20" s="30" t="n">
        <v>0.1072814089423204</v>
      </c>
      <c r="G20" s="30" t="n">
        <v>0.1666666666666667</v>
      </c>
    </row>
    <row r="21">
      <c r="A21" t="inlineStr">
        <is>
          <t>Q4</t>
        </is>
      </c>
      <c r="B21" t="n">
        <v>9</v>
      </c>
      <c r="C21" s="30" t="n">
        <v>0.01926152731721942</v>
      </c>
      <c r="D21" s="30" t="n">
        <v>0.1968101281574124</v>
      </c>
      <c r="E21" s="30" t="n">
        <v>0.2006207223536978</v>
      </c>
      <c r="F21" s="30" t="n"/>
      <c r="G21" s="30" t="n">
        <v>0</v>
      </c>
    </row>
    <row r="22">
      <c r="A22" t="inlineStr">
        <is>
          <t>Q5 Most Expensive</t>
        </is>
      </c>
      <c r="B22" t="n">
        <v>10</v>
      </c>
      <c r="C22" s="30" t="n">
        <v>-0.005598442594030362</v>
      </c>
      <c r="D22" s="30" t="n">
        <v>0.1488237102593153</v>
      </c>
      <c r="E22" s="30" t="n">
        <v>0.105147684597761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44</v>
      </c>
    </row>
    <row r="27">
      <c r="A27" s="2" t="inlineStr">
        <is>
          <t>Backtest start</t>
        </is>
      </c>
      <c r="B27" t="inlineStr">
        <is>
          <t>2015-12-31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4340.72</v>
      </c>
      <c r="C2" s="25" t="n">
        <v>33.57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4610.64</v>
      </c>
      <c r="C3" s="25" t="n">
        <v>34.12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4857.44</v>
      </c>
      <c r="C4" s="25" t="n">
        <v>33.77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4924.45</v>
      </c>
      <c r="C5" s="25" t="n">
        <v>33.2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5273.36</v>
      </c>
      <c r="C6" s="25" t="n">
        <v>32.71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5347.34</v>
      </c>
      <c r="C7" s="25" t="n">
        <v>33.19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5201.15</v>
      </c>
      <c r="C8" s="25" t="n">
        <v>29.42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5208.13</v>
      </c>
      <c r="C9" s="25" t="n">
        <v>28.27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5496.45</v>
      </c>
      <c r="C10" s="25" t="n">
        <v>29.89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5255.12</v>
      </c>
      <c r="C11" s="25" t="n">
        <v>28.4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5045.76</v>
      </c>
      <c r="C12" s="25" t="n">
        <v>26.51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5283.83</v>
      </c>
      <c r="C13" s="25" t="n">
        <v>27.67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5128.54</v>
      </c>
      <c r="C14" s="25" t="n">
        <v>26.54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4899.13</v>
      </c>
      <c r="C15" s="25" t="n">
        <v>25.44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4662.15</v>
      </c>
      <c r="C16" s="25" t="n">
        <v>24.1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5093.6</v>
      </c>
      <c r="C17" s="25" t="n">
        <v>26.12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5217.64</v>
      </c>
      <c r="C18" s="25" t="n">
        <v>23.53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5087.69</v>
      </c>
      <c r="C19" s="25" t="n">
        <v>22.4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5204.25</v>
      </c>
      <c r="C20" s="25" t="n">
        <v>21.94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5380.33</v>
      </c>
      <c r="C21" s="25" t="n">
        <v>24.94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5185.16</v>
      </c>
      <c r="C22" s="25" t="n">
        <v>24.24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5072.53</v>
      </c>
      <c r="C23" s="25" t="n">
        <v>23.69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4902.21</v>
      </c>
      <c r="C24" s="25" t="n">
        <v>24.21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4890.5</v>
      </c>
      <c r="C25" s="25" t="n">
        <v>23.92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4958.43</v>
      </c>
      <c r="C26" s="25" t="n">
        <v>24.11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5206.26</v>
      </c>
      <c r="C27" s="25" t="n">
        <v>26.68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5389.48</v>
      </c>
      <c r="C28" s="25" t="n">
        <v>27.62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5562.38</v>
      </c>
      <c r="C29" s="25" t="n">
        <v>27.32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5640.78</v>
      </c>
      <c r="C30" s="25" t="n">
        <v>27.59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5727.84</v>
      </c>
      <c r="C31" s="25" t="n">
        <v>29.05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5554.37</v>
      </c>
      <c r="C32" s="25" t="n">
        <v>28.06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5943.71</v>
      </c>
      <c r="C33" s="25" t="n">
        <v>29.82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6410.93</v>
      </c>
      <c r="C34" s="25" t="n">
        <v>32.08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6576.4</v>
      </c>
      <c r="C35" s="25" t="n">
        <v>32.15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6697.74</v>
      </c>
      <c r="C36" s="25" t="n">
        <v>32.81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6571.13</v>
      </c>
      <c r="C37" s="25" t="n">
        <v>32.06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6735.68</v>
      </c>
      <c r="C38" s="25" t="n">
        <v>32.53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6813.49</v>
      </c>
      <c r="C39" s="25" t="n">
        <v>31.6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7385.1</v>
      </c>
      <c r="C40" s="25" t="n">
        <v>34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7946.16</v>
      </c>
      <c r="C41" s="25" t="n">
        <v>37.51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8096.1</v>
      </c>
      <c r="C42" s="25" t="n">
        <v>37.62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8206.629999999999</v>
      </c>
      <c r="C43" s="25" t="n">
        <v>35.66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7592.28</v>
      </c>
      <c r="C44" s="25" t="n">
        <v>33.9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7533.26</v>
      </c>
      <c r="C45" s="25" t="n">
        <v>33.89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7463.25</v>
      </c>
      <c r="C46" s="25" t="n">
        <v>33.7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7061.55</v>
      </c>
      <c r="C47" s="25" t="n">
        <v>31.9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6264.5</v>
      </c>
      <c r="C48" s="25" t="n">
        <v>28.09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6697.7</v>
      </c>
      <c r="C49" s="25" t="n">
        <v>30.18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6812.75</v>
      </c>
      <c r="C50" s="25" t="n">
        <v>30.79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7038.05</v>
      </c>
      <c r="C51" s="25" t="n">
        <v>31.35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7228</v>
      </c>
      <c r="C52" s="25" t="n">
        <v>31.76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7042.05</v>
      </c>
      <c r="C53" s="25" t="n">
        <v>28.61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6991.1</v>
      </c>
      <c r="C54" s="25" t="n">
        <v>28.3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6932.5</v>
      </c>
      <c r="C55" s="25" t="n">
        <v>28.42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7119.2</v>
      </c>
      <c r="C56" s="25" t="n">
        <v>28.33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7158.25</v>
      </c>
      <c r="C57" s="25" t="n">
        <v>28.08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7160.75</v>
      </c>
      <c r="C58" s="25" t="n">
        <v>28.21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6983.45</v>
      </c>
      <c r="C59" s="25" t="n">
        <v>27.37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6845.45</v>
      </c>
      <c r="C60" s="25" t="n">
        <v>27.45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6215.15</v>
      </c>
      <c r="C61" s="25" t="n">
        <v>25.87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6819.5</v>
      </c>
      <c r="C62" s="25" t="n">
        <v>28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6915.2</v>
      </c>
      <c r="C63" s="25" t="n">
        <v>28.88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6802.45</v>
      </c>
      <c r="C64" s="25" t="n">
        <v>28.12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7031.8</v>
      </c>
      <c r="C65" s="25" t="n">
        <v>29.14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7074.35</v>
      </c>
      <c r="C66" s="25" t="n">
        <v>28.54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6594.4</v>
      </c>
      <c r="C67" s="25" t="n">
        <v>27.27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32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42369</v>
      </c>
      <c r="B2" s="24" t="n">
        <v>2175.04</v>
      </c>
      <c r="C2" s="25" t="n">
        <v>22.31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IF(C2="","",(COUNTIFS($D$2:$D$45,D2,$C$2:$C$45,"&gt;0",$C$2:$C$45,"&lt;"&amp;C2)+(COUNTIFS($D$2:$D$45,D2,$C$2:$C$45,C2)+1)/2)/COUNTIFS($D$2:$D$45,D2,$C$2:$C$45,"&gt;0"))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>
        <f>IFERROR((B42/B2)^(1/10)-1,"")</f>
        <v/>
      </c>
    </row>
    <row r="3">
      <c r="A3" s="31" t="n">
        <v>42460</v>
      </c>
      <c r="B3" s="24" t="n">
        <v>2099.19</v>
      </c>
      <c r="C3" s="25" t="n">
        <v>20.92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IF(C3="","",(COUNTIFS($D$2:$D$45,D3,$C$2:$C$45,"&gt;0",$C$2:$C$45,"&lt;"&amp;C3)+(COUNTIFS($D$2:$D$45,D3,$C$2:$C$45,C3)+1)/2)/COUNTIFS($D$2:$D$45,D3,$C$2:$C$45,"&gt;0"))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>
        <f>IFERROR((B43/B3)^(1/10)-1,"")</f>
        <v/>
      </c>
    </row>
    <row r="4">
      <c r="A4" s="31" t="n">
        <v>42551</v>
      </c>
      <c r="B4" s="24" t="n">
        <v>2221.81</v>
      </c>
      <c r="C4" s="25" t="n">
        <v>22.11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IF(C4="","",(COUNTIFS($D$2:$D$45,D4,$C$2:$C$45,"&gt;0",$C$2:$C$45,"&lt;"&amp;C4)+(COUNTIFS($D$2:$D$45,D4,$C$2:$C$45,C4)+1)/2)/COUNTIFS($D$2:$D$45,D4,$C$2:$C$45,"&gt;0"))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>
        <f>IFERROR((B44/B4)^(1/10)-1,"")</f>
        <v/>
      </c>
    </row>
    <row r="5">
      <c r="A5" s="31" t="n">
        <v>42643</v>
      </c>
      <c r="B5" s="24" t="n">
        <v>2380.1</v>
      </c>
      <c r="C5" s="25" t="n">
        <v>24.14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IF(C5="","",(COUNTIFS($D$2:$D$45,D5,$C$2:$C$45,"&gt;0",$C$2:$C$45,"&lt;"&amp;C5)+(COUNTIFS($D$2:$D$45,D5,$C$2:$C$45,C5)+1)/2)/COUNTIFS($D$2:$D$45,D5,$C$2:$C$45,"&gt;0"))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>
        <f>IFERROR((B45/B5)^(1/10)-1,"")</f>
        <v/>
      </c>
    </row>
    <row r="6">
      <c r="A6" s="31" t="n">
        <v>42735</v>
      </c>
      <c r="B6" s="24" t="n">
        <v>2261.78</v>
      </c>
      <c r="C6" s="25" t="n">
        <v>22.22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IF(C6="","",(COUNTIFS($D$2:$D$45,D6,$C$2:$C$45,"&gt;0",$C$2:$C$45,"&lt;"&amp;C6)+(COUNTIFS($D$2:$D$45,D6,$C$2:$C$45,C6)+1)/2)/COUNTIFS($D$2:$D$45,D6,$C$2:$C$45,"&gt;0"))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42825</v>
      </c>
      <c r="B7" s="24" t="n">
        <v>2557.46</v>
      </c>
      <c r="C7" s="25" t="n">
        <v>23.96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IF(C7="","",(COUNTIFS($D$2:$D$45,D7,$C$2:$C$45,"&gt;0",$C$2:$C$45,"&lt;"&amp;C7)+(COUNTIFS($D$2:$D$45,D7,$C$2:$C$45,C7)+1)/2)/COUNTIFS($D$2:$D$45,D7,$C$2:$C$45,"&gt;0"))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42916</v>
      </c>
      <c r="B8" s="24" t="n">
        <v>2670.48</v>
      </c>
      <c r="C8" s="25" t="n">
        <v>24.38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IF(C8="","",(COUNTIFS($D$2:$D$45,D8,$C$2:$C$45,"&gt;0",$C$2:$C$45,"&lt;"&amp;C8)+(COUNTIFS($D$2:$D$45,D8,$C$2:$C$45,C8)+1)/2)/COUNTIFS($D$2:$D$45,D8,$C$2:$C$45,"&gt;0"))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43008</v>
      </c>
      <c r="B9" s="24" t="n">
        <v>2846.11</v>
      </c>
      <c r="C9" s="25" t="n">
        <v>31.39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IF(C9="","",(COUNTIFS($D$2:$D$45,D9,$C$2:$C$45,"&gt;0",$C$2:$C$45,"&lt;"&amp;C9)+(COUNTIFS($D$2:$D$45,D9,$C$2:$C$45,C9)+1)/2)/COUNTIFS($D$2:$D$45,D9,$C$2:$C$45,"&gt;0"))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43100</v>
      </c>
      <c r="B10" s="24" t="n">
        <v>3231.19</v>
      </c>
      <c r="C10" s="25" t="n">
        <v>31.64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IF(C10="","",(COUNTIFS($D$2:$D$45,D10,$C$2:$C$45,"&gt;0",$C$2:$C$45,"&lt;"&amp;C10)+(COUNTIFS($D$2:$D$45,D10,$C$2:$C$45,C10)+1)/2)/COUNTIFS($D$2:$D$45,D10,$C$2:$C$45,"&gt;0"))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43190</v>
      </c>
      <c r="B11" s="24" t="n">
        <v>2966.55</v>
      </c>
      <c r="C11" s="25" t="n">
        <v>28.45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IF(C11="","",(COUNTIFS($D$2:$D$45,D11,$C$2:$C$45,"&gt;0",$C$2:$C$45,"&lt;"&amp;C11)+(COUNTIFS($D$2:$D$45,D11,$C$2:$C$45,C11)+1)/2)/COUNTIFS($D$2:$D$45,D11,$C$2:$C$45,"&gt;0"))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43281</v>
      </c>
      <c r="B12" s="24" t="n">
        <v>2953.99</v>
      </c>
      <c r="C12" s="25" t="n">
        <v>27.55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IF(C12="","",(COUNTIFS($D$2:$D$45,D12,$C$2:$C$45,"&gt;0",$C$2:$C$45,"&lt;"&amp;C12)+(COUNTIFS($D$2:$D$45,D12,$C$2:$C$45,C12)+1)/2)/COUNTIFS($D$2:$D$45,D12,$C$2:$C$45,"&gt;0"))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43373</v>
      </c>
      <c r="B13" s="24" t="n">
        <v>2932.06</v>
      </c>
      <c r="C13" s="25" t="n">
        <v>23.37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IF(C13="","",(COUNTIFS($D$2:$D$45,D13,$C$2:$C$45,"&gt;0",$C$2:$C$45,"&lt;"&amp;C13)+(COUNTIFS($D$2:$D$45,D13,$C$2:$C$45,C13)+1)/2)/COUNTIFS($D$2:$D$45,D13,$C$2:$C$45,"&gt;0"))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43465</v>
      </c>
      <c r="B14" s="24" t="n">
        <v>2945.79</v>
      </c>
      <c r="C14" s="25" t="n">
        <v>23.31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IF(C14="","",(COUNTIFS($D$2:$D$45,D14,$C$2:$C$45,"&gt;0",$C$2:$C$45,"&lt;"&amp;C14)+(COUNTIFS($D$2:$D$45,D14,$C$2:$C$45,C14)+1)/2)/COUNTIFS($D$2:$D$45,D14,$C$2:$C$45,"&gt;0"))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43555</v>
      </c>
      <c r="B15" s="24" t="n">
        <v>2996.44</v>
      </c>
      <c r="C15" s="25" t="n">
        <v>24.05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IF(C15="","",(COUNTIFS($D$2:$D$45,D15,$C$2:$C$45,"&gt;0",$C$2:$C$45,"&lt;"&amp;C15)+(COUNTIFS($D$2:$D$45,D15,$C$2:$C$45,C15)+1)/2)/COUNTIFS($D$2:$D$45,D15,$C$2:$C$45,"&gt;0"))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43646</v>
      </c>
      <c r="B16" s="24" t="n">
        <v>2943.74</v>
      </c>
      <c r="C16" s="25" t="n">
        <v>23.01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IF(C16="","",(COUNTIFS($D$2:$D$45,D16,$C$2:$C$45,"&gt;0",$C$2:$C$45,"&lt;"&amp;C16)+(COUNTIFS($D$2:$D$45,D16,$C$2:$C$45,C16)+1)/2)/COUNTIFS($D$2:$D$45,D16,$C$2:$C$45,"&gt;0"))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43738</v>
      </c>
      <c r="B17" s="24" t="n">
        <v>2967.87</v>
      </c>
      <c r="C17" s="25" t="n">
        <v>26.33</v>
      </c>
      <c r="D17" s="2" t="inlineStr">
        <is>
          <t>Standalone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IF(C17="","",(COUNTIFS($D$2:$D$45,D17,$C$2:$C$45,"&gt;0",$C$2:$C$45,"&lt;"&amp;C17)+(COUNTIFS($D$2:$D$45,D17,$C$2:$C$45,C17)+1)/2)/COUNTIFS($D$2:$D$45,D17,$C$2:$C$45,"&gt;0"))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43830</v>
      </c>
      <c r="B18" s="24" t="n">
        <v>2976.18</v>
      </c>
      <c r="C18" s="25" t="n">
        <v>25.72</v>
      </c>
      <c r="D18" s="2" t="inlineStr">
        <is>
          <t>Standalone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IF(C18="","",(COUNTIFS($D$2:$D$45,D18,$C$2:$C$45,"&gt;0",$C$2:$C$45,"&lt;"&amp;C18)+(COUNTIFS($D$2:$D$45,D18,$C$2:$C$45,C18)+1)/2)/COUNTIFS($D$2:$D$45,D18,$C$2:$C$45,"&gt;0"))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43921</v>
      </c>
      <c r="B19" s="24" t="n">
        <v>2461.79</v>
      </c>
      <c r="C19" s="25" t="n">
        <v>21.52</v>
      </c>
      <c r="D19" s="2" t="inlineStr">
        <is>
          <t>Standalone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IF(C19="","",(COUNTIFS($D$2:$D$45,D19,$C$2:$C$45,"&gt;0",$C$2:$C$45,"&lt;"&amp;C19)+(COUNTIFS($D$2:$D$45,D19,$C$2:$C$45,C19)+1)/2)/COUNTIFS($D$2:$D$45,D19,$C$2:$C$45,"&gt;0"))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44012</v>
      </c>
      <c r="B20" s="24" t="n">
        <v>2897.27</v>
      </c>
      <c r="C20" s="25" t="n">
        <v>26.24</v>
      </c>
      <c r="D20" s="2" t="inlineStr">
        <is>
          <t>Standalone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IF(C20="","",(COUNTIFS($D$2:$D$45,D20,$C$2:$C$45,"&gt;0",$C$2:$C$45,"&lt;"&amp;C20)+(COUNTIFS($D$2:$D$45,D20,$C$2:$C$45,C20)+1)/2)/COUNTIFS($D$2:$D$45,D20,$C$2:$C$45,"&gt;0"))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>
        <f>IFERROR((B40/B20)^(1/5)-1,"")</f>
        <v/>
      </c>
      <c r="L20" s="30" t="n"/>
    </row>
    <row r="21">
      <c r="A21" s="31" t="n">
        <v>44104</v>
      </c>
      <c r="B21" s="24" t="n">
        <v>3358.09</v>
      </c>
      <c r="C21" s="25" t="n">
        <v>32.92</v>
      </c>
      <c r="D21" s="2" t="inlineStr">
        <is>
          <t>Standalone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IF(C21="","",(COUNTIFS($D$2:$D$45,D21,$C$2:$C$45,"&gt;0",$C$2:$C$45,"&lt;"&amp;C21)+(COUNTIFS($D$2:$D$45,D21,$C$2:$C$45,C21)+1)/2)/COUNTIFS($D$2:$D$45,D21,$C$2:$C$45,"&gt;0"))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>
        <f>IFERROR((B41/B21)^(1/5)-1,"")</f>
        <v/>
      </c>
      <c r="L21" s="30" t="n"/>
    </row>
    <row r="22">
      <c r="A22" s="31" t="n">
        <v>44196</v>
      </c>
      <c r="B22" s="24" t="n">
        <v>3984.24</v>
      </c>
      <c r="C22" s="25" t="n">
        <v>38.61</v>
      </c>
      <c r="D22" s="2" t="inlineStr">
        <is>
          <t>Standalone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IF(C22="","",(COUNTIFS($D$2:$D$45,D22,$C$2:$C$45,"&gt;0",$C$2:$C$45,"&lt;"&amp;C22)+(COUNTIFS($D$2:$D$45,D22,$C$2:$C$45,C22)+1)/2)/COUNTIFS($D$2:$D$45,D22,$C$2:$C$45,"&gt;0"))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>
        <f>IFERROR((B42/B22)^(1/5)-1,"")</f>
        <v/>
      </c>
      <c r="L22" s="30" t="n"/>
    </row>
    <row r="23">
      <c r="A23" s="31" t="n">
        <v>44286</v>
      </c>
      <c r="B23" s="24" t="n">
        <v>4333.91</v>
      </c>
      <c r="C23" s="25" t="n">
        <v>33.74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IF(C23="","",(COUNTIFS($D$2:$D$45,D23,$C$2:$C$45,"&gt;0",$C$2:$C$45,"&lt;"&amp;C23)+(COUNTIFS($D$2:$D$45,D23,$C$2:$C$45,C23)+1)/2)/COUNTIFS($D$2:$D$45,D23,$C$2:$C$45,"&gt;0"))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>
        <f>IFERROR((B43/B23)^(1/5)-1,"")</f>
        <v/>
      </c>
      <c r="L23" s="30" t="n"/>
    </row>
    <row r="24">
      <c r="A24" s="31" t="n">
        <v>44377</v>
      </c>
      <c r="B24" s="24" t="n">
        <v>4857.44</v>
      </c>
      <c r="C24" s="25" t="n">
        <v>33.77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IF(C24="","",(COUNTIFS($D$2:$D$45,D24,$C$2:$C$45,"&gt;0",$C$2:$C$45,"&lt;"&amp;C24)+(COUNTIFS($D$2:$D$45,D24,$C$2:$C$45,C24)+1)/2)/COUNTIFS($D$2:$D$45,D24,$C$2:$C$45,"&gt;0"))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>
        <f>IFERROR((B44/B24)^(1/5)-1,"")</f>
        <v/>
      </c>
      <c r="L24" s="30" t="n"/>
    </row>
    <row r="25">
      <c r="A25" s="31" t="n">
        <v>44469</v>
      </c>
      <c r="B25" s="24" t="n">
        <v>5347.34</v>
      </c>
      <c r="C25" s="25" t="n">
        <v>33.19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IF(C25="","",(COUNTIFS($D$2:$D$45,D25,$C$2:$C$45,"&gt;0",$C$2:$C$45,"&lt;"&amp;C25)+(COUNTIFS($D$2:$D$45,D25,$C$2:$C$45,C25)+1)/2)/COUNTIFS($D$2:$D$45,D25,$C$2:$C$45,"&gt;0"))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>
        <f>IFERROR((B45/B25)^(1/5)-1,"")</f>
        <v/>
      </c>
      <c r="L25" s="30" t="n"/>
    </row>
    <row r="26">
      <c r="A26" s="31" t="n">
        <v>44561</v>
      </c>
      <c r="B26" s="24" t="n">
        <v>5496.45</v>
      </c>
      <c r="C26" s="25" t="n">
        <v>29.89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IF(C26="","",(COUNTIFS($D$2:$D$45,D26,$C$2:$C$45,"&gt;0",$C$2:$C$45,"&lt;"&amp;C26)+(COUNTIFS($D$2:$D$45,D26,$C$2:$C$45,C26)+1)/2)/COUNTIFS($D$2:$D$45,D26,$C$2:$C$45,"&gt;0"))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44651</v>
      </c>
      <c r="B27" s="24" t="n">
        <v>5283.83</v>
      </c>
      <c r="C27" s="25" t="n">
        <v>27.67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IF(C27="","",(COUNTIFS($D$2:$D$45,D27,$C$2:$C$45,"&gt;0",$C$2:$C$45,"&lt;"&amp;C27)+(COUNTIFS($D$2:$D$45,D27,$C$2:$C$45,C27)+1)/2)/COUNTIFS($D$2:$D$45,D27,$C$2:$C$45,"&gt;0"))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44742</v>
      </c>
      <c r="B28" s="24" t="n">
        <v>4662.15</v>
      </c>
      <c r="C28" s="25" t="n">
        <v>24.1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IF(C28="","",(COUNTIFS($D$2:$D$45,D28,$C$2:$C$45,"&gt;0",$C$2:$C$45,"&lt;"&amp;C28)+(COUNTIFS($D$2:$D$45,D28,$C$2:$C$45,C28)+1)/2)/COUNTIFS($D$2:$D$45,D28,$C$2:$C$45,"&gt;0"))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>
        <f>IFERROR((B40/B28)^(1/3)-1,"")</f>
        <v/>
      </c>
      <c r="K28" s="30" t="n"/>
      <c r="L28" s="30" t="n"/>
    </row>
    <row r="29">
      <c r="A29" s="31" t="n">
        <v>44834</v>
      </c>
      <c r="B29" s="24" t="n">
        <v>5087.69</v>
      </c>
      <c r="C29" s="25" t="n">
        <v>22.4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IF(C29="","",(COUNTIFS($D$2:$D$45,D29,$C$2:$C$45,"&gt;0",$C$2:$C$45,"&lt;"&amp;C29)+(COUNTIFS($D$2:$D$45,D29,$C$2:$C$45,C29)+1)/2)/COUNTIFS($D$2:$D$45,D29,$C$2:$C$45,"&gt;0"))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>
        <f>IFERROR((B41/B29)^(1/3)-1,"")</f>
        <v/>
      </c>
      <c r="K29" s="30" t="n"/>
      <c r="L29" s="30" t="n"/>
    </row>
    <row r="30">
      <c r="A30" s="31" t="n">
        <v>44926</v>
      </c>
      <c r="B30" s="24" t="n">
        <v>5185.16</v>
      </c>
      <c r="C30" s="25" t="n">
        <v>24.24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IF(C30="","",(COUNTIFS($D$2:$D$45,D30,$C$2:$C$45,"&gt;0",$C$2:$C$45,"&lt;"&amp;C30)+(COUNTIFS($D$2:$D$45,D30,$C$2:$C$45,C30)+1)/2)/COUNTIFS($D$2:$D$45,D30,$C$2:$C$45,"&gt;0"))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>
        <f>IFERROR((B42/B30)^(1/3)-1,"")</f>
        <v/>
      </c>
      <c r="K30" s="30" t="n"/>
      <c r="L30" s="30" t="n"/>
    </row>
    <row r="31">
      <c r="A31" s="31" t="n">
        <v>45016</v>
      </c>
      <c r="B31" s="24" t="n">
        <v>4890.5</v>
      </c>
      <c r="C31" s="25" t="n">
        <v>23.92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IF(C31="","",(COUNTIFS($D$2:$D$45,D31,$C$2:$C$45,"&gt;0",$C$2:$C$45,"&lt;"&amp;C31)+(COUNTIFS($D$2:$D$45,D31,$C$2:$C$45,C31)+1)/2)/COUNTIFS($D$2:$D$45,D31,$C$2:$C$45,"&gt;0"))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>
        <f>IFERROR((B43/B31)^(1/3)-1,"")</f>
        <v/>
      </c>
      <c r="K31" s="30" t="n"/>
      <c r="L31" s="30" t="n"/>
    </row>
    <row r="32">
      <c r="A32" s="31" t="n">
        <v>45107</v>
      </c>
      <c r="B32" s="24" t="n">
        <v>5389.48</v>
      </c>
      <c r="C32" s="25" t="n">
        <v>27.62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IF(C32="","",(COUNTIFS($D$2:$D$45,D32,$C$2:$C$45,"&gt;0",$C$2:$C$45,"&lt;"&amp;C32)+(COUNTIFS($D$2:$D$45,D32,$C$2:$C$45,C32)+1)/2)/COUNTIFS($D$2:$D$45,D32,$C$2:$C$45,"&gt;0"))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>
        <f>IFERROR((B44/B32)^(1/3)-1,"")</f>
        <v/>
      </c>
      <c r="K32" s="30" t="n"/>
      <c r="L32" s="30" t="n"/>
    </row>
    <row r="33">
      <c r="A33" s="31" t="n">
        <v>45199</v>
      </c>
      <c r="B33" s="24" t="n">
        <v>5727.84</v>
      </c>
      <c r="C33" s="25" t="n">
        <v>29.05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IF(C33="","",(COUNTIFS($D$2:$D$45,D33,$C$2:$C$45,"&gt;0",$C$2:$C$45,"&lt;"&amp;C33)+(COUNTIFS($D$2:$D$45,D33,$C$2:$C$45,C33)+1)/2)/COUNTIFS($D$2:$D$45,D33,$C$2:$C$45,"&gt;0"))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>
        <f>IFERROR((B45/B33)^(1/3)-1,"")</f>
        <v/>
      </c>
      <c r="K33" s="30" t="n"/>
      <c r="L33" s="30" t="n"/>
    </row>
    <row r="34">
      <c r="A34" s="31" t="n">
        <v>45291</v>
      </c>
      <c r="B34" s="24" t="n">
        <v>6410.93</v>
      </c>
      <c r="C34" s="25" t="n">
        <v>32.08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IF(C34="","",(COUNTIFS($D$2:$D$45,D34,$C$2:$C$45,"&gt;0",$C$2:$C$45,"&lt;"&amp;C34)+(COUNTIFS($D$2:$D$45,D34,$C$2:$C$45,C34)+1)/2)/COUNTIFS($D$2:$D$45,D34,$C$2:$C$45,"&gt;0"))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45382</v>
      </c>
      <c r="B35" s="24" t="n">
        <v>6571.13</v>
      </c>
      <c r="C35" s="25" t="n">
        <v>32.06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IF(C35="","",(COUNTIFS($D$2:$D$45,D35,$C$2:$C$45,"&gt;0",$C$2:$C$45,"&lt;"&amp;C35)+(COUNTIFS($D$2:$D$45,D35,$C$2:$C$45,C35)+1)/2)/COUNTIFS($D$2:$D$45,D35,$C$2:$C$45,"&gt;0"))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45473</v>
      </c>
      <c r="B36" s="24" t="n">
        <v>7385.1</v>
      </c>
      <c r="C36" s="25" t="n">
        <v>34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IF(C36="","",(COUNTIFS($D$2:$D$45,D36,$C$2:$C$45,"&gt;0",$C$2:$C$45,"&lt;"&amp;C36)+(COUNTIFS($D$2:$D$45,D36,$C$2:$C$45,C36)+1)/2)/COUNTIFS($D$2:$D$45,D36,$C$2:$C$45,"&gt;0"))</f>
        <v/>
      </c>
      <c r="H36">
        <f>IF(G36="","",IF(G36&lt;=20%,"Q1 Cheapest",IF(G36&lt;=40%,"Q2",IF(G36&lt;=60%,"Q3",IF(G36&lt;=80%,"Q4","Q5 Most Expensive")))))</f>
        <v/>
      </c>
      <c r="I36" s="30">
        <f>IFERROR(B40/B36-1,"")</f>
        <v/>
      </c>
      <c r="J36" s="30" t="n"/>
      <c r="K36" s="30" t="n"/>
      <c r="L36" s="30" t="n"/>
    </row>
    <row r="37">
      <c r="A37" s="31" t="n">
        <v>45565</v>
      </c>
      <c r="B37" s="24" t="n">
        <v>8206.629999999999</v>
      </c>
      <c r="C37" s="25" t="n">
        <v>35.66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IF(C37="","",(COUNTIFS($D$2:$D$45,D37,$C$2:$C$45,"&gt;0",$C$2:$C$45,"&lt;"&amp;C37)+(COUNTIFS($D$2:$D$45,D37,$C$2:$C$45,C37)+1)/2)/COUNTIFS($D$2:$D$45,D37,$C$2:$C$45,"&gt;0"))</f>
        <v/>
      </c>
      <c r="H37">
        <f>IF(G37="","",IF(G37&lt;=20%,"Q1 Cheapest",IF(G37&lt;=40%,"Q2",IF(G37&lt;=60%,"Q3",IF(G37&lt;=80%,"Q4","Q5 Most Expensive")))))</f>
        <v/>
      </c>
      <c r="I37" s="30">
        <f>IFERROR(B41/B37-1,"")</f>
        <v/>
      </c>
      <c r="J37" s="30" t="n"/>
      <c r="K37" s="30" t="n"/>
      <c r="L37" s="30" t="n"/>
    </row>
    <row r="38">
      <c r="A38" s="31" t="n">
        <v>45657</v>
      </c>
      <c r="B38" s="24" t="n">
        <v>7463.25</v>
      </c>
      <c r="C38" s="25" t="n">
        <v>33.7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IF(C38="","",(COUNTIFS($D$2:$D$45,D38,$C$2:$C$45,"&gt;0",$C$2:$C$45,"&lt;"&amp;C38)+(COUNTIFS($D$2:$D$45,D38,$C$2:$C$45,C38)+1)/2)/COUNTIFS($D$2:$D$45,D38,$C$2:$C$45,"&gt;0"))</f>
        <v/>
      </c>
      <c r="H38">
        <f>IF(G38="","",IF(G38&lt;=20%,"Q1 Cheapest",IF(G38&lt;=40%,"Q2",IF(G38&lt;=60%,"Q3",IF(G38&lt;=80%,"Q4","Q5 Most Expensive")))))</f>
        <v/>
      </c>
      <c r="I38" s="30">
        <f>IFERROR(B42/B38-1,"")</f>
        <v/>
      </c>
      <c r="J38" s="30" t="n"/>
      <c r="K38" s="30" t="n"/>
      <c r="L38" s="30" t="n"/>
    </row>
    <row r="39">
      <c r="A39" s="31" t="n">
        <v>45747</v>
      </c>
      <c r="B39" s="24" t="n">
        <v>6697.7</v>
      </c>
      <c r="C39" s="25" t="n">
        <v>30.18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IF(C39="","",(COUNTIFS($D$2:$D$45,D39,$C$2:$C$45,"&gt;0",$C$2:$C$45,"&lt;"&amp;C39)+(COUNTIFS($D$2:$D$45,D39,$C$2:$C$45,C39)+1)/2)/COUNTIFS($D$2:$D$45,D39,$C$2:$C$45,"&gt;0"))</f>
        <v/>
      </c>
      <c r="H39">
        <f>IF(G39="","",IF(G39&lt;=20%,"Q1 Cheapest",IF(G39&lt;=40%,"Q2",IF(G39&lt;=60%,"Q3",IF(G39&lt;=80%,"Q4","Q5 Most Expensive")))))</f>
        <v/>
      </c>
      <c r="I39" s="30">
        <f>IFERROR(B43/B39-1,"")</f>
        <v/>
      </c>
      <c r="J39" s="30" t="n"/>
      <c r="K39" s="30" t="n"/>
      <c r="L39" s="30" t="n"/>
    </row>
    <row r="40">
      <c r="A40" s="31" t="n">
        <v>45838</v>
      </c>
      <c r="B40" s="24" t="n">
        <v>7228</v>
      </c>
      <c r="C40" s="25" t="n">
        <v>31.76</v>
      </c>
      <c r="D40" s="2" t="inlineStr">
        <is>
          <t>Consolidated</t>
        </is>
      </c>
      <c r="E40" s="33">
        <f>IFERROR(B40/C40,"")</f>
        <v/>
      </c>
      <c r="F40" s="30">
        <f>IF(AND(D40=D36,E36&lt;&gt;""),E40/E36-1,"")</f>
        <v/>
      </c>
      <c r="G40" s="30">
        <f>IF(C40="","",(COUNTIFS($D$2:$D$45,D40,$C$2:$C$45,"&gt;0",$C$2:$C$45,"&lt;"&amp;C40)+(COUNTIFS($D$2:$D$45,D40,$C$2:$C$45,C40)+1)/2)/COUNTIFS($D$2:$D$45,D40,$C$2:$C$45,"&gt;0"))</f>
        <v/>
      </c>
      <c r="H40">
        <f>IF(G40="","",IF(G40&lt;=20%,"Q1 Cheapest",IF(G40&lt;=40%,"Q2",IF(G40&lt;=60%,"Q3",IF(G40&lt;=80%,"Q4","Q5 Most Expensive")))))</f>
        <v/>
      </c>
      <c r="I40" s="30">
        <f>IFERROR(B44/B40-1,"")</f>
        <v/>
      </c>
      <c r="J40" s="30" t="n"/>
      <c r="K40" s="30" t="n"/>
      <c r="L40" s="30" t="n"/>
    </row>
    <row r="41">
      <c r="A41" s="31" t="n">
        <v>45930</v>
      </c>
      <c r="B41" s="24" t="n">
        <v>6932.5</v>
      </c>
      <c r="C41" s="25" t="n">
        <v>28.42</v>
      </c>
      <c r="D41" s="2" t="inlineStr">
        <is>
          <t>Consolidated</t>
        </is>
      </c>
      <c r="E41" s="33">
        <f>IFERROR(B41/C41,"")</f>
        <v/>
      </c>
      <c r="F41" s="30">
        <f>IF(AND(D41=D37,E37&lt;&gt;""),E41/E37-1,"")</f>
        <v/>
      </c>
      <c r="G41" s="30">
        <f>IF(C41="","",(COUNTIFS($D$2:$D$45,D41,$C$2:$C$45,"&gt;0",$C$2:$C$45,"&lt;"&amp;C41)+(COUNTIFS($D$2:$D$45,D41,$C$2:$C$45,C41)+1)/2)/COUNTIFS($D$2:$D$45,D41,$C$2:$C$45,"&gt;0"))</f>
        <v/>
      </c>
      <c r="H41">
        <f>IF(G41="","",IF(G41&lt;=20%,"Q1 Cheapest",IF(G41&lt;=40%,"Q2",IF(G41&lt;=60%,"Q3",IF(G41&lt;=80%,"Q4","Q5 Most Expensive")))))</f>
        <v/>
      </c>
      <c r="I41" s="30">
        <f>IFERROR(B45/B41-1,"")</f>
        <v/>
      </c>
      <c r="J41" s="30" t="n"/>
      <c r="K41" s="30" t="n"/>
      <c r="L41" s="30" t="n"/>
    </row>
    <row r="42">
      <c r="A42" s="31" t="n">
        <v>46022</v>
      </c>
      <c r="B42" s="24" t="n">
        <v>7160.75</v>
      </c>
      <c r="C42" s="25" t="n">
        <v>28.21</v>
      </c>
      <c r="D42" s="2" t="inlineStr">
        <is>
          <t>Consolidated</t>
        </is>
      </c>
      <c r="E42" s="33">
        <f>IFERROR(B42/C42,"")</f>
        <v/>
      </c>
      <c r="F42" s="30">
        <f>IF(AND(D42=D38,E38&lt;&gt;""),E42/E38-1,"")</f>
        <v/>
      </c>
      <c r="G42" s="30">
        <f>IF(C42="","",(COUNTIFS($D$2:$D$45,D42,$C$2:$C$45,"&gt;0",$C$2:$C$45,"&lt;"&amp;C42)+(COUNTIFS($D$2:$D$45,D42,$C$2:$C$45,C42)+1)/2)/COUNTIFS($D$2:$D$45,D42,$C$2:$C$45,"&gt;0"))</f>
        <v/>
      </c>
      <c r="H42">
        <f>IF(G42="","",IF(G42&lt;=20%,"Q1 Cheapest",IF(G42&lt;=40%,"Q2",IF(G42&lt;=60%,"Q3",IF(G42&lt;=80%,"Q4","Q5 Most Expensive")))))</f>
        <v/>
      </c>
      <c r="I42" s="30" t="n"/>
      <c r="J42" s="30" t="n"/>
      <c r="K42" s="30" t="n"/>
      <c r="L42" s="30" t="n"/>
    </row>
    <row r="43">
      <c r="A43" s="31" t="n">
        <v>46112</v>
      </c>
      <c r="B43" s="24" t="n">
        <v>6215.15</v>
      </c>
      <c r="C43" s="25" t="n">
        <v>25.87</v>
      </c>
      <c r="D43" s="2" t="inlineStr">
        <is>
          <t>Consolidated</t>
        </is>
      </c>
      <c r="E43" s="33">
        <f>IFERROR(B43/C43,"")</f>
        <v/>
      </c>
      <c r="F43" s="30">
        <f>IF(AND(D43=D39,E39&lt;&gt;""),E43/E39-1,"")</f>
        <v/>
      </c>
      <c r="G43" s="30">
        <f>IF(C43="","",(COUNTIFS($D$2:$D$45,D43,$C$2:$C$45,"&gt;0",$C$2:$C$45,"&lt;"&amp;C43)+(COUNTIFS($D$2:$D$45,D43,$C$2:$C$45,C43)+1)/2)/COUNTIFS($D$2:$D$45,D43,$C$2:$C$45,"&gt;0"))</f>
        <v/>
      </c>
      <c r="H43">
        <f>IF(G43="","",IF(G43&lt;=20%,"Q1 Cheapest",IF(G43&lt;=40%,"Q2",IF(G43&lt;=60%,"Q3",IF(G43&lt;=80%,"Q4","Q5 Most Expensive")))))</f>
        <v/>
      </c>
      <c r="I43" s="30" t="n"/>
      <c r="J43" s="30" t="n"/>
      <c r="K43" s="30" t="n"/>
      <c r="L43" s="30" t="n"/>
    </row>
    <row r="44">
      <c r="A44" s="31" t="n">
        <v>46203</v>
      </c>
      <c r="B44" s="24" t="n">
        <v>6802.45</v>
      </c>
      <c r="C44" s="25" t="n">
        <v>28.12</v>
      </c>
      <c r="D44" s="2" t="inlineStr">
        <is>
          <t>Consolidated</t>
        </is>
      </c>
      <c r="E44" s="33">
        <f>IFERROR(B44/C44,"")</f>
        <v/>
      </c>
      <c r="F44" s="30">
        <f>IF(AND(D44=D40,E40&lt;&gt;""),E44/E40-1,"")</f>
        <v/>
      </c>
      <c r="G44" s="30">
        <f>IF(C44="","",(COUNTIFS($D$2:$D$45,D44,$C$2:$C$45,"&gt;0",$C$2:$C$45,"&lt;"&amp;C44)+(COUNTIFS($D$2:$D$45,D44,$C$2:$C$45,C44)+1)/2)/COUNTIFS($D$2:$D$45,D44,$C$2:$C$45,"&gt;0"))</f>
        <v/>
      </c>
      <c r="H44">
        <f>IF(G44="","",IF(G44&lt;=20%,"Q1 Cheapest",IF(G44&lt;=40%,"Q2",IF(G44&lt;=60%,"Q3",IF(G44&lt;=80%,"Q4","Q5 Most Expensive")))))</f>
        <v/>
      </c>
      <c r="I44" s="30" t="n"/>
      <c r="J44" s="30" t="n"/>
      <c r="K44" s="30" t="n"/>
      <c r="L44" s="30" t="n"/>
    </row>
    <row r="45">
      <c r="A45" s="31" t="n">
        <v>46295</v>
      </c>
      <c r="B45" s="24" t="n">
        <v>6594.4</v>
      </c>
      <c r="C45" s="25" t="n">
        <v>27.27</v>
      </c>
      <c r="D45" s="2" t="inlineStr">
        <is>
          <t>Consolidated</t>
        </is>
      </c>
      <c r="E45" s="33">
        <f>IFERROR(B45/C45,"")</f>
        <v/>
      </c>
      <c r="F45" s="30">
        <f>IF(AND(D45=D41,E41&lt;&gt;""),E45/E41-1,"")</f>
        <v/>
      </c>
      <c r="G45" s="30">
        <f>IF(C45="","",(COUNTIFS($D$2:$D$45,D45,$C$2:$C$45,"&gt;0",$C$2:$C$45,"&lt;"&amp;C45)+(COUNTIFS($D$2:$D$45,D45,$C$2:$C$45,C45)+1)/2)/COUNTIFS($D$2:$D$45,D45,$C$2:$C$45,"&gt;0"))</f>
        <v/>
      </c>
      <c r="H45">
        <f>IF(G45="","",IF(G45&lt;=20%,"Q1 Cheapest",IF(G45&lt;=40%,"Q2",IF(G45&lt;=60%,"Q3",IF(G45&lt;=80%,"Q4","Q5 Most Expensive")))))</f>
        <v/>
      </c>
      <c r="I45" s="30" t="n"/>
      <c r="J45" s="30" t="n"/>
      <c r="K45" s="30" t="n"/>
      <c r="L45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2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9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6817.85</v>
      </c>
      <c r="C2" s="25" t="n">
        <v>27.5</v>
      </c>
      <c r="D2" s="26" t="n">
        <v>0.295454545455</v>
      </c>
      <c r="E2" s="26" t="n">
        <v>0.00334184088583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6832.35</v>
      </c>
      <c r="C3" s="25" t="n">
        <v>27.56</v>
      </c>
      <c r="D3" s="26" t="n">
        <v>0.295454545455</v>
      </c>
      <c r="E3" s="26" t="n">
        <v>0.00327115564762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6796.3</v>
      </c>
      <c r="C4" s="25" t="n">
        <v>27.42</v>
      </c>
      <c r="D4" s="26" t="n">
        <v>0.280303030303</v>
      </c>
      <c r="E4" s="26" t="n">
        <v>0.00337545639491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6832.1</v>
      </c>
      <c r="C5" s="25" t="n">
        <v>27.56</v>
      </c>
      <c r="D5" s="26" t="n">
        <v>0.295454545455</v>
      </c>
      <c r="E5" s="26" t="n">
        <v>0.00350687811819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6757.95</v>
      </c>
      <c r="C6" s="25" t="n">
        <v>27.26</v>
      </c>
      <c r="D6" s="26" t="n">
        <v>0.25</v>
      </c>
      <c r="E6" s="26" t="n">
        <v>0.00327497392218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6760.2</v>
      </c>
      <c r="C7" s="25" t="n">
        <v>27.27</v>
      </c>
      <c r="D7" s="26" t="n">
        <v>0.25</v>
      </c>
      <c r="E7" s="26" t="n">
        <v>0.00331574357013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6673</v>
      </c>
      <c r="C8" s="25" t="n">
        <v>26.92</v>
      </c>
      <c r="D8" s="26" t="n">
        <v>0.25</v>
      </c>
      <c r="E8" s="26" t="n">
        <v>0.00317212284857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6622.8</v>
      </c>
      <c r="C9" s="25" t="n">
        <v>26.72</v>
      </c>
      <c r="D9" s="26" t="n">
        <v>0.25</v>
      </c>
      <c r="E9" s="26" t="n">
        <v>0.0030952018917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6594.4</v>
      </c>
      <c r="C10" s="25" t="n">
        <v>27.27</v>
      </c>
      <c r="D10" s="26" t="n">
        <v>0.253731343284</v>
      </c>
      <c r="E10" s="26" t="n">
        <v>-0.00865608714977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6569.55</v>
      </c>
      <c r="C11" s="25" t="n">
        <v>27.16</v>
      </c>
      <c r="D11" s="26" t="n">
        <v>0.246268656716</v>
      </c>
      <c r="E11" s="26" t="n">
        <v>-0.00831887359409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6569.6</v>
      </c>
      <c r="C12" s="25" t="n">
        <v>27.16</v>
      </c>
      <c r="D12" s="26" t="n">
        <v>0.246268656716</v>
      </c>
      <c r="E12" s="26" t="n">
        <v>-0.00851057943922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6652.7</v>
      </c>
      <c r="C13" s="25" t="n">
        <v>27.51</v>
      </c>
      <c r="D13" s="26" t="n">
        <v>0.305970149254</v>
      </c>
      <c r="E13" s="26" t="n">
        <v>-0.00873559350243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6596.6</v>
      </c>
      <c r="C14" s="25" t="n">
        <v>27.28</v>
      </c>
      <c r="D14" s="26" t="n">
        <v>0.261194029851</v>
      </c>
      <c r="E14" s="26" t="n">
        <v>-0.008759590897930001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  <row r="15">
      <c r="A15" s="31" t="n">
        <v>46303</v>
      </c>
      <c r="B15" s="24" t="n">
        <v>6458.6</v>
      </c>
      <c r="C15" s="25" t="n">
        <v>26.71</v>
      </c>
      <c r="D15" s="26" t="n">
        <v>0.246268656716</v>
      </c>
      <c r="E15" s="26" t="n">
        <v>-0.00864253650957</v>
      </c>
      <c r="F15" s="34">
        <f>IF(D15="","",100*(1-D15))</f>
        <v/>
      </c>
      <c r="G15" s="34">
        <f>IF(E15="","",IF(E15&lt;=0,20,IF(E15&lt;5%,20+400*E15,IF(E15&lt;10%,40+400*(E15-5%),IF(E15&lt;15%,60+400*(E15-10%),IF(E15&lt;25%,80+200*(E15-15%),100))))))</f>
        <v/>
      </c>
      <c r="H15" s="34">
        <f>IF(OR(F15="",G15=""),"",70%*F15+30%*G15)</f>
        <v/>
      </c>
      <c r="I15">
        <f>IF(H15="","",IF(H15&gt;=70,"BUY",IF(H15&gt;=40,"HOLD","SELL")))</f>
        <v/>
      </c>
    </row>
    <row r="16">
      <c r="A16" s="31" t="n">
        <v>46304</v>
      </c>
      <c r="B16" s="24" t="n">
        <v>6538.95</v>
      </c>
      <c r="C16" s="25" t="n">
        <v>27.04</v>
      </c>
      <c r="D16" s="26" t="n">
        <v>0.246268656716</v>
      </c>
      <c r="E16" s="26" t="n">
        <v>-0.0087359031369</v>
      </c>
      <c r="F16" s="34">
        <f>IF(D16="","",100*(1-D16))</f>
        <v/>
      </c>
      <c r="G16" s="34">
        <f>IF(E16="","",IF(E16&lt;=0,20,IF(E16&lt;5%,20+400*E16,IF(E16&lt;10%,40+400*(E16-5%),IF(E16&lt;15%,60+400*(E16-10%),IF(E16&lt;25%,80+200*(E16-15%),100))))))</f>
        <v/>
      </c>
      <c r="H16" s="34">
        <f>IF(OR(F16="",G16=""),"",70%*F16+30%*G16)</f>
        <v/>
      </c>
      <c r="I16">
        <f>IF(H16="","",IF(H16&gt;=70,"BUY",IF(H16&gt;=40,"HOLD","SELL")))</f>
        <v/>
      </c>
    </row>
    <row r="17">
      <c r="A17" s="31" t="n">
        <v>46307</v>
      </c>
      <c r="B17" s="24" t="n">
        <v>6532.55</v>
      </c>
      <c r="C17" s="25" t="n">
        <v>26.95</v>
      </c>
      <c r="D17" s="26" t="n">
        <v>0.246268656716</v>
      </c>
      <c r="E17" s="26" t="n">
        <v>-0.00640922513206</v>
      </c>
      <c r="F17" s="34">
        <f>IF(D17="","",100*(1-D17))</f>
        <v/>
      </c>
      <c r="G17" s="34">
        <f>IF(E17="","",IF(E17&lt;=0,20,IF(E17&lt;5%,20+400*E17,IF(E17&lt;10%,40+400*(E17-5%),IF(E17&lt;15%,60+400*(E17-10%),IF(E17&lt;25%,80+200*(E17-15%),100))))))</f>
        <v/>
      </c>
      <c r="H17" s="34">
        <f>IF(OR(F17="",G17=""),"",70%*F17+30%*G17)</f>
        <v/>
      </c>
      <c r="I17">
        <f>IF(H17="","",IF(H17&gt;=70,"BUY",IF(H17&gt;=40,"HOLD","SELL")))</f>
        <v/>
      </c>
    </row>
    <row r="18">
      <c r="A18" s="31" t="n">
        <v>46308</v>
      </c>
      <c r="B18" s="24" t="n">
        <v>6630.4</v>
      </c>
      <c r="C18" s="25" t="n">
        <v>27.31</v>
      </c>
      <c r="D18" s="26" t="n">
        <v>0.261194029851</v>
      </c>
      <c r="E18" s="26" t="n">
        <v>-0.0049290587603</v>
      </c>
      <c r="F18" s="34">
        <f>IF(D18="","",100*(1-D18))</f>
        <v/>
      </c>
      <c r="G18" s="34">
        <f>IF(E18="","",IF(E18&lt;=0,20,IF(E18&lt;5%,20+400*E18,IF(E18&lt;10%,40+400*(E18-5%),IF(E18&lt;15%,60+400*(E18-10%),IF(E18&lt;25%,80+200*(E18-15%),100))))))</f>
        <v/>
      </c>
      <c r="H18" s="34">
        <f>IF(OR(F18="",G18=""),"",70%*F18+30%*G18)</f>
        <v/>
      </c>
      <c r="I18">
        <f>IF(H18="","",IF(H18&gt;=70,"BUY",IF(H18&gt;=40,"HOLD","SELL")))</f>
        <v/>
      </c>
    </row>
    <row r="19">
      <c r="A19" s="31" t="n">
        <v>46309</v>
      </c>
      <c r="B19" s="24" t="n">
        <v>6645.65</v>
      </c>
      <c r="C19" s="25" t="n">
        <v>27.37</v>
      </c>
      <c r="D19" s="26" t="n">
        <v>0.283582089552</v>
      </c>
      <c r="E19" s="26" t="n">
        <v>-0.00474117453876</v>
      </c>
      <c r="F19" s="34">
        <f>IF(D19="","",100*(1-D19))</f>
        <v/>
      </c>
      <c r="G19" s="34">
        <f>IF(E19="","",IF(E19&lt;=0,20,IF(E19&lt;5%,20+400*E19,IF(E19&lt;10%,40+400*(E19-5%),IF(E19&lt;15%,60+400*(E19-10%),IF(E19&lt;25%,80+200*(E19-15%),100))))))</f>
        <v/>
      </c>
      <c r="H19" s="34">
        <f>IF(OR(F19="",G19=""),"",70%*F19+30%*G19)</f>
        <v/>
      </c>
      <c r="I19">
        <f>IF(H19="","",IF(H19&gt;=70,"BUY",IF(H19&gt;=40,"HOLD","SELL")))</f>
        <v/>
      </c>
    </row>
    <row r="20">
      <c r="A20" s="31" t="n">
        <v>46310</v>
      </c>
      <c r="B20" s="24" t="n">
        <v>6639.1</v>
      </c>
      <c r="C20" s="25" t="n">
        <v>27.32</v>
      </c>
      <c r="D20" s="26" t="n">
        <v>0.268656716418</v>
      </c>
      <c r="E20" s="26" t="n">
        <v>-0.00442599166618</v>
      </c>
      <c r="F20" s="34">
        <f>IF(D20="","",100*(1-D20))</f>
        <v/>
      </c>
      <c r="G20" s="34">
        <f>IF(E20="","",IF(E20&lt;=0,20,IF(E20&lt;5%,20+400*E20,IF(E20&lt;10%,40+400*(E20-5%),IF(E20&lt;15%,60+400*(E20-10%),IF(E20&lt;25%,80+200*(E20-15%),100))))))</f>
        <v/>
      </c>
      <c r="H20" s="34">
        <f>IF(OR(F20="",G20=""),"",70%*F20+30%*G20)</f>
        <v/>
      </c>
      <c r="I20">
        <f>IF(H20="","",IF(H20&gt;=70,"BUY",IF(H20&gt;=40,"HOLD","SELL")))</f>
        <v/>
      </c>
    </row>
    <row r="21">
      <c r="A21" s="31" t="n">
        <v>46311</v>
      </c>
      <c r="B21" s="24" t="n">
        <v>6682.1</v>
      </c>
      <c r="C21" s="25" t="n">
        <v>27.45</v>
      </c>
      <c r="D21" s="26" t="n">
        <v>0.298507462687</v>
      </c>
      <c r="E21" s="26" t="n">
        <v>-0.00298176647054</v>
      </c>
      <c r="F21" s="34">
        <f>IF(D21="","",100*(1-D21))</f>
        <v/>
      </c>
      <c r="G21" s="34">
        <f>IF(E21="","",IF(E21&lt;=0,20,IF(E21&lt;5%,20+400*E21,IF(E21&lt;10%,40+400*(E21-5%),IF(E21&lt;15%,60+400*(E21-10%),IF(E21&lt;25%,80+200*(E21-15%),100))))))</f>
        <v/>
      </c>
      <c r="H21" s="34">
        <f>IF(OR(F21="",G21=""),"",70%*F21+30%*G21)</f>
        <v/>
      </c>
      <c r="I21">
        <f>IF(H21="","",IF(H21&gt;=70,"BUY",IF(H21&gt;=40,"HOLD","SELL")))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1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0" customWidth="1" min="1" max="1"/>
    <col width="42" customWidth="1" min="2" max="2"/>
    <col width="10" customWidth="1" min="3" max="3"/>
    <col width="19" customWidth="1" min="4" max="4"/>
    <col width="22" customWidth="1" min="5" max="5"/>
  </cols>
  <sheetData>
    <row r="1">
      <c r="A1" s="35" t="inlineStr">
        <is>
          <t>Nifty500 Shariah Composition</t>
        </is>
      </c>
    </row>
    <row r="2">
      <c r="A2" s="2" t="inlineStr">
        <is>
          <t>As of</t>
        </is>
      </c>
      <c r="B2" s="4" t="inlineStr">
        <is>
          <t>2026-09-30</t>
        </is>
      </c>
      <c r="D2" s="2" t="inlineStr">
        <is>
          <t>Weight coverage</t>
        </is>
      </c>
      <c r="E2" s="26" t="n">
        <v>0.2909</v>
      </c>
    </row>
    <row r="3">
      <c r="A3" s="2" t="inlineStr">
        <is>
          <t>Source</t>
        </is>
      </c>
      <c r="B3" s="17" t="inlineStr">
        <is>
          <t>NSE Indices — Index factsheet (top constituents)</t>
        </is>
      </c>
      <c r="D3" s="2" t="inlineStr">
        <is>
          <t>Top 10 weight</t>
        </is>
      </c>
      <c r="E3" s="26" t="n">
        <v>0.2909</v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Infosys Ltd.</t>
        </is>
      </c>
      <c r="C6" t="inlineStr"/>
      <c r="D6" t="inlineStr"/>
      <c r="E6" s="37" t="n">
        <v>0.0583</v>
      </c>
    </row>
    <row r="7">
      <c r="A7" t="n">
        <v>2</v>
      </c>
      <c r="B7" t="inlineStr">
        <is>
          <t>Eternal Ltd.</t>
        </is>
      </c>
      <c r="C7" t="inlineStr"/>
      <c r="D7" t="inlineStr"/>
      <c r="E7" s="37" t="n">
        <v>0.0385</v>
      </c>
    </row>
    <row r="8">
      <c r="A8" t="n">
        <v>3</v>
      </c>
      <c r="B8" t="inlineStr">
        <is>
          <t>Tata Consultancy Services Ltd.</t>
        </is>
      </c>
      <c r="C8" t="inlineStr"/>
      <c r="D8" t="inlineStr"/>
      <c r="E8" s="37" t="n">
        <v>0.0348</v>
      </c>
    </row>
    <row r="9">
      <c r="A9" t="n">
        <v>4</v>
      </c>
      <c r="B9" t="inlineStr">
        <is>
          <t>Sun Pharmaceutical Industries Ltd.</t>
        </is>
      </c>
      <c r="C9" t="inlineStr"/>
      <c r="D9" t="inlineStr"/>
      <c r="E9" s="37" t="n">
        <v>0.0319</v>
      </c>
    </row>
    <row r="10">
      <c r="A10" t="n">
        <v>5</v>
      </c>
      <c r="B10" t="inlineStr">
        <is>
          <t>Hindustan Unilever Ltd.</t>
        </is>
      </c>
      <c r="C10" t="inlineStr"/>
      <c r="D10" t="inlineStr"/>
      <c r="E10" s="37" t="n">
        <v>0.0277</v>
      </c>
    </row>
    <row r="11">
      <c r="A11" t="n">
        <v>6</v>
      </c>
      <c r="B11" t="inlineStr">
        <is>
          <t>Hindalco Industries Ltd.</t>
        </is>
      </c>
      <c r="C11" t="inlineStr"/>
      <c r="D11" t="inlineStr"/>
      <c r="E11" s="37" t="n">
        <v>0.0226</v>
      </c>
    </row>
    <row r="12">
      <c r="A12" t="n">
        <v>7</v>
      </c>
      <c r="B12" t="inlineStr">
        <is>
          <t>UltraTech Cement Ltd.</t>
        </is>
      </c>
      <c r="C12" t="inlineStr"/>
      <c r="D12" t="inlineStr"/>
      <c r="E12" s="37" t="n">
        <v>0.0215</v>
      </c>
    </row>
    <row r="13">
      <c r="A13" t="n">
        <v>8</v>
      </c>
      <c r="B13" t="inlineStr">
        <is>
          <t>HCL Technologies Ltd.</t>
        </is>
      </c>
      <c r="C13" t="inlineStr"/>
      <c r="D13" t="inlineStr"/>
      <c r="E13" s="37" t="n">
        <v>0.0215</v>
      </c>
    </row>
    <row r="14">
      <c r="A14" t="n">
        <v>9</v>
      </c>
      <c r="B14" t="inlineStr">
        <is>
          <t>Asian Paints Ltd.</t>
        </is>
      </c>
      <c r="C14" t="inlineStr"/>
      <c r="D14" t="inlineStr"/>
      <c r="E14" s="37" t="n">
        <v>0.018</v>
      </c>
    </row>
    <row r="15">
      <c r="A15" t="n">
        <v>10</v>
      </c>
      <c r="B15" t="inlineStr">
        <is>
          <t>Tech Mahindra Ltd.</t>
        </is>
      </c>
      <c r="C15" t="inlineStr"/>
      <c r="D15" t="inlineStr"/>
      <c r="E15" s="37" t="n">
        <v>0.0161</v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2026-10-16T16:58:21Z</dcterms:created>
  <dcterms:modified xsi:type="dcterms:W3CDTF">2026-10-16T16:58:49Z</dcterms:modified>
</cp:coreProperties>
</file>