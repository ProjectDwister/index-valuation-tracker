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16500.65</v>
      </c>
      <c r="D5" s="2" t="inlineStr">
        <is>
          <t>P/E</t>
        </is>
      </c>
      <c r="E5" s="25" t="n">
        <v>28.04</v>
      </c>
    </row>
    <row r="6">
      <c r="A6" s="2" t="inlineStr">
        <is>
          <t>P/E percentile</t>
        </is>
      </c>
      <c r="B6" s="26" t="n">
        <v>0.4104477611940299</v>
      </c>
      <c r="D6" s="2" t="inlineStr">
        <is>
          <t>Implied EPS</t>
        </is>
      </c>
      <c r="E6" s="27" t="n">
        <v>588.4682596291013</v>
      </c>
    </row>
    <row r="7">
      <c r="A7" s="2" t="inlineStr">
        <is>
          <t>YoY implied EPS growth</t>
        </is>
      </c>
      <c r="B7" s="26" t="n">
        <v>0.2317646435588248</v>
      </c>
      <c r="D7" s="2" t="inlineStr">
        <is>
          <t>Earnings yield</t>
        </is>
      </c>
      <c r="E7" s="10" t="n">
        <v>0.03566333808844508</v>
      </c>
    </row>
    <row r="8">
      <c r="A8" s="2" t="inlineStr">
        <is>
          <t>Valuation score</t>
        </is>
      </c>
      <c r="B8" s="28" t="n">
        <v>58.95522388059702</v>
      </c>
      <c r="D8" s="2" t="inlineStr">
        <is>
          <t>Growth score</t>
        </is>
      </c>
      <c r="E8" s="28" t="n">
        <v>96.35292871176495</v>
      </c>
    </row>
    <row r="9">
      <c r="A9" s="2" t="inlineStr">
        <is>
          <t>Composite score</t>
        </is>
      </c>
      <c r="B9" s="28" t="n">
        <v>70.17453532994739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28.15943363702407</v>
      </c>
      <c r="C13" s="15" t="n">
        <v>16570.93290452073</v>
      </c>
      <c r="D13" s="30" t="n">
        <v>0.004259402176321814</v>
      </c>
    </row>
    <row r="14">
      <c r="A14" t="inlineStr">
        <is>
          <t>HOLD → SELL</t>
        </is>
      </c>
      <c r="B14" s="29" t="n">
        <v>39.90018379287302</v>
      </c>
      <c r="C14" s="15" t="n">
        <v>23479.99171547326</v>
      </c>
      <c r="D14" s="30" t="n">
        <v>0.4229737443963275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12</v>
      </c>
      <c r="C19" s="30" t="n">
        <v>0.0375650929609006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11</v>
      </c>
      <c r="C20" s="30" t="n">
        <v>0.06719038760344531</v>
      </c>
      <c r="D20" s="30" t="n">
        <v>0.151179001200638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12</v>
      </c>
      <c r="C21" s="30" t="n">
        <v>0.06793808872778362</v>
      </c>
      <c r="D21" s="30" t="n">
        <v>0.1307418222863642</v>
      </c>
      <c r="E21" s="30" t="n">
        <v>0.1616418994348091</v>
      </c>
      <c r="F21" s="30" t="n">
        <v>0.1662719807498725</v>
      </c>
      <c r="G21" s="30" t="n">
        <v>0.125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57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17028.7</v>
      </c>
      <c r="C67" s="25" t="n">
        <v>30.14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IF(C2="","",(COUNTIFS($D$2:$D$60,D2,$C$2:$C$60,"&gt;0",$C$2:$C$60,"&lt;"&amp;C2)+(COUNTIFS($D$2:$D$60,D2,$C$2:$C$60,C2)+1)/2)/COUNTIFS($D$2:$D$60,D2,$C$2:$C$60,"&gt;0"))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IF(C3="","",(COUNTIFS($D$2:$D$60,D3,$C$2:$C$60,"&gt;0",$C$2:$C$60,"&lt;"&amp;C3)+(COUNTIFS($D$2:$D$60,D3,$C$2:$C$60,C3)+1)/2)/COUNTIFS($D$2:$D$60,D3,$C$2:$C$60,"&gt;0"))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IF(C4="","",(COUNTIFS($D$2:$D$60,D4,$C$2:$C$60,"&gt;0",$C$2:$C$60,"&lt;"&amp;C4)+(COUNTIFS($D$2:$D$60,D4,$C$2:$C$60,C4)+1)/2)/COUNTIFS($D$2:$D$60,D4,$C$2:$C$60,"&gt;0"))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IF(C5="","",(COUNTIFS($D$2:$D$60,D5,$C$2:$C$60,"&gt;0",$C$2:$C$60,"&lt;"&amp;C5)+(COUNTIFS($D$2:$D$60,D5,$C$2:$C$60,C5)+1)/2)/COUNTIFS($D$2:$D$60,D5,$C$2:$C$60,"&gt;0"))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IF(C6="","",(COUNTIFS($D$2:$D$60,D6,$C$2:$C$60,"&gt;0",$C$2:$C$60,"&lt;"&amp;C6)+(COUNTIFS($D$2:$D$60,D6,$C$2:$C$60,C6)+1)/2)/COUNTIFS($D$2:$D$60,D6,$C$2:$C$60,"&gt;0"))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IF(C7="","",(COUNTIFS($D$2:$D$60,D7,$C$2:$C$60,"&gt;0",$C$2:$C$60,"&lt;"&amp;C7)+(COUNTIFS($D$2:$D$60,D7,$C$2:$C$60,C7)+1)/2)/COUNTIFS($D$2:$D$60,D7,$C$2:$C$60,"&gt;0"))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IF(C8="","",(COUNTIFS($D$2:$D$60,D8,$C$2:$C$60,"&gt;0",$C$2:$C$60,"&lt;"&amp;C8)+(COUNTIFS($D$2:$D$60,D8,$C$2:$C$60,C8)+1)/2)/COUNTIFS($D$2:$D$60,D8,$C$2:$C$60,"&gt;0"))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IF(C9="","",(COUNTIFS($D$2:$D$60,D9,$C$2:$C$60,"&gt;0",$C$2:$C$60,"&lt;"&amp;C9)+(COUNTIFS($D$2:$D$60,D9,$C$2:$C$60,C9)+1)/2)/COUNTIFS($D$2:$D$60,D9,$C$2:$C$60,"&gt;0"))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IF(C10="","",(COUNTIFS($D$2:$D$60,D10,$C$2:$C$60,"&gt;0",$C$2:$C$60,"&lt;"&amp;C10)+(COUNTIFS($D$2:$D$60,D10,$C$2:$C$60,C10)+1)/2)/COUNTIFS($D$2:$D$60,D10,$C$2:$C$60,"&gt;0"))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IF(C11="","",(COUNTIFS($D$2:$D$60,D11,$C$2:$C$60,"&gt;0",$C$2:$C$60,"&lt;"&amp;C11)+(COUNTIFS($D$2:$D$60,D11,$C$2:$C$60,C11)+1)/2)/COUNTIFS($D$2:$D$60,D11,$C$2:$C$60,"&gt;0"))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IF(C12="","",(COUNTIFS($D$2:$D$60,D12,$C$2:$C$60,"&gt;0",$C$2:$C$60,"&lt;"&amp;C12)+(COUNTIFS($D$2:$D$60,D12,$C$2:$C$60,C12)+1)/2)/COUNTIFS($D$2:$D$60,D12,$C$2:$C$60,"&gt;0"))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IF(C13="","",(COUNTIFS($D$2:$D$60,D13,$C$2:$C$60,"&gt;0",$C$2:$C$60,"&lt;"&amp;C13)+(COUNTIFS($D$2:$D$60,D13,$C$2:$C$60,C13)+1)/2)/COUNTIFS($D$2:$D$60,D13,$C$2:$C$60,"&gt;0"))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IF(C14="","",(COUNTIFS($D$2:$D$60,D14,$C$2:$C$60,"&gt;0",$C$2:$C$60,"&lt;"&amp;C14)+(COUNTIFS($D$2:$D$60,D14,$C$2:$C$60,C14)+1)/2)/COUNTIFS($D$2:$D$60,D14,$C$2:$C$60,"&gt;0"))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IF(C15="","",(COUNTIFS($D$2:$D$60,D15,$C$2:$C$60,"&gt;0",$C$2:$C$60,"&lt;"&amp;C15)+(COUNTIFS($D$2:$D$60,D15,$C$2:$C$60,C15)+1)/2)/COUNTIFS($D$2:$D$60,D15,$C$2:$C$60,"&gt;0"))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IF(C16="","",(COUNTIFS($D$2:$D$60,D16,$C$2:$C$60,"&gt;0",$C$2:$C$60,"&lt;"&amp;C16)+(COUNTIFS($D$2:$D$60,D16,$C$2:$C$60,C16)+1)/2)/COUNTIFS($D$2:$D$60,D16,$C$2:$C$60,"&gt;0"))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IF(C17="","",(COUNTIFS($D$2:$D$60,D17,$C$2:$C$60,"&gt;0",$C$2:$C$60,"&lt;"&amp;C17)+(COUNTIFS($D$2:$D$60,D17,$C$2:$C$60,C17)+1)/2)/COUNTIFS($D$2:$D$60,D17,$C$2:$C$60,"&gt;0"))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IF(C18="","",(COUNTIFS($D$2:$D$60,D18,$C$2:$C$60,"&gt;0",$C$2:$C$60,"&lt;"&amp;C18)+(COUNTIFS($D$2:$D$60,D18,$C$2:$C$60,C18)+1)/2)/COUNTIFS($D$2:$D$60,D18,$C$2:$C$60,"&gt;0"))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IF(C19="","",(COUNTIFS($D$2:$D$60,D19,$C$2:$C$60,"&gt;0",$C$2:$C$60,"&lt;"&amp;C19)+(COUNTIFS($D$2:$D$60,D19,$C$2:$C$60,C19)+1)/2)/COUNTIFS($D$2:$D$60,D19,$C$2:$C$60,"&gt;0"))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IF(C20="","",(COUNTIFS($D$2:$D$60,D20,$C$2:$C$60,"&gt;0",$C$2:$C$60,"&lt;"&amp;C20)+(COUNTIFS($D$2:$D$60,D20,$C$2:$C$60,C20)+1)/2)/COUNTIFS($D$2:$D$60,D20,$C$2:$C$60,"&gt;0"))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IF(C21="","",(COUNTIFS($D$2:$D$60,D21,$C$2:$C$60,"&gt;0",$C$2:$C$60,"&lt;"&amp;C21)+(COUNTIFS($D$2:$D$60,D21,$C$2:$C$60,C21)+1)/2)/COUNTIFS($D$2:$D$60,D21,$C$2:$C$60,"&gt;0"))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IF(C22="","",(COUNTIFS($D$2:$D$60,D22,$C$2:$C$60,"&gt;0",$C$2:$C$60,"&lt;"&amp;C22)+(COUNTIFS($D$2:$D$60,D22,$C$2:$C$60,C22)+1)/2)/COUNTIFS($D$2:$D$60,D22,$C$2:$C$60,"&gt;0"))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IF(C23="","",(COUNTIFS($D$2:$D$60,D23,$C$2:$C$60,"&gt;0",$C$2:$C$60,"&lt;"&amp;C23)+(COUNTIFS($D$2:$D$60,D23,$C$2:$C$60,C23)+1)/2)/COUNTIFS($D$2:$D$60,D23,$C$2:$C$60,"&gt;0"))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IF(C24="","",(COUNTIFS($D$2:$D$60,D24,$C$2:$C$60,"&gt;0",$C$2:$C$60,"&lt;"&amp;C24)+(COUNTIFS($D$2:$D$60,D24,$C$2:$C$60,C24)+1)/2)/COUNTIFS($D$2:$D$60,D24,$C$2:$C$60,"&gt;0"))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IF(C25="","",(COUNTIFS($D$2:$D$60,D25,$C$2:$C$60,"&gt;0",$C$2:$C$60,"&lt;"&amp;C25)+(COUNTIFS($D$2:$D$60,D25,$C$2:$C$60,C25)+1)/2)/COUNTIFS($D$2:$D$60,D25,$C$2:$C$60,"&gt;0"))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IF(C26="","",(COUNTIFS($D$2:$D$60,D26,$C$2:$C$60,"&gt;0",$C$2:$C$60,"&lt;"&amp;C26)+(COUNTIFS($D$2:$D$60,D26,$C$2:$C$60,C26)+1)/2)/COUNTIFS($D$2:$D$60,D26,$C$2:$C$60,"&gt;0"))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IF(C27="","",(COUNTIFS($D$2:$D$60,D27,$C$2:$C$60,"&gt;0",$C$2:$C$60,"&lt;"&amp;C27)+(COUNTIFS($D$2:$D$60,D27,$C$2:$C$60,C27)+1)/2)/COUNTIFS($D$2:$D$60,D27,$C$2:$C$60,"&gt;0"))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IF(C28="","",(COUNTIFS($D$2:$D$60,D28,$C$2:$C$60,"&gt;0",$C$2:$C$60,"&lt;"&amp;C28)+(COUNTIFS($D$2:$D$60,D28,$C$2:$C$60,C28)+1)/2)/COUNTIFS($D$2:$D$60,D28,$C$2:$C$60,"&gt;0"))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IF(C29="","",(COUNTIFS($D$2:$D$60,D29,$C$2:$C$60,"&gt;0",$C$2:$C$60,"&lt;"&amp;C29)+(COUNTIFS($D$2:$D$60,D29,$C$2:$C$60,C29)+1)/2)/COUNTIFS($D$2:$D$60,D29,$C$2:$C$60,"&gt;0"))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IF(C30="","",(COUNTIFS($D$2:$D$60,D30,$C$2:$C$60,"&gt;0",$C$2:$C$60,"&lt;"&amp;C30)+(COUNTIFS($D$2:$D$60,D30,$C$2:$C$60,C30)+1)/2)/COUNTIFS($D$2:$D$60,D30,$C$2:$C$60,"&gt;0"))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IF(C31="","",(COUNTIFS($D$2:$D$60,D31,$C$2:$C$60,"&gt;0",$C$2:$C$60,"&lt;"&amp;C31)+(COUNTIFS($D$2:$D$60,D31,$C$2:$C$60,C31)+1)/2)/COUNTIFS($D$2:$D$60,D31,$C$2:$C$60,"&gt;0"))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IF(C32="","",(COUNTIFS($D$2:$D$60,D32,$C$2:$C$60,"&gt;0",$C$2:$C$60,"&lt;"&amp;C32)+(COUNTIFS($D$2:$D$60,D32,$C$2:$C$60,C32)+1)/2)/COUNTIFS($D$2:$D$60,D32,$C$2:$C$60,"&gt;0"))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IF(C33="","",(COUNTIFS($D$2:$D$60,D33,$C$2:$C$60,"&gt;0",$C$2:$C$60,"&lt;"&amp;C33)+(COUNTIFS($D$2:$D$60,D33,$C$2:$C$60,C33)+1)/2)/COUNTIFS($D$2:$D$60,D33,$C$2:$C$60,"&gt;0"))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IF(C34="","",(COUNTIFS($D$2:$D$60,D34,$C$2:$C$60,"&gt;0",$C$2:$C$60,"&lt;"&amp;C34)+(COUNTIFS($D$2:$D$60,D34,$C$2:$C$60,C34)+1)/2)/COUNTIFS($D$2:$D$60,D34,$C$2:$C$60,"&gt;0"))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IF(C35="","",(COUNTIFS($D$2:$D$60,D35,$C$2:$C$60,"&gt;0",$C$2:$C$60,"&lt;"&amp;C35)+(COUNTIFS($D$2:$D$60,D35,$C$2:$C$60,C35)+1)/2)/COUNTIFS($D$2:$D$60,D35,$C$2:$C$60,"&gt;0"))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IF(C36="","",(COUNTIFS($D$2:$D$60,D36,$C$2:$C$60,"&gt;0",$C$2:$C$60,"&lt;"&amp;C36)+(COUNTIFS($D$2:$D$60,D36,$C$2:$C$60,C36)+1)/2)/COUNTIFS($D$2:$D$60,D36,$C$2:$C$60,"&gt;0"))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IF(C37="","",(COUNTIFS($D$2:$D$60,D37,$C$2:$C$60,"&gt;0",$C$2:$C$60,"&lt;"&amp;C37)+(COUNTIFS($D$2:$D$60,D37,$C$2:$C$60,C37)+1)/2)/COUNTIFS($D$2:$D$60,D37,$C$2:$C$60,"&gt;0"))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IF(C38="","",(COUNTIFS($D$2:$D$60,D38,$C$2:$C$60,"&gt;0",$C$2:$C$60,"&lt;"&amp;C38)+(COUNTIFS($D$2:$D$60,D38,$C$2:$C$60,C38)+1)/2)/COUNTIFS($D$2:$D$60,D38,$C$2:$C$60,"&gt;0"))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IF(C39="","",(COUNTIFS($D$2:$D$60,D39,$C$2:$C$60,"&gt;0",$C$2:$C$60,"&lt;"&amp;C39)+(COUNTIFS($D$2:$D$60,D39,$C$2:$C$60,C39)+1)/2)/COUNTIFS($D$2:$D$60,D39,$C$2:$C$60,"&gt;0"))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IF(C40="","",(COUNTIFS($D$2:$D$60,D40,$C$2:$C$60,"&gt;0",$C$2:$C$60,"&lt;"&amp;C40)+(COUNTIFS($D$2:$D$60,D40,$C$2:$C$60,C40)+1)/2)/COUNTIFS($D$2:$D$60,D40,$C$2:$C$60,"&gt;0"))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IF(C41="","",(COUNTIFS($D$2:$D$60,D41,$C$2:$C$60,"&gt;0",$C$2:$C$60,"&lt;"&amp;C41)+(COUNTIFS($D$2:$D$60,D41,$C$2:$C$60,C41)+1)/2)/COUNTIFS($D$2:$D$60,D41,$C$2:$C$60,"&gt;0"))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IF(C42="","",(COUNTIFS($D$2:$D$60,D42,$C$2:$C$60,"&gt;0",$C$2:$C$60,"&lt;"&amp;C42)+(COUNTIFS($D$2:$D$60,D42,$C$2:$C$60,C42)+1)/2)/COUNTIFS($D$2:$D$60,D42,$C$2:$C$60,"&gt;0"))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IF(C43="","",(COUNTIFS($D$2:$D$60,D43,$C$2:$C$60,"&gt;0",$C$2:$C$60,"&lt;"&amp;C43)+(COUNTIFS($D$2:$D$60,D43,$C$2:$C$60,C43)+1)/2)/COUNTIFS($D$2:$D$60,D43,$C$2:$C$60,"&gt;0"))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IF(C44="","",(COUNTIFS($D$2:$D$60,D44,$C$2:$C$60,"&gt;0",$C$2:$C$60,"&lt;"&amp;C44)+(COUNTIFS($D$2:$D$60,D44,$C$2:$C$60,C44)+1)/2)/COUNTIFS($D$2:$D$60,D44,$C$2:$C$60,"&gt;0"))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IF(C45="","",(COUNTIFS($D$2:$D$60,D45,$C$2:$C$60,"&gt;0",$C$2:$C$60,"&lt;"&amp;C45)+(COUNTIFS($D$2:$D$60,D45,$C$2:$C$60,C45)+1)/2)/COUNTIFS($D$2:$D$60,D45,$C$2:$C$60,"&gt;0"))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IF(C46="","",(COUNTIFS($D$2:$D$60,D46,$C$2:$C$60,"&gt;0",$C$2:$C$60,"&lt;"&amp;C46)+(COUNTIFS($D$2:$D$60,D46,$C$2:$C$60,C46)+1)/2)/COUNTIFS($D$2:$D$60,D46,$C$2:$C$60,"&gt;0"))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IF(C47="","",(COUNTIFS($D$2:$D$60,D47,$C$2:$C$60,"&gt;0",$C$2:$C$60,"&lt;"&amp;C47)+(COUNTIFS($D$2:$D$60,D47,$C$2:$C$60,C47)+1)/2)/COUNTIFS($D$2:$D$60,D47,$C$2:$C$60,"&gt;0"))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IF(C48="","",(COUNTIFS($D$2:$D$60,D48,$C$2:$C$60,"&gt;0",$C$2:$C$60,"&lt;"&amp;C48)+(COUNTIFS($D$2:$D$60,D48,$C$2:$C$60,C48)+1)/2)/COUNTIFS($D$2:$D$60,D48,$C$2:$C$60,"&gt;0"))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IF(C49="","",(COUNTIFS($D$2:$D$60,D49,$C$2:$C$60,"&gt;0",$C$2:$C$60,"&lt;"&amp;C49)+(COUNTIFS($D$2:$D$60,D49,$C$2:$C$60,C49)+1)/2)/COUNTIFS($D$2:$D$60,D49,$C$2:$C$60,"&gt;0"))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IF(C50="","",(COUNTIFS($D$2:$D$60,D50,$C$2:$C$60,"&gt;0",$C$2:$C$60,"&lt;"&amp;C50)+(COUNTIFS($D$2:$D$60,D50,$C$2:$C$60,C50)+1)/2)/COUNTIFS($D$2:$D$60,D50,$C$2:$C$60,"&gt;0"))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IF(C51="","",(COUNTIFS($D$2:$D$60,D51,$C$2:$C$60,"&gt;0",$C$2:$C$60,"&lt;"&amp;C51)+(COUNTIFS($D$2:$D$60,D51,$C$2:$C$60,C51)+1)/2)/COUNTIFS($D$2:$D$60,D51,$C$2:$C$60,"&gt;0"))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IF(C52="","",(COUNTIFS($D$2:$D$60,D52,$C$2:$C$60,"&gt;0",$C$2:$C$60,"&lt;"&amp;C52)+(COUNTIFS($D$2:$D$60,D52,$C$2:$C$60,C52)+1)/2)/COUNTIFS($D$2:$D$60,D52,$C$2:$C$60,"&gt;0"))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IF(C53="","",(COUNTIFS($D$2:$D$60,D53,$C$2:$C$60,"&gt;0",$C$2:$C$60,"&lt;"&amp;C53)+(COUNTIFS($D$2:$D$60,D53,$C$2:$C$60,C53)+1)/2)/COUNTIFS($D$2:$D$60,D53,$C$2:$C$60,"&gt;0"))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IF(C54="","",(COUNTIFS($D$2:$D$60,D54,$C$2:$C$60,"&gt;0",$C$2:$C$60,"&lt;"&amp;C54)+(COUNTIFS($D$2:$D$60,D54,$C$2:$C$60,C54)+1)/2)/COUNTIFS($D$2:$D$60,D54,$C$2:$C$60,"&gt;0"))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IF(C55="","",(COUNTIFS($D$2:$D$60,D55,$C$2:$C$60,"&gt;0",$C$2:$C$60,"&lt;"&amp;C55)+(COUNTIFS($D$2:$D$60,D55,$C$2:$C$60,C55)+1)/2)/COUNTIFS($D$2:$D$60,D55,$C$2:$C$60,"&gt;0"))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IF(C56="","",(COUNTIFS($D$2:$D$60,D56,$C$2:$C$60,"&gt;0",$C$2:$C$60,"&lt;"&amp;C56)+(COUNTIFS($D$2:$D$60,D56,$C$2:$C$60,C56)+1)/2)/COUNTIFS($D$2:$D$60,D56,$C$2:$C$60,"&gt;0"))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IF(C57="","",(COUNTIFS($D$2:$D$60,D57,$C$2:$C$60,"&gt;0",$C$2:$C$60,"&lt;"&amp;C57)+(COUNTIFS($D$2:$D$60,D57,$C$2:$C$60,C57)+1)/2)/COUNTIFS($D$2:$D$60,D57,$C$2:$C$60,"&gt;0"))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IF(C58="","",(COUNTIFS($D$2:$D$60,D58,$C$2:$C$60,"&gt;0",$C$2:$C$60,"&lt;"&amp;C58)+(COUNTIFS($D$2:$D$60,D58,$C$2:$C$60,C58)+1)/2)/COUNTIFS($D$2:$D$60,D58,$C$2:$C$60,"&gt;0"))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IF(C59="","",(COUNTIFS($D$2:$D$60,D59,$C$2:$C$60,"&gt;0",$C$2:$C$60,"&lt;"&amp;C59)+(COUNTIFS($D$2:$D$60,D59,$C$2:$C$60,C59)+1)/2)/COUNTIFS($D$2:$D$60,D59,$C$2:$C$60,"&gt;0"))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  <row r="60">
      <c r="A60" s="31" t="n">
        <v>46295</v>
      </c>
      <c r="B60" s="24" t="n">
        <v>17028.7</v>
      </c>
      <c r="C60" s="25" t="n">
        <v>30.14</v>
      </c>
      <c r="D60" s="2" t="inlineStr">
        <is>
          <t>Consolidated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IF(C60="","",(COUNTIFS($D$2:$D$60,D60,$C$2:$C$60,"&gt;0",$C$2:$C$60,"&lt;"&amp;C60)+(COUNTIFS($D$2:$D$60,D60,$C$2:$C$60,C60)+1)/2)/COUNTIFS($D$2:$D$60,D60,$C$2:$C$60,"&gt;0"))</f>
        <v/>
      </c>
      <c r="H60">
        <f>IF(G60="","",IF(G60&lt;=20%,"Q1 Cheapest",IF(G60&lt;=40%,"Q2",IF(G60&lt;=60%,"Q3",IF(G60&lt;=80%,"Q4","Q5 Most Expensive")))))</f>
        <v/>
      </c>
      <c r="I60" s="30" t="n"/>
      <c r="J60" s="30" t="n"/>
      <c r="K60" s="30" t="n"/>
      <c r="L60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17474.1</v>
      </c>
      <c r="C7" s="25" t="n">
        <v>34.37</v>
      </c>
      <c r="D7" s="26" t="n">
        <v>0.674242424242</v>
      </c>
      <c r="E7" s="26" t="n">
        <v>0.142606816937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17208.9</v>
      </c>
      <c r="C8" s="25" t="n">
        <v>33.84</v>
      </c>
      <c r="D8" s="26" t="n">
        <v>0.628787878788</v>
      </c>
      <c r="E8" s="26" t="n">
        <v>0.142924026379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17030.55</v>
      </c>
      <c r="C9" s="25" t="n">
        <v>33.49</v>
      </c>
      <c r="D9" s="26" t="n">
        <v>0.613636363636</v>
      </c>
      <c r="E9" s="26" t="n">
        <v>0.14308919685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17028.7</v>
      </c>
      <c r="C10" s="25" t="n">
        <v>30.14</v>
      </c>
      <c r="D10" s="26" t="n">
        <v>0.44776119403</v>
      </c>
      <c r="E10" s="26" t="n">
        <v>0.168212302102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16840.35</v>
      </c>
      <c r="C11" s="25" t="n">
        <v>29.8</v>
      </c>
      <c r="D11" s="26" t="n">
        <v>0.440298507463</v>
      </c>
      <c r="E11" s="26" t="n">
        <v>0.168588692508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16911.25</v>
      </c>
      <c r="C12" s="25" t="n">
        <v>29.93</v>
      </c>
      <c r="D12" s="26" t="n">
        <v>0.440298507463</v>
      </c>
      <c r="E12" s="26" t="n">
        <v>0.168430289333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17119.7</v>
      </c>
      <c r="C13" s="25" t="n">
        <v>30.3</v>
      </c>
      <c r="D13" s="26" t="n">
        <v>0.455223880597</v>
      </c>
      <c r="E13" s="26" t="n">
        <v>0.168406658318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16990.85</v>
      </c>
      <c r="C14" s="25" t="n">
        <v>30.07</v>
      </c>
      <c r="D14" s="26" t="n">
        <v>0.440298507463</v>
      </c>
      <c r="E14" s="26" t="n">
        <v>0.168570045516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16530.9</v>
      </c>
      <c r="C15" s="25" t="n">
        <v>29.26</v>
      </c>
      <c r="D15" s="26" t="n">
        <v>0.440298507463</v>
      </c>
      <c r="E15" s="26" t="n">
        <v>0.168425426429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16786.7</v>
      </c>
      <c r="C16" s="25" t="n">
        <v>29.71</v>
      </c>
      <c r="D16" s="26" t="n">
        <v>0.440298507463</v>
      </c>
      <c r="E16" s="26" t="n">
        <v>0.168515625139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16827.65</v>
      </c>
      <c r="C17" s="25" t="n">
        <v>29.78</v>
      </c>
      <c r="D17" s="26" t="n">
        <v>0.440298507463</v>
      </c>
      <c r="E17" s="26" t="n">
        <v>0.16855098505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16974</v>
      </c>
      <c r="C18" s="25" t="n">
        <v>30.04</v>
      </c>
      <c r="D18" s="26" t="n">
        <v>0.440298507463</v>
      </c>
      <c r="E18" s="26" t="n">
        <v>0.168507380248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16997.35</v>
      </c>
      <c r="C19" s="25" t="n">
        <v>30.08</v>
      </c>
      <c r="D19" s="26" t="n">
        <v>0.440298507463</v>
      </c>
      <c r="E19" s="26" t="n">
        <v>0.168481614721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16956.3</v>
      </c>
      <c r="C20" s="25" t="n">
        <v>29.91</v>
      </c>
      <c r="D20" s="26" t="n">
        <v>0.440298507463</v>
      </c>
      <c r="E20" s="26" t="n">
        <v>0.170317841579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16946.3</v>
      </c>
      <c r="C21" s="25" t="n">
        <v>29.92</v>
      </c>
      <c r="D21" s="26" t="n">
        <v>0.440298507463</v>
      </c>
      <c r="E21" s="26" t="n">
        <v>0.167797865948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16767.85</v>
      </c>
      <c r="C22" s="25" t="n">
        <v>29.38</v>
      </c>
      <c r="D22" s="26" t="n">
        <v>0.440298507463</v>
      </c>
      <c r="E22" s="26" t="n">
        <v>0.176798450568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16500.2</v>
      </c>
      <c r="C23" s="25" t="n">
        <v>28.91</v>
      </c>
      <c r="D23" s="26" t="n">
        <v>0.440298507463</v>
      </c>
      <c r="E23" s="26" t="n">
        <v>0.199582610546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16410.8</v>
      </c>
      <c r="C24" s="25" t="n">
        <v>28.66</v>
      </c>
      <c r="D24" s="26" t="n">
        <v>0.440298507463</v>
      </c>
      <c r="E24" s="26" t="n">
        <v>0.203490347682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16066.4</v>
      </c>
      <c r="C25" s="25" t="n">
        <v>28.02</v>
      </c>
      <c r="D25" s="26" t="n">
        <v>0.410447761194</v>
      </c>
      <c r="E25" s="26" t="n">
        <v>0.20521556486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16266.85</v>
      </c>
      <c r="C26" s="25" t="n">
        <v>28.37</v>
      </c>
      <c r="D26" s="26" t="n">
        <v>0.410447761194</v>
      </c>
      <c r="E26" s="26" t="n">
        <v>0.205908518975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16412.7</v>
      </c>
      <c r="C27" s="25" t="n">
        <v>27.83</v>
      </c>
      <c r="D27" s="26" t="n">
        <v>0.410447761194</v>
      </c>
      <c r="E27" s="26" t="n">
        <v>0.235758111454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16500.65</v>
      </c>
      <c r="C28" s="25" t="n">
        <v>28.04</v>
      </c>
      <c r="D28" s="26" t="n">
        <v>0.410447761194</v>
      </c>
      <c r="E28" s="26" t="n">
        <v>0.231764643559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APL Apollo Tubes Ltd.</t>
        </is>
      </c>
      <c r="C6" t="inlineStr">
        <is>
          <t>APLAPOLLO</t>
        </is>
      </c>
      <c r="D6" t="inlineStr">
        <is>
          <t>Capital Goods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AU Small Finance Bank Ltd.</t>
        </is>
      </c>
      <c r="C8" t="inlineStr">
        <is>
          <t>AUBANK</t>
        </is>
      </c>
      <c r="D8" t="inlineStr">
        <is>
          <t>Financial Services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Bharat Forge Ltd.</t>
        </is>
      </c>
      <c r="C10" t="inlineStr">
        <is>
          <t>BHARATFORG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Bharat Heavy Electricals Ltd.</t>
        </is>
      </c>
      <c r="C11" t="inlineStr">
        <is>
          <t>BHEL</t>
        </is>
      </c>
      <c r="D11" t="inlineStr">
        <is>
          <t>Capital Goods</t>
        </is>
      </c>
    </row>
    <row r="12">
      <c r="A12" t="n">
        <v>7</v>
      </c>
      <c r="B12" t="inlineStr">
        <is>
          <t>Dabur India Ltd.</t>
        </is>
      </c>
      <c r="C12" t="inlineStr">
        <is>
          <t>DABUR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Fortis Healthcare Ltd.</t>
        </is>
      </c>
      <c r="C15" t="inlineStr">
        <is>
          <t>FORTIS</t>
        </is>
      </c>
      <c r="D15" t="inlineStr">
        <is>
          <t>Healthcare</t>
        </is>
      </c>
    </row>
    <row r="16">
      <c r="A16" t="n">
        <v>11</v>
      </c>
      <c r="B16" t="inlineStr">
        <is>
          <t>FSN E-Commerce Ventures Ltd.</t>
        </is>
      </c>
      <c r="C16" t="inlineStr">
        <is>
          <t>NYKAA</t>
        </is>
      </c>
      <c r="D16" t="inlineStr">
        <is>
          <t>Consumer Services</t>
        </is>
      </c>
    </row>
    <row r="17">
      <c r="A17" t="n">
        <v>12</v>
      </c>
      <c r="B17" t="inlineStr">
        <is>
          <t>GE Vernova T&amp;D India Ltd.</t>
        </is>
      </c>
      <c r="C17" t="inlineStr">
        <is>
          <t>GVT&amp;D</t>
        </is>
      </c>
      <c r="D17" t="inlineStr">
        <is>
          <t>Capital Goods</t>
        </is>
      </c>
    </row>
    <row r="18">
      <c r="A18" t="n">
        <v>13</v>
      </c>
      <c r="B18" t="inlineStr">
        <is>
          <t>Glenmark Pharmaceuticals Ltd.</t>
        </is>
      </c>
      <c r="C18" t="inlineStr">
        <is>
          <t>GLENMARK</t>
        </is>
      </c>
      <c r="D18" t="inlineStr">
        <is>
          <t>Healthcare</t>
        </is>
      </c>
    </row>
    <row r="19">
      <c r="A19" t="n">
        <v>14</v>
      </c>
      <c r="B19" t="inlineStr">
        <is>
          <t>GMR Airports Ltd.</t>
        </is>
      </c>
      <c r="C19" t="inlineStr">
        <is>
          <t>GMRAIRPORT</t>
        </is>
      </c>
      <c r="D19" t="inlineStr">
        <is>
          <t>Services</t>
        </is>
      </c>
    </row>
    <row r="20">
      <c r="A20" t="n">
        <v>15</v>
      </c>
      <c r="B20" t="inlineStr">
        <is>
          <t>Godrej Properties Ltd.</t>
        </is>
      </c>
      <c r="C20" t="inlineStr">
        <is>
          <t>GODREJPROP</t>
        </is>
      </c>
      <c r="D20" t="inlineStr">
        <is>
          <t>Realty</t>
        </is>
      </c>
    </row>
    <row r="21">
      <c r="A21" t="n">
        <v>16</v>
      </c>
      <c r="B21" t="inlineStr">
        <is>
          <t>Havells India Ltd.</t>
        </is>
      </c>
      <c r="C21" t="inlineStr">
        <is>
          <t>HAVELLS</t>
        </is>
      </c>
      <c r="D21" t="inlineStr">
        <is>
          <t>Consumer Durables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ICICI Lombard General Insurance Company Ltd.</t>
        </is>
      </c>
      <c r="C24" t="inlineStr">
        <is>
          <t>ICICIGI</t>
        </is>
      </c>
      <c r="D24" t="inlineStr">
        <is>
          <t>Financial Services</t>
        </is>
      </c>
    </row>
    <row r="25">
      <c r="A25" t="n">
        <v>20</v>
      </c>
      <c r="B25" t="inlineStr">
        <is>
          <t>IDFC First Bank Ltd.</t>
        </is>
      </c>
      <c r="C25" t="inlineStr">
        <is>
          <t>IDFCFIRSTB</t>
        </is>
      </c>
      <c r="D25" t="inlineStr">
        <is>
          <t>Financial Services</t>
        </is>
      </c>
    </row>
    <row r="26">
      <c r="A26" t="n">
        <v>21</v>
      </c>
      <c r="B26" t="inlineStr">
        <is>
          <t>Indian Hotels Co. Ltd.</t>
        </is>
      </c>
      <c r="C26" t="inlineStr">
        <is>
          <t>INDHOTEL</t>
        </is>
      </c>
      <c r="D26" t="inlineStr">
        <is>
          <t>Consumer Services</t>
        </is>
      </c>
    </row>
    <row r="27">
      <c r="A27" t="n">
        <v>22</v>
      </c>
      <c r="B27" t="inlineStr">
        <is>
          <t>Indus Towers Ltd.</t>
        </is>
      </c>
      <c r="C27" t="inlineStr">
        <is>
          <t>INDUSTOWER</t>
        </is>
      </c>
      <c r="D27" t="inlineStr">
        <is>
          <t>Telecommunication</t>
        </is>
      </c>
    </row>
    <row r="28">
      <c r="A28" t="n">
        <v>23</v>
      </c>
      <c r="B28" t="inlineStr">
        <is>
          <t>IndusInd Bank Ltd.</t>
        </is>
      </c>
      <c r="C28" t="inlineStr">
        <is>
          <t>INDUSINDBK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 Edge (India) Ltd.</t>
        </is>
      </c>
      <c r="C29" t="inlineStr">
        <is>
          <t>NAUKRI</t>
        </is>
      </c>
      <c r="D29" t="inlineStr">
        <is>
          <t>Consumer Services</t>
        </is>
      </c>
    </row>
    <row r="30">
      <c r="A30" t="n">
        <v>25</v>
      </c>
      <c r="B30" t="inlineStr">
        <is>
          <t>JSW Energy Ltd.</t>
        </is>
      </c>
      <c r="C30" t="inlineStr">
        <is>
          <t>JSWENERGY</t>
        </is>
      </c>
      <c r="D30" t="inlineStr">
        <is>
          <t>Power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Multi Commodity Exchange of India Ltd.</t>
        </is>
      </c>
      <c r="C36" t="inlineStr">
        <is>
          <t>MCX</t>
        </is>
      </c>
      <c r="D36" t="inlineStr">
        <is>
          <t>Financial Services</t>
        </is>
      </c>
    </row>
    <row r="37">
      <c r="A37" t="n">
        <v>32</v>
      </c>
      <c r="B37" t="inlineStr">
        <is>
          <t>National Aluminium Co. Ltd.</t>
        </is>
      </c>
      <c r="C37" t="inlineStr">
        <is>
          <t>NATIONALUM</t>
        </is>
      </c>
      <c r="D37" t="inlineStr">
        <is>
          <t>Metals &amp; Mining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Prestige Estates Projects Ltd.</t>
        </is>
      </c>
      <c r="C45" t="inlineStr">
        <is>
          <t>PRESTIGE</t>
        </is>
      </c>
      <c r="D45" t="inlineStr">
        <is>
          <t>Realty</t>
        </is>
      </c>
    </row>
    <row r="46">
      <c r="A46" t="n">
        <v>41</v>
      </c>
      <c r="B46" t="inlineStr">
        <is>
          <t>REC Ltd.</t>
        </is>
      </c>
      <c r="C46" t="inlineStr">
        <is>
          <t>RECLTD</t>
        </is>
      </c>
      <c r="D46" t="inlineStr">
        <is>
          <t>Financial Services</t>
        </is>
      </c>
    </row>
    <row r="47">
      <c r="A47" t="n">
        <v>42</v>
      </c>
      <c r="B47" t="inlineStr">
        <is>
          <t>SRF Ltd.</t>
        </is>
      </c>
      <c r="C47" t="inlineStr">
        <is>
          <t>SRF</t>
        </is>
      </c>
      <c r="D47" t="inlineStr">
        <is>
          <t>Chemicals</t>
        </is>
      </c>
    </row>
    <row r="48">
      <c r="A48" t="n">
        <v>43</v>
      </c>
      <c r="B48" t="inlineStr">
        <is>
          <t>Suzlon Energy Ltd.</t>
        </is>
      </c>
      <c r="C48" t="inlineStr">
        <is>
          <t>SUZLON</t>
        </is>
      </c>
      <c r="D48" t="inlineStr">
        <is>
          <t>Capital Goods</t>
        </is>
      </c>
    </row>
    <row r="49">
      <c r="A49" t="n">
        <v>44</v>
      </c>
      <c r="B49" t="inlineStr">
        <is>
          <t>Swiggy Ltd.</t>
        </is>
      </c>
      <c r="C49" t="inlineStr">
        <is>
          <t>SWIGGY</t>
        </is>
      </c>
      <c r="D49" t="inlineStr">
        <is>
          <t>Consumer Services</t>
        </is>
      </c>
    </row>
    <row r="50">
      <c r="A50" t="n">
        <v>45</v>
      </c>
      <c r="B50" t="inlineStr">
        <is>
          <t>Tube Investments of India Ltd.</t>
        </is>
      </c>
      <c r="C50" t="inlineStr">
        <is>
          <t>TIINDIA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United Spirits Ltd.</t>
        </is>
      </c>
      <c r="C51" t="inlineStr">
        <is>
          <t>UNITDSPR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UPL Ltd.</t>
        </is>
      </c>
      <c r="C52" t="inlineStr">
        <is>
          <t>UPL</t>
        </is>
      </c>
      <c r="D52" t="inlineStr">
        <is>
          <t>Chemicals</t>
        </is>
      </c>
    </row>
    <row r="53">
      <c r="A53" t="n">
        <v>48</v>
      </c>
      <c r="B53" t="inlineStr">
        <is>
          <t>Vishal Mega Mart Ltd.</t>
        </is>
      </c>
      <c r="C53" t="inlineStr">
        <is>
          <t>VMM</t>
        </is>
      </c>
      <c r="D53" t="inlineStr">
        <is>
          <t>Consumer Services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2026-10-28T18:30:14Z</dcterms:created>
  <dcterms:modified xsi:type="dcterms:W3CDTF">2026-10-28T18:30:42Z</dcterms:modified>
</cp:coreProperties>
</file>