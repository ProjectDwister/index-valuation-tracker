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17878.6</v>
      </c>
      <c r="D5" s="2" t="inlineStr">
        <is>
          <t>P/E</t>
        </is>
      </c>
      <c r="E5" s="25" t="n">
        <v>35.16</v>
      </c>
    </row>
    <row r="6">
      <c r="A6" s="2" t="inlineStr">
        <is>
          <t>P/E percentile</t>
        </is>
      </c>
      <c r="B6" s="26" t="n">
        <v>0.6893939393939394</v>
      </c>
      <c r="D6" s="2" t="inlineStr">
        <is>
          <t>Implied EPS</t>
        </is>
      </c>
      <c r="E6" s="27" t="n">
        <v>508.4926052332196</v>
      </c>
    </row>
    <row r="7">
      <c r="A7" s="2" t="inlineStr">
        <is>
          <t>YoY implied EPS growth</t>
        </is>
      </c>
      <c r="B7" s="26" t="n">
        <v>0.1428530250344324</v>
      </c>
      <c r="D7" s="2" t="inlineStr">
        <is>
          <t>Earnings yield</t>
        </is>
      </c>
      <c r="E7" s="10" t="n">
        <v>0.02844141069397042</v>
      </c>
    </row>
    <row r="8">
      <c r="A8" s="2" t="inlineStr">
        <is>
          <t>Valuation score</t>
        </is>
      </c>
      <c r="B8" s="28" t="n">
        <v>31.06060606060606</v>
      </c>
      <c r="D8" s="2" t="inlineStr">
        <is>
          <t>Growth score</t>
        </is>
      </c>
      <c r="E8" s="28" t="n">
        <v>77.14121001377296</v>
      </c>
    </row>
    <row r="9">
      <c r="A9" s="2" t="inlineStr">
        <is>
          <t>Composite score</t>
        </is>
      </c>
      <c r="B9" s="28" t="n">
        <v>44.88478724655613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24.16212101032164</v>
      </c>
      <c r="C13" s="15" t="n">
        <v>12286.25986049876</v>
      </c>
      <c r="D13" s="30" t="n">
        <v>-0.3127951931080307</v>
      </c>
    </row>
    <row r="14">
      <c r="A14" t="inlineStr">
        <is>
          <t>HOLD → SELL</t>
        </is>
      </c>
      <c r="B14" s="29" t="n">
        <v>37.52560635403756</v>
      </c>
      <c r="C14" s="15" t="n">
        <v>19081.49333792082</v>
      </c>
      <c r="D14" s="30" t="n">
        <v>0.0672811818554484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11</v>
      </c>
      <c r="C19" s="30" t="n">
        <v>0.03458683366427362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12</v>
      </c>
      <c r="C20" s="30" t="n">
        <v>0.05128555869590079</v>
      </c>
      <c r="D20" s="30" t="n">
        <v>0.1982429041594077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11</v>
      </c>
      <c r="C21" s="30" t="n">
        <v>0.07652386056999227</v>
      </c>
      <c r="D21" s="30" t="n">
        <v>0.1173100602015256</v>
      </c>
      <c r="E21" s="30" t="n">
        <v>0.1643476874521761</v>
      </c>
      <c r="F21" s="30" t="n">
        <v>0.1754930481859425</v>
      </c>
      <c r="G21" s="30" t="n">
        <v>0.1428571428571428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56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IF(C2="","",(COUNTIFS($D$2:$D$59,D2,$C$2:$C$59,"&gt;0",$C$2:$C$59,"&lt;"&amp;C2)+(COUNTIFS($D$2:$D$59,D2,$C$2:$C$59,C2)+1)/2)/COUNTIFS($D$2:$D$59,D2,$C$2:$C$59,"&gt;0"))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IF(C3="","",(COUNTIFS($D$2:$D$59,D3,$C$2:$C$59,"&gt;0",$C$2:$C$59,"&lt;"&amp;C3)+(COUNTIFS($D$2:$D$59,D3,$C$2:$C$59,C3)+1)/2)/COUNTIFS($D$2:$D$59,D3,$C$2:$C$59,"&gt;0"))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IF(C4="","",(COUNTIFS($D$2:$D$59,D4,$C$2:$C$59,"&gt;0",$C$2:$C$59,"&lt;"&amp;C4)+(COUNTIFS($D$2:$D$59,D4,$C$2:$C$59,C4)+1)/2)/COUNTIFS($D$2:$D$59,D4,$C$2:$C$59,"&gt;0"))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IF(C5="","",(COUNTIFS($D$2:$D$59,D5,$C$2:$C$59,"&gt;0",$C$2:$C$59,"&lt;"&amp;C5)+(COUNTIFS($D$2:$D$59,D5,$C$2:$C$59,C5)+1)/2)/COUNTIFS($D$2:$D$59,D5,$C$2:$C$59,"&gt;0"))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IF(C6="","",(COUNTIFS($D$2:$D$59,D6,$C$2:$C$59,"&gt;0",$C$2:$C$59,"&lt;"&amp;C6)+(COUNTIFS($D$2:$D$59,D6,$C$2:$C$59,C6)+1)/2)/COUNTIFS($D$2:$D$59,D6,$C$2:$C$59,"&gt;0"))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IF(C7="","",(COUNTIFS($D$2:$D$59,D7,$C$2:$C$59,"&gt;0",$C$2:$C$59,"&lt;"&amp;C7)+(COUNTIFS($D$2:$D$59,D7,$C$2:$C$59,C7)+1)/2)/COUNTIFS($D$2:$D$59,D7,$C$2:$C$59,"&gt;0"))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IF(C8="","",(COUNTIFS($D$2:$D$59,D8,$C$2:$C$59,"&gt;0",$C$2:$C$59,"&lt;"&amp;C8)+(COUNTIFS($D$2:$D$59,D8,$C$2:$C$59,C8)+1)/2)/COUNTIFS($D$2:$D$59,D8,$C$2:$C$59,"&gt;0"))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IF(C9="","",(COUNTIFS($D$2:$D$59,D9,$C$2:$C$59,"&gt;0",$C$2:$C$59,"&lt;"&amp;C9)+(COUNTIFS($D$2:$D$59,D9,$C$2:$C$59,C9)+1)/2)/COUNTIFS($D$2:$D$59,D9,$C$2:$C$59,"&gt;0"))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IF(C10="","",(COUNTIFS($D$2:$D$59,D10,$C$2:$C$59,"&gt;0",$C$2:$C$59,"&lt;"&amp;C10)+(COUNTIFS($D$2:$D$59,D10,$C$2:$C$59,C10)+1)/2)/COUNTIFS($D$2:$D$59,D10,$C$2:$C$59,"&gt;0"))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IF(C11="","",(COUNTIFS($D$2:$D$59,D11,$C$2:$C$59,"&gt;0",$C$2:$C$59,"&lt;"&amp;C11)+(COUNTIFS($D$2:$D$59,D11,$C$2:$C$59,C11)+1)/2)/COUNTIFS($D$2:$D$59,D11,$C$2:$C$59,"&gt;0"))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IF(C12="","",(COUNTIFS($D$2:$D$59,D12,$C$2:$C$59,"&gt;0",$C$2:$C$59,"&lt;"&amp;C12)+(COUNTIFS($D$2:$D$59,D12,$C$2:$C$59,C12)+1)/2)/COUNTIFS($D$2:$D$59,D12,$C$2:$C$59,"&gt;0"))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IF(C13="","",(COUNTIFS($D$2:$D$59,D13,$C$2:$C$59,"&gt;0",$C$2:$C$59,"&lt;"&amp;C13)+(COUNTIFS($D$2:$D$59,D13,$C$2:$C$59,C13)+1)/2)/COUNTIFS($D$2:$D$59,D13,$C$2:$C$59,"&gt;0"))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IF(C14="","",(COUNTIFS($D$2:$D$59,D14,$C$2:$C$59,"&gt;0",$C$2:$C$59,"&lt;"&amp;C14)+(COUNTIFS($D$2:$D$59,D14,$C$2:$C$59,C14)+1)/2)/COUNTIFS($D$2:$D$59,D14,$C$2:$C$59,"&gt;0"))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IF(C15="","",(COUNTIFS($D$2:$D$59,D15,$C$2:$C$59,"&gt;0",$C$2:$C$59,"&lt;"&amp;C15)+(COUNTIFS($D$2:$D$59,D15,$C$2:$C$59,C15)+1)/2)/COUNTIFS($D$2:$D$59,D15,$C$2:$C$59,"&gt;0"))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IF(C16="","",(COUNTIFS($D$2:$D$59,D16,$C$2:$C$59,"&gt;0",$C$2:$C$59,"&lt;"&amp;C16)+(COUNTIFS($D$2:$D$59,D16,$C$2:$C$59,C16)+1)/2)/COUNTIFS($D$2:$D$59,D16,$C$2:$C$59,"&gt;0"))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IF(C17="","",(COUNTIFS($D$2:$D$59,D17,$C$2:$C$59,"&gt;0",$C$2:$C$59,"&lt;"&amp;C17)+(COUNTIFS($D$2:$D$59,D17,$C$2:$C$59,C17)+1)/2)/COUNTIFS($D$2:$D$59,D17,$C$2:$C$59,"&gt;0"))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IF(C18="","",(COUNTIFS($D$2:$D$59,D18,$C$2:$C$59,"&gt;0",$C$2:$C$59,"&lt;"&amp;C18)+(COUNTIFS($D$2:$D$59,D18,$C$2:$C$59,C18)+1)/2)/COUNTIFS($D$2:$D$59,D18,$C$2:$C$59,"&gt;0"))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IF(C19="","",(COUNTIFS($D$2:$D$59,D19,$C$2:$C$59,"&gt;0",$C$2:$C$59,"&lt;"&amp;C19)+(COUNTIFS($D$2:$D$59,D19,$C$2:$C$59,C19)+1)/2)/COUNTIFS($D$2:$D$59,D19,$C$2:$C$59,"&gt;0"))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IF(C20="","",(COUNTIFS($D$2:$D$59,D20,$C$2:$C$59,"&gt;0",$C$2:$C$59,"&lt;"&amp;C20)+(COUNTIFS($D$2:$D$59,D20,$C$2:$C$59,C20)+1)/2)/COUNTIFS($D$2:$D$59,D20,$C$2:$C$59,"&gt;0"))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IF(C21="","",(COUNTIFS($D$2:$D$59,D21,$C$2:$C$59,"&gt;0",$C$2:$C$59,"&lt;"&amp;C21)+(COUNTIFS($D$2:$D$59,D21,$C$2:$C$59,C21)+1)/2)/COUNTIFS($D$2:$D$59,D21,$C$2:$C$59,"&gt;0"))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IF(C22="","",(COUNTIFS($D$2:$D$59,D22,$C$2:$C$59,"&gt;0",$C$2:$C$59,"&lt;"&amp;C22)+(COUNTIFS($D$2:$D$59,D22,$C$2:$C$59,C22)+1)/2)/COUNTIFS($D$2:$D$59,D22,$C$2:$C$59,"&gt;0"))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IF(C23="","",(COUNTIFS($D$2:$D$59,D23,$C$2:$C$59,"&gt;0",$C$2:$C$59,"&lt;"&amp;C23)+(COUNTIFS($D$2:$D$59,D23,$C$2:$C$59,C23)+1)/2)/COUNTIFS($D$2:$D$59,D23,$C$2:$C$59,"&gt;0"))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IF(C24="","",(COUNTIFS($D$2:$D$59,D24,$C$2:$C$59,"&gt;0",$C$2:$C$59,"&lt;"&amp;C24)+(COUNTIFS($D$2:$D$59,D24,$C$2:$C$59,C24)+1)/2)/COUNTIFS($D$2:$D$59,D24,$C$2:$C$59,"&gt;0"))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IF(C25="","",(COUNTIFS($D$2:$D$59,D25,$C$2:$C$59,"&gt;0",$C$2:$C$59,"&lt;"&amp;C25)+(COUNTIFS($D$2:$D$59,D25,$C$2:$C$59,C25)+1)/2)/COUNTIFS($D$2:$D$59,D25,$C$2:$C$59,"&gt;0"))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IF(C26="","",(COUNTIFS($D$2:$D$59,D26,$C$2:$C$59,"&gt;0",$C$2:$C$59,"&lt;"&amp;C26)+(COUNTIFS($D$2:$D$59,D26,$C$2:$C$59,C26)+1)/2)/COUNTIFS($D$2:$D$59,D26,$C$2:$C$59,"&gt;0"))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IF(C27="","",(COUNTIFS($D$2:$D$59,D27,$C$2:$C$59,"&gt;0",$C$2:$C$59,"&lt;"&amp;C27)+(COUNTIFS($D$2:$D$59,D27,$C$2:$C$59,C27)+1)/2)/COUNTIFS($D$2:$D$59,D27,$C$2:$C$59,"&gt;0"))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IF(C28="","",(COUNTIFS($D$2:$D$59,D28,$C$2:$C$59,"&gt;0",$C$2:$C$59,"&lt;"&amp;C28)+(COUNTIFS($D$2:$D$59,D28,$C$2:$C$59,C28)+1)/2)/COUNTIFS($D$2:$D$59,D28,$C$2:$C$59,"&gt;0"))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IF(C29="","",(COUNTIFS($D$2:$D$59,D29,$C$2:$C$59,"&gt;0",$C$2:$C$59,"&lt;"&amp;C29)+(COUNTIFS($D$2:$D$59,D29,$C$2:$C$59,C29)+1)/2)/COUNTIFS($D$2:$D$59,D29,$C$2:$C$59,"&gt;0"))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IF(C30="","",(COUNTIFS($D$2:$D$59,D30,$C$2:$C$59,"&gt;0",$C$2:$C$59,"&lt;"&amp;C30)+(COUNTIFS($D$2:$D$59,D30,$C$2:$C$59,C30)+1)/2)/COUNTIFS($D$2:$D$59,D30,$C$2:$C$59,"&gt;0"))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IF(C31="","",(COUNTIFS($D$2:$D$59,D31,$C$2:$C$59,"&gt;0",$C$2:$C$59,"&lt;"&amp;C31)+(COUNTIFS($D$2:$D$59,D31,$C$2:$C$59,C31)+1)/2)/COUNTIFS($D$2:$D$59,D31,$C$2:$C$59,"&gt;0"))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IF(C32="","",(COUNTIFS($D$2:$D$59,D32,$C$2:$C$59,"&gt;0",$C$2:$C$59,"&lt;"&amp;C32)+(COUNTIFS($D$2:$D$59,D32,$C$2:$C$59,C32)+1)/2)/COUNTIFS($D$2:$D$59,D32,$C$2:$C$59,"&gt;0"))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IF(C33="","",(COUNTIFS($D$2:$D$59,D33,$C$2:$C$59,"&gt;0",$C$2:$C$59,"&lt;"&amp;C33)+(COUNTIFS($D$2:$D$59,D33,$C$2:$C$59,C33)+1)/2)/COUNTIFS($D$2:$D$59,D33,$C$2:$C$59,"&gt;0"))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IF(C34="","",(COUNTIFS($D$2:$D$59,D34,$C$2:$C$59,"&gt;0",$C$2:$C$59,"&lt;"&amp;C34)+(COUNTIFS($D$2:$D$59,D34,$C$2:$C$59,C34)+1)/2)/COUNTIFS($D$2:$D$59,D34,$C$2:$C$59,"&gt;0"))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IF(C35="","",(COUNTIFS($D$2:$D$59,D35,$C$2:$C$59,"&gt;0",$C$2:$C$59,"&lt;"&amp;C35)+(COUNTIFS($D$2:$D$59,D35,$C$2:$C$59,C35)+1)/2)/COUNTIFS($D$2:$D$59,D35,$C$2:$C$59,"&gt;0"))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IF(C36="","",(COUNTIFS($D$2:$D$59,D36,$C$2:$C$59,"&gt;0",$C$2:$C$59,"&lt;"&amp;C36)+(COUNTIFS($D$2:$D$59,D36,$C$2:$C$59,C36)+1)/2)/COUNTIFS($D$2:$D$59,D36,$C$2:$C$59,"&gt;0"))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IF(C37="","",(COUNTIFS($D$2:$D$59,D37,$C$2:$C$59,"&gt;0",$C$2:$C$59,"&lt;"&amp;C37)+(COUNTIFS($D$2:$D$59,D37,$C$2:$C$59,C37)+1)/2)/COUNTIFS($D$2:$D$59,D37,$C$2:$C$59,"&gt;0"))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IF(C38="","",(COUNTIFS($D$2:$D$59,D38,$C$2:$C$59,"&gt;0",$C$2:$C$59,"&lt;"&amp;C38)+(COUNTIFS($D$2:$D$59,D38,$C$2:$C$59,C38)+1)/2)/COUNTIFS($D$2:$D$59,D38,$C$2:$C$59,"&gt;0"))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IF(C39="","",(COUNTIFS($D$2:$D$59,D39,$C$2:$C$59,"&gt;0",$C$2:$C$59,"&lt;"&amp;C39)+(COUNTIFS($D$2:$D$59,D39,$C$2:$C$59,C39)+1)/2)/COUNTIFS($D$2:$D$59,D39,$C$2:$C$59,"&gt;0"))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IF(C40="","",(COUNTIFS($D$2:$D$59,D40,$C$2:$C$59,"&gt;0",$C$2:$C$59,"&lt;"&amp;C40)+(COUNTIFS($D$2:$D$59,D40,$C$2:$C$59,C40)+1)/2)/COUNTIFS($D$2:$D$59,D40,$C$2:$C$59,"&gt;0"))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 t="n"/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IF(C41="","",(COUNTIFS($D$2:$D$59,D41,$C$2:$C$59,"&gt;0",$C$2:$C$59,"&lt;"&amp;C41)+(COUNTIFS($D$2:$D$59,D41,$C$2:$C$59,C41)+1)/2)/COUNTIFS($D$2:$D$59,D41,$C$2:$C$59,"&gt;0"))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IF(C42="","",(COUNTIFS($D$2:$D$59,D42,$C$2:$C$59,"&gt;0",$C$2:$C$59,"&lt;"&amp;C42)+(COUNTIFS($D$2:$D$59,D42,$C$2:$C$59,C42)+1)/2)/COUNTIFS($D$2:$D$59,D42,$C$2:$C$59,"&gt;0"))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IF(C43="","",(COUNTIFS($D$2:$D$59,D43,$C$2:$C$59,"&gt;0",$C$2:$C$59,"&lt;"&amp;C43)+(COUNTIFS($D$2:$D$59,D43,$C$2:$C$59,C43)+1)/2)/COUNTIFS($D$2:$D$59,D43,$C$2:$C$59,"&gt;0"))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IF(C44="","",(COUNTIFS($D$2:$D$59,D44,$C$2:$C$59,"&gt;0",$C$2:$C$59,"&lt;"&amp;C44)+(COUNTIFS($D$2:$D$59,D44,$C$2:$C$59,C44)+1)/2)/COUNTIFS($D$2:$D$59,D44,$C$2:$C$59,"&gt;0"))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IF(C45="","",(COUNTIFS($D$2:$D$59,D45,$C$2:$C$59,"&gt;0",$C$2:$C$59,"&lt;"&amp;C45)+(COUNTIFS($D$2:$D$59,D45,$C$2:$C$59,C45)+1)/2)/COUNTIFS($D$2:$D$59,D45,$C$2:$C$59,"&gt;0"))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IF(C46="","",(COUNTIFS($D$2:$D$59,D46,$C$2:$C$59,"&gt;0",$C$2:$C$59,"&lt;"&amp;C46)+(COUNTIFS($D$2:$D$59,D46,$C$2:$C$59,C46)+1)/2)/COUNTIFS($D$2:$D$59,D46,$C$2:$C$59,"&gt;0"))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IF(C47="","",(COUNTIFS($D$2:$D$59,D47,$C$2:$C$59,"&gt;0",$C$2:$C$59,"&lt;"&amp;C47)+(COUNTIFS($D$2:$D$59,D47,$C$2:$C$59,C47)+1)/2)/COUNTIFS($D$2:$D$59,D47,$C$2:$C$59,"&gt;0"))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IF(C48="","",(COUNTIFS($D$2:$D$59,D48,$C$2:$C$59,"&gt;0",$C$2:$C$59,"&lt;"&amp;C48)+(COUNTIFS($D$2:$D$59,D48,$C$2:$C$59,C48)+1)/2)/COUNTIFS($D$2:$D$59,D48,$C$2:$C$59,"&gt;0"))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 t="n"/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IF(C49="","",(COUNTIFS($D$2:$D$59,D49,$C$2:$C$59,"&gt;0",$C$2:$C$59,"&lt;"&amp;C49)+(COUNTIFS($D$2:$D$59,D49,$C$2:$C$59,C49)+1)/2)/COUNTIFS($D$2:$D$59,D49,$C$2:$C$59,"&gt;0"))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IF(C50="","",(COUNTIFS($D$2:$D$59,D50,$C$2:$C$59,"&gt;0",$C$2:$C$59,"&lt;"&amp;C50)+(COUNTIFS($D$2:$D$59,D50,$C$2:$C$59,C50)+1)/2)/COUNTIFS($D$2:$D$59,D50,$C$2:$C$59,"&gt;0"))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IF(C51="","",(COUNTIFS($D$2:$D$59,D51,$C$2:$C$59,"&gt;0",$C$2:$C$59,"&lt;"&amp;C51)+(COUNTIFS($D$2:$D$59,D51,$C$2:$C$59,C51)+1)/2)/COUNTIFS($D$2:$D$59,D51,$C$2:$C$59,"&gt;0"))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IF(C52="","",(COUNTIFS($D$2:$D$59,D52,$C$2:$C$59,"&gt;0",$C$2:$C$59,"&lt;"&amp;C52)+(COUNTIFS($D$2:$D$59,D52,$C$2:$C$59,C52)+1)/2)/COUNTIFS($D$2:$D$59,D52,$C$2:$C$59,"&gt;0"))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IF(C53="","",(COUNTIFS($D$2:$D$59,D53,$C$2:$C$59,"&gt;0",$C$2:$C$59,"&lt;"&amp;C53)+(COUNTIFS($D$2:$D$59,D53,$C$2:$C$59,C53)+1)/2)/COUNTIFS($D$2:$D$59,D53,$C$2:$C$59,"&gt;0"))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IF(C54="","",(COUNTIFS($D$2:$D$59,D54,$C$2:$C$59,"&gt;0",$C$2:$C$59,"&lt;"&amp;C54)+(COUNTIFS($D$2:$D$59,D54,$C$2:$C$59,C54)+1)/2)/COUNTIFS($D$2:$D$59,D54,$C$2:$C$59,"&gt;0"))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IF(C55="","",(COUNTIFS($D$2:$D$59,D55,$C$2:$C$59,"&gt;0",$C$2:$C$59,"&lt;"&amp;C55)+(COUNTIFS($D$2:$D$59,D55,$C$2:$C$59,C55)+1)/2)/COUNTIFS($D$2:$D$59,D55,$C$2:$C$59,"&gt;0"))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IF(C56="","",(COUNTIFS($D$2:$D$59,D56,$C$2:$C$59,"&gt;0",$C$2:$C$59,"&lt;"&amp;C56)+(COUNTIFS($D$2:$D$59,D56,$C$2:$C$59,C56)+1)/2)/COUNTIFS($D$2:$D$59,D56,$C$2:$C$59,"&gt;0"))</f>
        <v/>
      </c>
      <c r="H56">
        <f>IF(G56="","",IF(G56&lt;=20%,"Q1 Cheapest",IF(G56&lt;=40%,"Q2",IF(G56&lt;=60%,"Q3",IF(G56&lt;=80%,"Q4","Q5 Most Expensive")))))</f>
        <v/>
      </c>
      <c r="I56" s="30" t="n"/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IF(C57="","",(COUNTIFS($D$2:$D$59,D57,$C$2:$C$59,"&gt;0",$C$2:$C$59,"&lt;"&amp;C57)+(COUNTIFS($D$2:$D$59,D57,$C$2:$C$59,C57)+1)/2)/COUNTIFS($D$2:$D$59,D57,$C$2:$C$59,"&gt;0"))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IF(C58="","",(COUNTIFS($D$2:$D$59,D58,$C$2:$C$59,"&gt;0",$C$2:$C$59,"&lt;"&amp;C58)+(COUNTIFS($D$2:$D$59,D58,$C$2:$C$59,C58)+1)/2)/COUNTIFS($D$2:$D$59,D58,$C$2:$C$59,"&gt;0"))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IF(C59="","",(COUNTIFS($D$2:$D$59,D59,$C$2:$C$59,"&gt;0",$C$2:$C$59,"&lt;"&amp;C59)+(COUNTIFS($D$2:$D$59,D59,$C$2:$C$59,C59)+1)/2)/COUNTIFS($D$2:$D$59,D59,$C$2:$C$59,"&gt;0"))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Midcap 50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2026-09-23T03:45:19Z</dcterms:modified>
</cp:coreProperties>
</file>