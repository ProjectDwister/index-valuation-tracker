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midcap5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1" customWidth="1" min="5" max="5"/>
    <col width="21" customWidth="1" min="6" max="6"/>
    <col width="19" customWidth="1" min="7" max="7"/>
  </cols>
  <sheetData>
    <row r="1" ht="26" customHeight="1">
      <c r="A1" s="1" t="inlineStr">
        <is>
          <t>NIFTY Midcap 50 Valuation Tracker</t>
        </is>
      </c>
    </row>
    <row r="2">
      <c r="A2" s="2" t="inlineStr">
        <is>
          <t>As of</t>
        </is>
      </c>
      <c r="B2" s="23" t="n">
        <v>46316</v>
      </c>
      <c r="D2" s="2" t="inlineStr">
        <is>
          <t>Group</t>
        </is>
      </c>
      <c r="E2" s="4" t="inlineStr">
        <is>
          <t>Broad Market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16500.2</v>
      </c>
      <c r="D5" s="2" t="inlineStr">
        <is>
          <t>P/E</t>
        </is>
      </c>
      <c r="E5" s="25" t="n">
        <v>28.91</v>
      </c>
    </row>
    <row r="6">
      <c r="A6" s="2" t="inlineStr">
        <is>
          <t>P/E percentile</t>
        </is>
      </c>
      <c r="B6" s="26" t="n">
        <v>0.4402985074626866</v>
      </c>
      <c r="D6" s="2" t="inlineStr">
        <is>
          <t>Implied EPS</t>
        </is>
      </c>
      <c r="E6" s="27" t="n">
        <v>570.7436873054306</v>
      </c>
    </row>
    <row r="7">
      <c r="A7" s="2" t="inlineStr">
        <is>
          <t>YoY implied EPS growth</t>
        </is>
      </c>
      <c r="B7" s="26" t="n">
        <v>0.1995826105460499</v>
      </c>
      <c r="D7" s="2" t="inlineStr">
        <is>
          <t>Earnings yield</t>
        </is>
      </c>
      <c r="E7" s="10" t="n">
        <v>0.03459010722933241</v>
      </c>
    </row>
    <row r="8">
      <c r="A8" s="2" t="inlineStr">
        <is>
          <t>Valuation score</t>
        </is>
      </c>
      <c r="B8" s="28" t="n">
        <v>55.97014925373134</v>
      </c>
      <c r="D8" s="2" t="inlineStr">
        <is>
          <t>Growth score</t>
        </is>
      </c>
      <c r="E8" s="28" t="n">
        <v>89.91652210920998</v>
      </c>
    </row>
    <row r="9">
      <c r="A9" s="2" t="inlineStr">
        <is>
          <t>Composite score</t>
        </is>
      </c>
      <c r="B9" s="28" t="n">
        <v>66.15406111037493</v>
      </c>
      <c r="D9" s="2" t="inlineStr">
        <is>
          <t>Signal</t>
        </is>
      </c>
      <c r="E9" s="12" t="inlineStr">
        <is>
          <t>HOLD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26.19018531878571</v>
      </c>
      <c r="C13" s="15" t="n">
        <v>14947.88294005631</v>
      </c>
      <c r="D13" s="30" t="n">
        <v>-0.09407868146711496</v>
      </c>
    </row>
    <row r="14">
      <c r="A14" t="inlineStr">
        <is>
          <t>HOLD → SELL</t>
        </is>
      </c>
      <c r="B14" s="29" t="n">
        <v>38.86454324056002</v>
      </c>
      <c r="C14" s="15" t="n">
        <v>22181.69271455857</v>
      </c>
      <c r="D14" s="30" t="n">
        <v>0.344328718109997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10</v>
      </c>
      <c r="C18" s="30" t="n">
        <v>0.3905951766518958</v>
      </c>
      <c r="D18" s="30" t="n">
        <v>0.2115207044287035</v>
      </c>
      <c r="E18" s="30" t="n">
        <v>0.1805472301841492</v>
      </c>
      <c r="F18" s="30" t="n">
        <v>0.184129263461102</v>
      </c>
      <c r="G18" s="30" t="n">
        <v>0</v>
      </c>
    </row>
    <row r="19">
      <c r="A19" t="inlineStr">
        <is>
          <t>Q2</t>
        </is>
      </c>
      <c r="B19" t="n">
        <v>12</v>
      </c>
      <c r="C19" s="30" t="n">
        <v>0.0375650929609006</v>
      </c>
      <c r="D19" s="30" t="n">
        <v>0.1641163300520954</v>
      </c>
      <c r="E19" s="30" t="n">
        <v>0.07036659518783939</v>
      </c>
      <c r="F19" s="30" t="n">
        <v>0.1630328647790763</v>
      </c>
      <c r="G19" s="30" t="n">
        <v>0</v>
      </c>
    </row>
    <row r="20">
      <c r="A20" t="inlineStr">
        <is>
          <t>Q3</t>
        </is>
      </c>
      <c r="B20" t="n">
        <v>11</v>
      </c>
      <c r="C20" s="30" t="n">
        <v>0.06719038760344531</v>
      </c>
      <c r="D20" s="30" t="n">
        <v>0.151179001200638</v>
      </c>
      <c r="E20" s="30" t="n">
        <v>0.1496483806058929</v>
      </c>
      <c r="F20" s="30" t="n">
        <v>0.1669110499029909</v>
      </c>
      <c r="G20" s="30" t="n">
        <v>0</v>
      </c>
    </row>
    <row r="21">
      <c r="A21" t="inlineStr">
        <is>
          <t>Q4</t>
        </is>
      </c>
      <c r="B21" t="n">
        <v>12</v>
      </c>
      <c r="C21" s="30" t="n">
        <v>0.06793808872778362</v>
      </c>
      <c r="D21" s="30" t="n">
        <v>0.1307418222863642</v>
      </c>
      <c r="E21" s="30" t="n">
        <v>0.1616418994348091</v>
      </c>
      <c r="F21" s="30" t="n">
        <v>0.1662719807498725</v>
      </c>
      <c r="G21" s="30" t="n">
        <v>0.125</v>
      </c>
    </row>
    <row r="22">
      <c r="A22" t="inlineStr">
        <is>
          <t>Q5 Most Expensive</t>
        </is>
      </c>
      <c r="B22" t="n">
        <v>12</v>
      </c>
      <c r="C22" s="30" t="n">
        <v>0.03252753981787726</v>
      </c>
      <c r="D22" s="30" t="n">
        <v>0.1515295920381106</v>
      </c>
      <c r="E22" s="30" t="n">
        <v>0.1470358414538852</v>
      </c>
      <c r="F22" s="30" t="n"/>
      <c r="G22" s="30" t="n">
        <v>0.25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57</v>
      </c>
    </row>
    <row r="27">
      <c r="A27" s="2" t="inlineStr">
        <is>
          <t>Backtest start</t>
        </is>
      </c>
      <c r="B27" t="inlineStr">
        <is>
          <t>2012-03-31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6725.2</v>
      </c>
      <c r="C2" s="25" t="n">
        <v>47.88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7205.85</v>
      </c>
      <c r="C3" s="25" t="n">
        <v>38.01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7474.8</v>
      </c>
      <c r="C4" s="25" t="n">
        <v>32.39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7658.4</v>
      </c>
      <c r="C5" s="25" t="n">
        <v>31.98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7502.95</v>
      </c>
      <c r="C6" s="25" t="n">
        <v>21.79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8278.549999999999</v>
      </c>
      <c r="C7" s="25" t="n">
        <v>32.88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8513.5</v>
      </c>
      <c r="C8" s="25" t="n">
        <v>30.73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8186.3</v>
      </c>
      <c r="C9" s="25" t="n">
        <v>27.68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8410.75</v>
      </c>
      <c r="C10" s="25" t="n">
        <v>28.51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8395.4</v>
      </c>
      <c r="C11" s="25" t="n">
        <v>28.52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7810.45</v>
      </c>
      <c r="C12" s="25" t="n">
        <v>25.05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8183.75</v>
      </c>
      <c r="C13" s="25" t="n">
        <v>22.24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8168.85</v>
      </c>
      <c r="C14" s="25" t="n">
        <v>22.1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7783.4</v>
      </c>
      <c r="C15" s="25" t="n">
        <v>19.46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7297.65</v>
      </c>
      <c r="C16" s="25" t="n">
        <v>18.44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8170.8</v>
      </c>
      <c r="C17" s="25" t="n">
        <v>20.1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8556</v>
      </c>
      <c r="C18" s="25" t="n">
        <v>21.88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8332.700000000001</v>
      </c>
      <c r="C19" s="25" t="n">
        <v>21.71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8690.35</v>
      </c>
      <c r="C20" s="25" t="n">
        <v>21.75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8855.6</v>
      </c>
      <c r="C21" s="25" t="n">
        <v>24.65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8751.75</v>
      </c>
      <c r="C22" s="25" t="n">
        <v>24.3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8638</v>
      </c>
      <c r="C23" s="25" t="n">
        <v>23.22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8456.700000000001</v>
      </c>
      <c r="C24" s="25" t="n">
        <v>22.03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8466.799999999999</v>
      </c>
      <c r="C25" s="25" t="n">
        <v>21.63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8962.85</v>
      </c>
      <c r="C26" s="25" t="n">
        <v>22.89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9539.9</v>
      </c>
      <c r="C27" s="25" t="n">
        <v>22.71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10126.85</v>
      </c>
      <c r="C28" s="25" t="n">
        <v>24.03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10822.5</v>
      </c>
      <c r="C29" s="25" t="n">
        <v>24.49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11182.65</v>
      </c>
      <c r="C30" s="25" t="n">
        <v>20.76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11611.65</v>
      </c>
      <c r="C31" s="25" t="n">
        <v>21.99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11068.85</v>
      </c>
      <c r="C32" s="25" t="n">
        <v>20.64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12200.6</v>
      </c>
      <c r="C33" s="25" t="n">
        <v>19.73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13144.95</v>
      </c>
      <c r="C34" s="25" t="n">
        <v>21.41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13620.6</v>
      </c>
      <c r="C35" s="25" t="n">
        <v>21.56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13745.85</v>
      </c>
      <c r="C36" s="25" t="n">
        <v>21.03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13526.5</v>
      </c>
      <c r="C37" s="25" t="n">
        <v>33.17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14161.9</v>
      </c>
      <c r="C38" s="25" t="n">
        <v>34.31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14443.45</v>
      </c>
      <c r="C39" s="25" t="n">
        <v>41.41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15711.15</v>
      </c>
      <c r="C40" s="25" t="n">
        <v>44.27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16661.65</v>
      </c>
      <c r="C41" s="25" t="n">
        <v>49.81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16618.8</v>
      </c>
      <c r="C42" s="25" t="n">
        <v>47.82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16883.35</v>
      </c>
      <c r="C43" s="25" t="n">
        <v>50.95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15539.6</v>
      </c>
      <c r="C44" s="25" t="n">
        <v>48.4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15697.75</v>
      </c>
      <c r="C45" s="25" t="n">
        <v>47.49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15974.1</v>
      </c>
      <c r="C46" s="25" t="n">
        <v>50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14948.1</v>
      </c>
      <c r="C47" s="25" t="n">
        <v>42.94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13540.15</v>
      </c>
      <c r="C48" s="25" t="n">
        <v>37.29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14561.6</v>
      </c>
      <c r="C49" s="25" t="n">
        <v>39.22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15314.1</v>
      </c>
      <c r="C50" s="25" t="n">
        <v>38.62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15998.9</v>
      </c>
      <c r="C51" s="25" t="n">
        <v>38.96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16846.2</v>
      </c>
      <c r="C52" s="25" t="n">
        <v>40.48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16212.45</v>
      </c>
      <c r="C53" s="25" t="n">
        <v>37.97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15714.75</v>
      </c>
      <c r="C54" s="25" t="n">
        <v>35.32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15945.4</v>
      </c>
      <c r="C55" s="25" t="n">
        <v>32.97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17006.3</v>
      </c>
      <c r="C56" s="25" t="n">
        <v>34.48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17423.05</v>
      </c>
      <c r="C57" s="25" t="n">
        <v>33.92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17254.05</v>
      </c>
      <c r="C58" s="25" t="n">
        <v>33.72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16693.25</v>
      </c>
      <c r="C59" s="25" t="n">
        <v>32.32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16765.6</v>
      </c>
      <c r="C60" s="25" t="n">
        <v>32.33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14983.35</v>
      </c>
      <c r="C61" s="25" t="n">
        <v>32.13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16882.5</v>
      </c>
      <c r="C62" s="25" t="n">
        <v>34.17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17490.55</v>
      </c>
      <c r="C63" s="25" t="n">
        <v>32.84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17594.9</v>
      </c>
      <c r="C64" s="25" t="n">
        <v>32.87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18105.85</v>
      </c>
      <c r="C65" s="25" t="n">
        <v>36.6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18491.45</v>
      </c>
      <c r="C66" s="25" t="n">
        <v>36.37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17028.7</v>
      </c>
      <c r="C67" s="25" t="n">
        <v>30.14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3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40999</v>
      </c>
      <c r="B2" s="24" t="n">
        <v>2301</v>
      </c>
      <c r="C2" s="25" t="n">
        <v>18.3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IF(C2="","",(COUNTIFS($D$2:$D$60,D2,$C$2:$C$60,"&gt;0",$C$2:$C$60,"&lt;"&amp;C2)+(COUNTIFS($D$2:$D$60,D2,$C$2:$C$60,C2)+1)/2)/COUNTIFS($D$2:$D$60,D2,$C$2:$C$60,"&gt;0"))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41090</v>
      </c>
      <c r="B3" s="24" t="n">
        <v>2137</v>
      </c>
      <c r="C3" s="25" t="n">
        <v>13.17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IF(C3="","",(COUNTIFS($D$2:$D$60,D3,$C$2:$C$60,"&gt;0",$C$2:$C$60,"&lt;"&amp;C3)+(COUNTIFS($D$2:$D$60,D3,$C$2:$C$60,C3)+1)/2)/COUNTIFS($D$2:$D$60,D3,$C$2:$C$60,"&gt;0"))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41182</v>
      </c>
      <c r="B4" s="24" t="n">
        <v>2252.45</v>
      </c>
      <c r="C4" s="25" t="n">
        <v>14.59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IF(C4="","",(COUNTIFS($D$2:$D$60,D4,$C$2:$C$60,"&gt;0",$C$2:$C$60,"&lt;"&amp;C4)+(COUNTIFS($D$2:$D$60,D4,$C$2:$C$60,C4)+1)/2)/COUNTIFS($D$2:$D$60,D4,$C$2:$C$60,"&gt;0"))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41274</v>
      </c>
      <c r="B5" s="24" t="n">
        <v>2369.5</v>
      </c>
      <c r="C5" s="25" t="n">
        <v>15.11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IF(C5="","",(COUNTIFS($D$2:$D$60,D5,$C$2:$C$60,"&gt;0",$C$2:$C$60,"&lt;"&amp;C5)+(COUNTIFS($D$2:$D$60,D5,$C$2:$C$60,C5)+1)/2)/COUNTIFS($D$2:$D$60,D5,$C$2:$C$60,"&gt;0"))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41364</v>
      </c>
      <c r="B6" s="24" t="n">
        <v>1933</v>
      </c>
      <c r="C6" s="25" t="n">
        <v>11.72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IF(C6="","",(COUNTIFS($D$2:$D$60,D6,$C$2:$C$60,"&gt;0",$C$2:$C$60,"&lt;"&amp;C6)+(COUNTIFS($D$2:$D$60,D6,$C$2:$C$60,C6)+1)/2)/COUNTIFS($D$2:$D$60,D6,$C$2:$C$60,"&gt;0"))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>
        <f>IFERROR((B46/B6)^(1/10)-1,"")</f>
        <v/>
      </c>
    </row>
    <row r="7">
      <c r="A7" s="31" t="n">
        <v>41455</v>
      </c>
      <c r="B7" s="24" t="n">
        <v>1891.65</v>
      </c>
      <c r="C7" s="25" t="n">
        <v>12.38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IF(C7="","",(COUNTIFS($D$2:$D$60,D7,$C$2:$C$60,"&gt;0",$C$2:$C$60,"&lt;"&amp;C7)+(COUNTIFS($D$2:$D$60,D7,$C$2:$C$60,C7)+1)/2)/COUNTIFS($D$2:$D$60,D7,$C$2:$C$60,"&gt;0"))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>
        <f>IFERROR((B47/B7)^(1/10)-1,"")</f>
        <v/>
      </c>
    </row>
    <row r="8">
      <c r="A8" s="31" t="n">
        <v>41547</v>
      </c>
      <c r="B8" s="24" t="n">
        <v>1884.35</v>
      </c>
      <c r="C8" s="25" t="n">
        <v>9.449999999999999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IF(C8="","",(COUNTIFS($D$2:$D$60,D8,$C$2:$C$60,"&gt;0",$C$2:$C$60,"&lt;"&amp;C8)+(COUNTIFS($D$2:$D$60,D8,$C$2:$C$60,C8)+1)/2)/COUNTIFS($D$2:$D$60,D8,$C$2:$C$60,"&gt;0"))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>
        <f>IFERROR((B48/B8)^(1/10)-1,"")</f>
        <v/>
      </c>
    </row>
    <row r="9">
      <c r="A9" s="31" t="n">
        <v>41639</v>
      </c>
      <c r="B9" s="24" t="n">
        <v>2302.75</v>
      </c>
      <c r="C9" s="25" t="n">
        <v>12.86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IF(C9="","",(COUNTIFS($D$2:$D$60,D9,$C$2:$C$60,"&gt;0",$C$2:$C$60,"&lt;"&amp;C9)+(COUNTIFS($D$2:$D$60,D9,$C$2:$C$60,C9)+1)/2)/COUNTIFS($D$2:$D$60,D9,$C$2:$C$60,"&gt;0"))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>
        <f>IFERROR((B49/B9)^(1/10)-1,"")</f>
        <v/>
      </c>
    </row>
    <row r="10">
      <c r="A10" s="31" t="n">
        <v>41729</v>
      </c>
      <c r="B10" s="24" t="n">
        <v>2465.15</v>
      </c>
      <c r="C10" s="25" t="n">
        <v>12.89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IF(C10="","",(COUNTIFS($D$2:$D$60,D10,$C$2:$C$60,"&gt;0",$C$2:$C$60,"&lt;"&amp;C10)+(COUNTIFS($D$2:$D$60,D10,$C$2:$C$60,C10)+1)/2)/COUNTIFS($D$2:$D$60,D10,$C$2:$C$60,"&gt;0"))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>
        <f>IFERROR((B50/B10)^(1/10)-1,"")</f>
        <v/>
      </c>
    </row>
    <row r="11">
      <c r="A11" s="31" t="n">
        <v>41820</v>
      </c>
      <c r="B11" s="24" t="n">
        <v>3380.25</v>
      </c>
      <c r="C11" s="25" t="n">
        <v>18.82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IF(C11="","",(COUNTIFS($D$2:$D$60,D11,$C$2:$C$60,"&gt;0",$C$2:$C$60,"&lt;"&amp;C11)+(COUNTIFS($D$2:$D$60,D11,$C$2:$C$60,C11)+1)/2)/COUNTIFS($D$2:$D$60,D11,$C$2:$C$60,"&gt;0"))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>
        <f>IFERROR((B51/B11)^(1/10)-1,"")</f>
        <v/>
      </c>
    </row>
    <row r="12">
      <c r="A12" s="31" t="n">
        <v>41912</v>
      </c>
      <c r="B12" s="24" t="n">
        <v>3127.5</v>
      </c>
      <c r="C12" s="25" t="n">
        <v>16.11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IF(C12="","",(COUNTIFS($D$2:$D$60,D12,$C$2:$C$60,"&gt;0",$C$2:$C$60,"&lt;"&amp;C12)+(COUNTIFS($D$2:$D$60,D12,$C$2:$C$60,C12)+1)/2)/COUNTIFS($D$2:$D$60,D12,$C$2:$C$60,"&gt;0"))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>
        <f>IFERROR((B52/B12)^(1/10)-1,"")</f>
        <v/>
      </c>
    </row>
    <row r="13">
      <c r="A13" s="31" t="n">
        <v>42004</v>
      </c>
      <c r="B13" s="24" t="n">
        <v>3363.45</v>
      </c>
      <c r="C13" s="25" t="n">
        <v>16.34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IF(C13="","",(COUNTIFS($D$2:$D$60,D13,$C$2:$C$60,"&gt;0",$C$2:$C$60,"&lt;"&amp;C13)+(COUNTIFS($D$2:$D$60,D13,$C$2:$C$60,C13)+1)/2)/COUNTIFS($D$2:$D$60,D13,$C$2:$C$60,"&gt;0"))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>
        <f>IFERROR((B53/B13)^(1/10)-1,"")</f>
        <v/>
      </c>
    </row>
    <row r="14">
      <c r="A14" s="31" t="n">
        <v>42094</v>
      </c>
      <c r="B14" s="24" t="n">
        <v>3373.65</v>
      </c>
      <c r="C14" s="25" t="n">
        <v>14.42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IF(C14="","",(COUNTIFS($D$2:$D$60,D14,$C$2:$C$60,"&gt;0",$C$2:$C$60,"&lt;"&amp;C14)+(COUNTIFS($D$2:$D$60,D14,$C$2:$C$60,C14)+1)/2)/COUNTIFS($D$2:$D$60,D14,$C$2:$C$60,"&gt;0"))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>
        <f>IFERROR((B54/B14)^(1/10)-1,"")</f>
        <v/>
      </c>
    </row>
    <row r="15">
      <c r="A15" s="31" t="n">
        <v>42185</v>
      </c>
      <c r="B15" s="24" t="n">
        <v>3212.45</v>
      </c>
      <c r="C15" s="25" t="n">
        <v>15.53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IF(C15="","",(COUNTIFS($D$2:$D$60,D15,$C$2:$C$60,"&gt;0",$C$2:$C$60,"&lt;"&amp;C15)+(COUNTIFS($D$2:$D$60,D15,$C$2:$C$60,C15)+1)/2)/COUNTIFS($D$2:$D$60,D15,$C$2:$C$60,"&gt;0"))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>
        <f>IFERROR((B55/B15)^(1/10)-1,"")</f>
        <v/>
      </c>
    </row>
    <row r="16">
      <c r="A16" s="31" t="n">
        <v>42277</v>
      </c>
      <c r="B16" s="24" t="n">
        <v>3201.35</v>
      </c>
      <c r="C16" s="25" t="n">
        <v>18.4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IF(C16="","",(COUNTIFS($D$2:$D$60,D16,$C$2:$C$60,"&gt;0",$C$2:$C$60,"&lt;"&amp;C16)+(COUNTIFS($D$2:$D$60,D16,$C$2:$C$60,C16)+1)/2)/COUNTIFS($D$2:$D$60,D16,$C$2:$C$60,"&gt;0"))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>
        <f>IFERROR((B56/B16)^(1/10)-1,"")</f>
        <v/>
      </c>
    </row>
    <row r="17">
      <c r="A17" s="31" t="n">
        <v>42369</v>
      </c>
      <c r="B17" s="24" t="n">
        <v>3415.2</v>
      </c>
      <c r="C17" s="25" t="n">
        <v>21.84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IF(C17="","",(COUNTIFS($D$2:$D$60,D17,$C$2:$C$60,"&gt;0",$C$2:$C$60,"&lt;"&amp;C17)+(COUNTIFS($D$2:$D$60,D17,$C$2:$C$60,C17)+1)/2)/COUNTIFS($D$2:$D$60,D17,$C$2:$C$60,"&gt;0"))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>
        <f>IFERROR((B57/B17)^(1/10)-1,"")</f>
        <v/>
      </c>
    </row>
    <row r="18">
      <c r="A18" s="31" t="n">
        <v>42460</v>
      </c>
      <c r="B18" s="24" t="n">
        <v>3200.6</v>
      </c>
      <c r="C18" s="25" t="n">
        <v>26.86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IF(C18="","",(COUNTIFS($D$2:$D$60,D18,$C$2:$C$60,"&gt;0",$C$2:$C$60,"&lt;"&amp;C18)+(COUNTIFS($D$2:$D$60,D18,$C$2:$C$60,C18)+1)/2)/COUNTIFS($D$2:$D$60,D18,$C$2:$C$60,"&gt;0"))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>
        <f>IFERROR((B58/B18)^(1/10)-1,"")</f>
        <v/>
      </c>
    </row>
    <row r="19">
      <c r="A19" s="31" t="n">
        <v>42551</v>
      </c>
      <c r="B19" s="24" t="n">
        <v>3492.9</v>
      </c>
      <c r="C19" s="25" t="n">
        <v>49.2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IF(C19="","",(COUNTIFS($D$2:$D$60,D19,$C$2:$C$60,"&gt;0",$C$2:$C$60,"&lt;"&amp;C19)+(COUNTIFS($D$2:$D$60,D19,$C$2:$C$60,C19)+1)/2)/COUNTIFS($D$2:$D$60,D19,$C$2:$C$60,"&gt;0"))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>
        <f>IFERROR((B59/B19)^(1/10)-1,"")</f>
        <v/>
      </c>
    </row>
    <row r="20">
      <c r="A20" s="31" t="n">
        <v>42643</v>
      </c>
      <c r="B20" s="24" t="n">
        <v>3959.65</v>
      </c>
      <c r="C20" s="25" t="n">
        <v>41.99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IF(C20="","",(COUNTIFS($D$2:$D$60,D20,$C$2:$C$60,"&gt;0",$C$2:$C$60,"&lt;"&amp;C20)+(COUNTIFS($D$2:$D$60,D20,$C$2:$C$60,C20)+1)/2)/COUNTIFS($D$2:$D$60,D20,$C$2:$C$60,"&gt;0"))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>
        <f>IFERROR((B60/B20)^(1/10)-1,"")</f>
        <v/>
      </c>
    </row>
    <row r="21">
      <c r="A21" s="31" t="n">
        <v>42735</v>
      </c>
      <c r="B21" s="24" t="n">
        <v>3662.3</v>
      </c>
      <c r="C21" s="25" t="n">
        <v>32.65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IF(C21="","",(COUNTIFS($D$2:$D$60,D21,$C$2:$C$60,"&gt;0",$C$2:$C$60,"&lt;"&amp;C21)+(COUNTIFS($D$2:$D$60,D21,$C$2:$C$60,C21)+1)/2)/COUNTIFS($D$2:$D$60,D21,$C$2:$C$60,"&gt;0"))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42825</v>
      </c>
      <c r="B22" s="24" t="n">
        <v>4383.65</v>
      </c>
      <c r="C22" s="25" t="n">
        <v>49.78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IF(C22="","",(COUNTIFS($D$2:$D$60,D22,$C$2:$C$60,"&gt;0",$C$2:$C$60,"&lt;"&amp;C22)+(COUNTIFS($D$2:$D$60,D22,$C$2:$C$60,C22)+1)/2)/COUNTIFS($D$2:$D$60,D22,$C$2:$C$60,"&gt;0"))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42916</v>
      </c>
      <c r="B23" s="24" t="n">
        <v>4519.75</v>
      </c>
      <c r="C23" s="25" t="n">
        <v>62.93</v>
      </c>
      <c r="D23" s="2" t="inlineStr">
        <is>
          <t>Standalone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IF(C23="","",(COUNTIFS($D$2:$D$60,D23,$C$2:$C$60,"&gt;0",$C$2:$C$60,"&lt;"&amp;C23)+(COUNTIFS($D$2:$D$60,D23,$C$2:$C$60,C23)+1)/2)/COUNTIFS($D$2:$D$60,D23,$C$2:$C$60,"&gt;0"))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43008</v>
      </c>
      <c r="B24" s="24" t="n">
        <v>4687.5</v>
      </c>
      <c r="C24" s="25" t="n">
        <v>83.47</v>
      </c>
      <c r="D24" s="2" t="inlineStr">
        <is>
          <t>Standalone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IF(C24="","",(COUNTIFS($D$2:$D$60,D24,$C$2:$C$60,"&gt;0",$C$2:$C$60,"&lt;"&amp;C24)+(COUNTIFS($D$2:$D$60,D24,$C$2:$C$60,C24)+1)/2)/COUNTIFS($D$2:$D$60,D24,$C$2:$C$60,"&gt;0"))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43100</v>
      </c>
      <c r="B25" s="24" t="n">
        <v>5540.15</v>
      </c>
      <c r="C25" s="25" t="n">
        <v>97.06</v>
      </c>
      <c r="D25" s="2" t="inlineStr">
        <is>
          <t>Standalone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IF(C25="","",(COUNTIFS($D$2:$D$60,D25,$C$2:$C$60,"&gt;0",$C$2:$C$60,"&lt;"&amp;C25)+(COUNTIFS($D$2:$D$60,D25,$C$2:$C$60,C25)+1)/2)/COUNTIFS($D$2:$D$60,D25,$C$2:$C$60,"&gt;0"))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43190</v>
      </c>
      <c r="B26" s="24" t="n">
        <v>4975.3</v>
      </c>
      <c r="C26" s="25" t="n">
        <v>91.53</v>
      </c>
      <c r="D26" s="2" t="inlineStr">
        <is>
          <t>Standalone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IF(C26="","",(COUNTIFS($D$2:$D$60,D26,$C$2:$C$60,"&gt;0",$C$2:$C$60,"&lt;"&amp;C26)+(COUNTIFS($D$2:$D$60,D26,$C$2:$C$60,C26)+1)/2)/COUNTIFS($D$2:$D$60,D26,$C$2:$C$60,"&gt;0"))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>
        <f>IFERROR((B46/B26)^(1/5)-1,"")</f>
        <v/>
      </c>
      <c r="L26" s="30" t="n"/>
    </row>
    <row r="27">
      <c r="A27" s="31" t="n">
        <v>43281</v>
      </c>
      <c r="B27" s="24" t="n">
        <v>4850.7</v>
      </c>
      <c r="C27" s="25" t="n">
        <v>50.03</v>
      </c>
      <c r="D27" s="2" t="inlineStr">
        <is>
          <t>Standalone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IF(C27="","",(COUNTIFS($D$2:$D$60,D27,$C$2:$C$60,"&gt;0",$C$2:$C$60,"&lt;"&amp;C27)+(COUNTIFS($D$2:$D$60,D27,$C$2:$C$60,C27)+1)/2)/COUNTIFS($D$2:$D$60,D27,$C$2:$C$60,"&gt;0"))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>
        <f>IFERROR((B47/B27)^(1/5)-1,"")</f>
        <v/>
      </c>
      <c r="L27" s="30" t="n"/>
    </row>
    <row r="28">
      <c r="A28" s="31" t="n">
        <v>43373</v>
      </c>
      <c r="B28" s="24" t="n">
        <v>4622.85</v>
      </c>
      <c r="C28" s="25" t="n">
        <v>70.43000000000001</v>
      </c>
      <c r="D28" s="2" t="inlineStr">
        <is>
          <t>Standalone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IF(C28="","",(COUNTIFS($D$2:$D$60,D28,$C$2:$C$60,"&gt;0",$C$2:$C$60,"&lt;"&amp;C28)+(COUNTIFS($D$2:$D$60,D28,$C$2:$C$60,C28)+1)/2)/COUNTIFS($D$2:$D$60,D28,$C$2:$C$60,"&gt;0"))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>
        <f>IFERROR((B48/B28)^(1/5)-1,"")</f>
        <v/>
      </c>
      <c r="L28" s="30" t="n"/>
    </row>
    <row r="29">
      <c r="A29" s="31" t="n">
        <v>43465</v>
      </c>
      <c r="B29" s="24" t="n">
        <v>4930.95</v>
      </c>
      <c r="C29" s="25" t="n">
        <v>51.05</v>
      </c>
      <c r="D29" s="2" t="inlineStr">
        <is>
          <t>Standalone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IF(C29="","",(COUNTIFS($D$2:$D$60,D29,$C$2:$C$60,"&gt;0",$C$2:$C$60,"&lt;"&amp;C29)+(COUNTIFS($D$2:$D$60,D29,$C$2:$C$60,C29)+1)/2)/COUNTIFS($D$2:$D$60,D29,$C$2:$C$60,"&gt;0"))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>
        <f>IFERROR((B49/B29)^(1/5)-1,"")</f>
        <v/>
      </c>
      <c r="L29" s="30" t="n"/>
    </row>
    <row r="30">
      <c r="A30" s="31" t="n">
        <v>43555</v>
      </c>
      <c r="B30" s="24" t="n">
        <v>5077.85</v>
      </c>
      <c r="C30" s="25" t="n">
        <v>35.15</v>
      </c>
      <c r="D30" s="2" t="inlineStr">
        <is>
          <t>Standalone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IF(C30="","",(COUNTIFS($D$2:$D$60,D30,$C$2:$C$60,"&gt;0",$C$2:$C$60,"&lt;"&amp;C30)+(COUNTIFS($D$2:$D$60,D30,$C$2:$C$60,C30)+1)/2)/COUNTIFS($D$2:$D$60,D30,$C$2:$C$60,"&gt;0"))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>
        <f>IFERROR((B50/B30)^(1/5)-1,"")</f>
        <v/>
      </c>
      <c r="L30" s="30" t="n"/>
    </row>
    <row r="31">
      <c r="A31" s="31" t="n">
        <v>43646</v>
      </c>
      <c r="B31" s="24" t="n">
        <v>4872</v>
      </c>
      <c r="C31" s="25" t="n">
        <v>30.46</v>
      </c>
      <c r="D31" s="2" t="inlineStr">
        <is>
          <t>Standalone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IF(C31="","",(COUNTIFS($D$2:$D$60,D31,$C$2:$C$60,"&gt;0",$C$2:$C$60,"&lt;"&amp;C31)+(COUNTIFS($D$2:$D$60,D31,$C$2:$C$60,C31)+1)/2)/COUNTIFS($D$2:$D$60,D31,$C$2:$C$60,"&gt;0"))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>
        <f>IFERROR((B51/B31)^(1/5)-1,"")</f>
        <v/>
      </c>
      <c r="L31" s="30" t="n"/>
    </row>
    <row r="32">
      <c r="A32" s="31" t="n">
        <v>43738</v>
      </c>
      <c r="B32" s="24" t="n">
        <v>4394</v>
      </c>
      <c r="C32" s="25" t="n">
        <v>20.98</v>
      </c>
      <c r="D32" s="2" t="inlineStr">
        <is>
          <t>Standalone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IF(C32="","",(COUNTIFS($D$2:$D$60,D32,$C$2:$C$60,"&gt;0",$C$2:$C$60,"&lt;"&amp;C32)+(COUNTIFS($D$2:$D$60,D32,$C$2:$C$60,C32)+1)/2)/COUNTIFS($D$2:$D$60,D32,$C$2:$C$60,"&gt;0"))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>
        <f>IFERROR((B52/B32)^(1/5)-1,"")</f>
        <v/>
      </c>
      <c r="L32" s="30" t="n"/>
    </row>
    <row r="33">
      <c r="A33" s="31" t="n">
        <v>43830</v>
      </c>
      <c r="B33" s="24" t="n">
        <v>4701.1</v>
      </c>
      <c r="C33" s="25" t="n">
        <v>23.44</v>
      </c>
      <c r="D33" s="2" t="inlineStr">
        <is>
          <t>Standalone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IF(C33="","",(COUNTIFS($D$2:$D$60,D33,$C$2:$C$60,"&gt;0",$C$2:$C$60,"&lt;"&amp;C33)+(COUNTIFS($D$2:$D$60,D33,$C$2:$C$60,C33)+1)/2)/COUNTIFS($D$2:$D$60,D33,$C$2:$C$60,"&gt;0"))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>
        <f>IFERROR((B53/B33)^(1/5)-1,"")</f>
        <v/>
      </c>
      <c r="L33" s="30" t="n"/>
    </row>
    <row r="34">
      <c r="A34" s="31" t="n">
        <v>43921</v>
      </c>
      <c r="B34" s="24" t="n">
        <v>3180.6</v>
      </c>
      <c r="C34" s="25" t="n">
        <v>16.1</v>
      </c>
      <c r="D34" s="2" t="inlineStr">
        <is>
          <t>Standalone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IF(C34="","",(COUNTIFS($D$2:$D$60,D34,$C$2:$C$60,"&gt;0",$C$2:$C$60,"&lt;"&amp;C34)+(COUNTIFS($D$2:$D$60,D34,$C$2:$C$60,C34)+1)/2)/COUNTIFS($D$2:$D$60,D34,$C$2:$C$60,"&gt;0"))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>
        <f>IFERROR((B46/B34)^(1/3)-1,"")</f>
        <v/>
      </c>
      <c r="K34" s="30">
        <f>IFERROR((B54/B34)^(1/5)-1,"")</f>
        <v/>
      </c>
      <c r="L34" s="30" t="n"/>
    </row>
    <row r="35">
      <c r="A35" s="31" t="n">
        <v>44012</v>
      </c>
      <c r="B35" s="24" t="n">
        <v>4094.25</v>
      </c>
      <c r="C35" s="25" t="n"/>
      <c r="D35" s="2" t="inlineStr">
        <is>
          <t>Standalone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IF(C35="","",(COUNTIFS($D$2:$D$60,D35,$C$2:$C$60,"&gt;0",$C$2:$C$60,"&lt;"&amp;C35)+(COUNTIFS($D$2:$D$60,D35,$C$2:$C$60,C35)+1)/2)/COUNTIFS($D$2:$D$60,D35,$C$2:$C$60,"&gt;0"))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>
        <f>IFERROR((B47/B35)^(1/3)-1,"")</f>
        <v/>
      </c>
      <c r="K35" s="30">
        <f>IFERROR((B55/B35)^(1/5)-1,"")</f>
        <v/>
      </c>
      <c r="L35" s="30" t="n"/>
    </row>
    <row r="36">
      <c r="A36" s="31" t="n">
        <v>44104</v>
      </c>
      <c r="B36" s="24" t="n">
        <v>4666.55</v>
      </c>
      <c r="C36" s="25" t="n"/>
      <c r="D36" s="2" t="inlineStr">
        <is>
          <t>Standalone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IF(C36="","",(COUNTIFS($D$2:$D$60,D36,$C$2:$C$60,"&gt;0",$C$2:$C$60,"&lt;"&amp;C36)+(COUNTIFS($D$2:$D$60,D36,$C$2:$C$60,C36)+1)/2)/COUNTIFS($D$2:$D$60,D36,$C$2:$C$60,"&gt;0"))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>
        <f>IFERROR((B48/B36)^(1/3)-1,"")</f>
        <v/>
      </c>
      <c r="K36" s="30">
        <f>IFERROR((B56/B36)^(1/5)-1,"")</f>
        <v/>
      </c>
      <c r="L36" s="30" t="n"/>
    </row>
    <row r="37">
      <c r="A37" s="31" t="n">
        <v>44196</v>
      </c>
      <c r="B37" s="24" t="n">
        <v>5872.6</v>
      </c>
      <c r="C37" s="25" t="n">
        <v>186.09</v>
      </c>
      <c r="D37" s="2" t="inlineStr">
        <is>
          <t>Standalone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IF(C37="","",(COUNTIFS($D$2:$D$60,D37,$C$2:$C$60,"&gt;0",$C$2:$C$60,"&lt;"&amp;C37)+(COUNTIFS($D$2:$D$60,D37,$C$2:$C$60,C37)+1)/2)/COUNTIFS($D$2:$D$60,D37,$C$2:$C$60,"&gt;0"))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>
        <f>IFERROR((B49/B37)^(1/3)-1,"")</f>
        <v/>
      </c>
      <c r="K37" s="30">
        <f>IFERROR((B57/B37)^(1/5)-1,"")</f>
        <v/>
      </c>
      <c r="L37" s="30" t="n"/>
    </row>
    <row r="38">
      <c r="A38" s="31" t="n">
        <v>44286</v>
      </c>
      <c r="B38" s="24" t="n">
        <v>6772.1</v>
      </c>
      <c r="C38" s="25" t="n">
        <v>48.42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IF(C38="","",(COUNTIFS($D$2:$D$60,D38,$C$2:$C$60,"&gt;0",$C$2:$C$60,"&lt;"&amp;C38)+(COUNTIFS($D$2:$D$60,D38,$C$2:$C$60,C38)+1)/2)/COUNTIFS($D$2:$D$60,D38,$C$2:$C$60,"&gt;0"))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>
        <f>IFERROR((B50/B38)^(1/3)-1,"")</f>
        <v/>
      </c>
      <c r="K38" s="30">
        <f>IFERROR((B58/B38)^(1/5)-1,"")</f>
        <v/>
      </c>
      <c r="L38" s="30" t="n"/>
    </row>
    <row r="39">
      <c r="A39" s="31" t="n">
        <v>44377</v>
      </c>
      <c r="B39" s="24" t="n">
        <v>7474.8</v>
      </c>
      <c r="C39" s="25" t="n">
        <v>32.39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IF(C39="","",(COUNTIFS($D$2:$D$60,D39,$C$2:$C$60,"&gt;0",$C$2:$C$60,"&lt;"&amp;C39)+(COUNTIFS($D$2:$D$60,D39,$C$2:$C$60,C39)+1)/2)/COUNTIFS($D$2:$D$60,D39,$C$2:$C$60,"&gt;0"))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>
        <f>IFERROR((B51/B39)^(1/3)-1,"")</f>
        <v/>
      </c>
      <c r="K39" s="30">
        <f>IFERROR((B59/B39)^(1/5)-1,"")</f>
        <v/>
      </c>
      <c r="L39" s="30" t="n"/>
    </row>
    <row r="40">
      <c r="A40" s="31" t="n">
        <v>44469</v>
      </c>
      <c r="B40" s="24" t="n">
        <v>8278.549999999999</v>
      </c>
      <c r="C40" s="25" t="n">
        <v>32.88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IF(C40="","",(COUNTIFS($D$2:$D$60,D40,$C$2:$C$60,"&gt;0",$C$2:$C$60,"&lt;"&amp;C40)+(COUNTIFS($D$2:$D$60,D40,$C$2:$C$60,C40)+1)/2)/COUNTIFS($D$2:$D$60,D40,$C$2:$C$60,"&gt;0"))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>
        <f>IFERROR((B52/B40)^(1/3)-1,"")</f>
        <v/>
      </c>
      <c r="K40" s="30">
        <f>IFERROR((B60/B40)^(1/5)-1,"")</f>
        <v/>
      </c>
      <c r="L40" s="30" t="n"/>
    </row>
    <row r="41">
      <c r="A41" s="31" t="n">
        <v>44561</v>
      </c>
      <c r="B41" s="24" t="n">
        <v>8410.75</v>
      </c>
      <c r="C41" s="25" t="n">
        <v>28.51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IF(C41="","",(COUNTIFS($D$2:$D$60,D41,$C$2:$C$60,"&gt;0",$C$2:$C$60,"&lt;"&amp;C41)+(COUNTIFS($D$2:$D$60,D41,$C$2:$C$60,C41)+1)/2)/COUNTIFS($D$2:$D$60,D41,$C$2:$C$60,"&gt;0"))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>
        <f>IFERROR((B53/B41)^(1/3)-1,"")</f>
        <v/>
      </c>
      <c r="K41" s="30" t="n"/>
      <c r="L41" s="30" t="n"/>
    </row>
    <row r="42">
      <c r="A42" s="31" t="n">
        <v>44651</v>
      </c>
      <c r="B42" s="24" t="n">
        <v>8183.75</v>
      </c>
      <c r="C42" s="25" t="n">
        <v>22.24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IF(C42="","",(COUNTIFS($D$2:$D$60,D42,$C$2:$C$60,"&gt;0",$C$2:$C$60,"&lt;"&amp;C42)+(COUNTIFS($D$2:$D$60,D42,$C$2:$C$60,C42)+1)/2)/COUNTIFS($D$2:$D$60,D42,$C$2:$C$60,"&gt;0"))</f>
        <v/>
      </c>
      <c r="H42">
        <f>IF(G42="","",IF(G42&lt;=20%,"Q1 Cheapest",IF(G42&lt;=40%,"Q2",IF(G42&lt;=60%,"Q3",IF(G42&lt;=80%,"Q4","Q5 Most Expensive")))))</f>
        <v/>
      </c>
      <c r="I42" s="30">
        <f>IFERROR(B46/B42-1,"")</f>
        <v/>
      </c>
      <c r="J42" s="30">
        <f>IFERROR((B54/B42)^(1/3)-1,"")</f>
        <v/>
      </c>
      <c r="K42" s="30" t="n"/>
      <c r="L42" s="30" t="n"/>
    </row>
    <row r="43">
      <c r="A43" s="31" t="n">
        <v>44742</v>
      </c>
      <c r="B43" s="24" t="n">
        <v>7297.65</v>
      </c>
      <c r="C43" s="25" t="n">
        <v>18.44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IF(C43="","",(COUNTIFS($D$2:$D$60,D43,$C$2:$C$60,"&gt;0",$C$2:$C$60,"&lt;"&amp;C43)+(COUNTIFS($D$2:$D$60,D43,$C$2:$C$60,C43)+1)/2)/COUNTIFS($D$2:$D$60,D43,$C$2:$C$60,"&gt;0"))</f>
        <v/>
      </c>
      <c r="H43">
        <f>IF(G43="","",IF(G43&lt;=20%,"Q1 Cheapest",IF(G43&lt;=40%,"Q2",IF(G43&lt;=60%,"Q3",IF(G43&lt;=80%,"Q4","Q5 Most Expensive")))))</f>
        <v/>
      </c>
      <c r="I43" s="30">
        <f>IFERROR(B47/B43-1,"")</f>
        <v/>
      </c>
      <c r="J43" s="30">
        <f>IFERROR((B55/B43)^(1/3)-1,"")</f>
        <v/>
      </c>
      <c r="K43" s="30" t="n"/>
      <c r="L43" s="30" t="n"/>
    </row>
    <row r="44">
      <c r="A44" s="31" t="n">
        <v>44834</v>
      </c>
      <c r="B44" s="24" t="n">
        <v>8332.700000000001</v>
      </c>
      <c r="C44" s="25" t="n">
        <v>21.71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IF(C44="","",(COUNTIFS($D$2:$D$60,D44,$C$2:$C$60,"&gt;0",$C$2:$C$60,"&lt;"&amp;C44)+(COUNTIFS($D$2:$D$60,D44,$C$2:$C$60,C44)+1)/2)/COUNTIFS($D$2:$D$60,D44,$C$2:$C$60,"&gt;0"))</f>
        <v/>
      </c>
      <c r="H44">
        <f>IF(G44="","",IF(G44&lt;=20%,"Q1 Cheapest",IF(G44&lt;=40%,"Q2",IF(G44&lt;=60%,"Q3",IF(G44&lt;=80%,"Q4","Q5 Most Expensive")))))</f>
        <v/>
      </c>
      <c r="I44" s="30">
        <f>IFERROR(B48/B44-1,"")</f>
        <v/>
      </c>
      <c r="J44" s="30">
        <f>IFERROR((B56/B44)^(1/3)-1,"")</f>
        <v/>
      </c>
      <c r="K44" s="30" t="n"/>
      <c r="L44" s="30" t="n"/>
    </row>
    <row r="45">
      <c r="A45" s="31" t="n">
        <v>44926</v>
      </c>
      <c r="B45" s="24" t="n">
        <v>8751.75</v>
      </c>
      <c r="C45" s="25" t="n">
        <v>24.3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IF(C45="","",(COUNTIFS($D$2:$D$60,D45,$C$2:$C$60,"&gt;0",$C$2:$C$60,"&lt;"&amp;C45)+(COUNTIFS($D$2:$D$60,D45,$C$2:$C$60,C45)+1)/2)/COUNTIFS($D$2:$D$60,D45,$C$2:$C$60,"&gt;0"))</f>
        <v/>
      </c>
      <c r="H45">
        <f>IF(G45="","",IF(G45&lt;=20%,"Q1 Cheapest",IF(G45&lt;=40%,"Q2",IF(G45&lt;=60%,"Q3",IF(G45&lt;=80%,"Q4","Q5 Most Expensive")))))</f>
        <v/>
      </c>
      <c r="I45" s="30">
        <f>IFERROR(B49/B45-1,"")</f>
        <v/>
      </c>
      <c r="J45" s="30">
        <f>IFERROR((B57/B45)^(1/3)-1,"")</f>
        <v/>
      </c>
      <c r="K45" s="30" t="n"/>
      <c r="L45" s="30" t="n"/>
    </row>
    <row r="46">
      <c r="A46" s="31" t="n">
        <v>45016</v>
      </c>
      <c r="B46" s="24" t="n">
        <v>8466.799999999999</v>
      </c>
      <c r="C46" s="25" t="n">
        <v>21.63</v>
      </c>
      <c r="D46" s="2" t="inlineStr">
        <is>
          <t>Consolidated</t>
        </is>
      </c>
      <c r="E46" s="33">
        <f>IFERROR(B46/C46,"")</f>
        <v/>
      </c>
      <c r="F46" s="30">
        <f>IF(AND(D46=D42,E42&lt;&gt;""),E46/E42-1,"")</f>
        <v/>
      </c>
      <c r="G46" s="30">
        <f>IF(C46="","",(COUNTIFS($D$2:$D$60,D46,$C$2:$C$60,"&gt;0",$C$2:$C$60,"&lt;"&amp;C46)+(COUNTIFS($D$2:$D$60,D46,$C$2:$C$60,C46)+1)/2)/COUNTIFS($D$2:$D$60,D46,$C$2:$C$60,"&gt;0"))</f>
        <v/>
      </c>
      <c r="H46">
        <f>IF(G46="","",IF(G46&lt;=20%,"Q1 Cheapest",IF(G46&lt;=40%,"Q2",IF(G46&lt;=60%,"Q3",IF(G46&lt;=80%,"Q4","Q5 Most Expensive")))))</f>
        <v/>
      </c>
      <c r="I46" s="30">
        <f>IFERROR(B50/B46-1,"")</f>
        <v/>
      </c>
      <c r="J46" s="30">
        <f>IFERROR((B58/B46)^(1/3)-1,"")</f>
        <v/>
      </c>
      <c r="K46" s="30" t="n"/>
      <c r="L46" s="30" t="n"/>
    </row>
    <row r="47">
      <c r="A47" s="31" t="n">
        <v>45107</v>
      </c>
      <c r="B47" s="24" t="n">
        <v>10126.85</v>
      </c>
      <c r="C47" s="25" t="n">
        <v>24.03</v>
      </c>
      <c r="D47" s="2" t="inlineStr">
        <is>
          <t>Consolidated</t>
        </is>
      </c>
      <c r="E47" s="33">
        <f>IFERROR(B47/C47,"")</f>
        <v/>
      </c>
      <c r="F47" s="30">
        <f>IF(AND(D47=D43,E43&lt;&gt;""),E47/E43-1,"")</f>
        <v/>
      </c>
      <c r="G47" s="30">
        <f>IF(C47="","",(COUNTIFS($D$2:$D$60,D47,$C$2:$C$60,"&gt;0",$C$2:$C$60,"&lt;"&amp;C47)+(COUNTIFS($D$2:$D$60,D47,$C$2:$C$60,C47)+1)/2)/COUNTIFS($D$2:$D$60,D47,$C$2:$C$60,"&gt;0"))</f>
        <v/>
      </c>
      <c r="H47">
        <f>IF(G47="","",IF(G47&lt;=20%,"Q1 Cheapest",IF(G47&lt;=40%,"Q2",IF(G47&lt;=60%,"Q3",IF(G47&lt;=80%,"Q4","Q5 Most Expensive")))))</f>
        <v/>
      </c>
      <c r="I47" s="30">
        <f>IFERROR(B51/B47-1,"")</f>
        <v/>
      </c>
      <c r="J47" s="30">
        <f>IFERROR((B59/B47)^(1/3)-1,"")</f>
        <v/>
      </c>
      <c r="K47" s="30" t="n"/>
      <c r="L47" s="30" t="n"/>
    </row>
    <row r="48">
      <c r="A48" s="31" t="n">
        <v>45199</v>
      </c>
      <c r="B48" s="24" t="n">
        <v>11611.65</v>
      </c>
      <c r="C48" s="25" t="n">
        <v>21.99</v>
      </c>
      <c r="D48" s="2" t="inlineStr">
        <is>
          <t>Consolidated</t>
        </is>
      </c>
      <c r="E48" s="33">
        <f>IFERROR(B48/C48,"")</f>
        <v/>
      </c>
      <c r="F48" s="30">
        <f>IF(AND(D48=D44,E44&lt;&gt;""),E48/E44-1,"")</f>
        <v/>
      </c>
      <c r="G48" s="30">
        <f>IF(C48="","",(COUNTIFS($D$2:$D$60,D48,$C$2:$C$60,"&gt;0",$C$2:$C$60,"&lt;"&amp;C48)+(COUNTIFS($D$2:$D$60,D48,$C$2:$C$60,C48)+1)/2)/COUNTIFS($D$2:$D$60,D48,$C$2:$C$60,"&gt;0"))</f>
        <v/>
      </c>
      <c r="H48">
        <f>IF(G48="","",IF(G48&lt;=20%,"Q1 Cheapest",IF(G48&lt;=40%,"Q2",IF(G48&lt;=60%,"Q3",IF(G48&lt;=80%,"Q4","Q5 Most Expensive")))))</f>
        <v/>
      </c>
      <c r="I48" s="30">
        <f>IFERROR(B52/B48-1,"")</f>
        <v/>
      </c>
      <c r="J48" s="30">
        <f>IFERROR((B60/B48)^(1/3)-1,"")</f>
        <v/>
      </c>
      <c r="K48" s="30" t="n"/>
      <c r="L48" s="30" t="n"/>
    </row>
    <row r="49">
      <c r="A49" s="31" t="n">
        <v>45291</v>
      </c>
      <c r="B49" s="24" t="n">
        <v>13144.95</v>
      </c>
      <c r="C49" s="25" t="n">
        <v>21.41</v>
      </c>
      <c r="D49" s="2" t="inlineStr">
        <is>
          <t>Consolidated</t>
        </is>
      </c>
      <c r="E49" s="33">
        <f>IFERROR(B49/C49,"")</f>
        <v/>
      </c>
      <c r="F49" s="30">
        <f>IF(AND(D49=D45,E45&lt;&gt;""),E49/E45-1,"")</f>
        <v/>
      </c>
      <c r="G49" s="30">
        <f>IF(C49="","",(COUNTIFS($D$2:$D$60,D49,$C$2:$C$60,"&gt;0",$C$2:$C$60,"&lt;"&amp;C49)+(COUNTIFS($D$2:$D$60,D49,$C$2:$C$60,C49)+1)/2)/COUNTIFS($D$2:$D$60,D49,$C$2:$C$60,"&gt;0"))</f>
        <v/>
      </c>
      <c r="H49">
        <f>IF(G49="","",IF(G49&lt;=20%,"Q1 Cheapest",IF(G49&lt;=40%,"Q2",IF(G49&lt;=60%,"Q3",IF(G49&lt;=80%,"Q4","Q5 Most Expensive")))))</f>
        <v/>
      </c>
      <c r="I49" s="30">
        <f>IFERROR(B53/B49-1,"")</f>
        <v/>
      </c>
      <c r="J49" s="30" t="n"/>
      <c r="K49" s="30" t="n"/>
      <c r="L49" s="30" t="n"/>
    </row>
    <row r="50">
      <c r="A50" s="31" t="n">
        <v>45382</v>
      </c>
      <c r="B50" s="24" t="n">
        <v>13526.5</v>
      </c>
      <c r="C50" s="25" t="n">
        <v>33.17</v>
      </c>
      <c r="D50" s="2" t="inlineStr">
        <is>
          <t>Consolidated</t>
        </is>
      </c>
      <c r="E50" s="33">
        <f>IFERROR(B50/C50,"")</f>
        <v/>
      </c>
      <c r="F50" s="30">
        <f>IF(AND(D50=D46,E46&lt;&gt;""),E50/E46-1,"")</f>
        <v/>
      </c>
      <c r="G50" s="30">
        <f>IF(C50="","",(COUNTIFS($D$2:$D$60,D50,$C$2:$C$60,"&gt;0",$C$2:$C$60,"&lt;"&amp;C50)+(COUNTIFS($D$2:$D$60,D50,$C$2:$C$60,C50)+1)/2)/COUNTIFS($D$2:$D$60,D50,$C$2:$C$60,"&gt;0"))</f>
        <v/>
      </c>
      <c r="H50">
        <f>IF(G50="","",IF(G50&lt;=20%,"Q1 Cheapest",IF(G50&lt;=40%,"Q2",IF(G50&lt;=60%,"Q3",IF(G50&lt;=80%,"Q4","Q5 Most Expensive")))))</f>
        <v/>
      </c>
      <c r="I50" s="30">
        <f>IFERROR(B54/B50-1,"")</f>
        <v/>
      </c>
      <c r="J50" s="30" t="n"/>
      <c r="K50" s="30" t="n"/>
      <c r="L50" s="30" t="n"/>
    </row>
    <row r="51">
      <c r="A51" s="31" t="n">
        <v>45473</v>
      </c>
      <c r="B51" s="24" t="n">
        <v>15711.15</v>
      </c>
      <c r="C51" s="25" t="n">
        <v>44.27</v>
      </c>
      <c r="D51" s="2" t="inlineStr">
        <is>
          <t>Consolidated</t>
        </is>
      </c>
      <c r="E51" s="33">
        <f>IFERROR(B51/C51,"")</f>
        <v/>
      </c>
      <c r="F51" s="30">
        <f>IF(AND(D51=D47,E47&lt;&gt;""),E51/E47-1,"")</f>
        <v/>
      </c>
      <c r="G51" s="30">
        <f>IF(C51="","",(COUNTIFS($D$2:$D$60,D51,$C$2:$C$60,"&gt;0",$C$2:$C$60,"&lt;"&amp;C51)+(COUNTIFS($D$2:$D$60,D51,$C$2:$C$60,C51)+1)/2)/COUNTIFS($D$2:$D$60,D51,$C$2:$C$60,"&gt;0"))</f>
        <v/>
      </c>
      <c r="H51">
        <f>IF(G51="","",IF(G51&lt;=20%,"Q1 Cheapest",IF(G51&lt;=40%,"Q2",IF(G51&lt;=60%,"Q3",IF(G51&lt;=80%,"Q4","Q5 Most Expensive")))))</f>
        <v/>
      </c>
      <c r="I51" s="30">
        <f>IFERROR(B55/B51-1,"")</f>
        <v/>
      </c>
      <c r="J51" s="30" t="n"/>
      <c r="K51" s="30" t="n"/>
      <c r="L51" s="30" t="n"/>
    </row>
    <row r="52">
      <c r="A52" s="31" t="n">
        <v>45565</v>
      </c>
      <c r="B52" s="24" t="n">
        <v>16883.35</v>
      </c>
      <c r="C52" s="25" t="n">
        <v>50.95</v>
      </c>
      <c r="D52" s="2" t="inlineStr">
        <is>
          <t>Consolidated</t>
        </is>
      </c>
      <c r="E52" s="33">
        <f>IFERROR(B52/C52,"")</f>
        <v/>
      </c>
      <c r="F52" s="30">
        <f>IF(AND(D52=D48,E48&lt;&gt;""),E52/E48-1,"")</f>
        <v/>
      </c>
      <c r="G52" s="30">
        <f>IF(C52="","",(COUNTIFS($D$2:$D$60,D52,$C$2:$C$60,"&gt;0",$C$2:$C$60,"&lt;"&amp;C52)+(COUNTIFS($D$2:$D$60,D52,$C$2:$C$60,C52)+1)/2)/COUNTIFS($D$2:$D$60,D52,$C$2:$C$60,"&gt;0"))</f>
        <v/>
      </c>
      <c r="H52">
        <f>IF(G52="","",IF(G52&lt;=20%,"Q1 Cheapest",IF(G52&lt;=40%,"Q2",IF(G52&lt;=60%,"Q3",IF(G52&lt;=80%,"Q4","Q5 Most Expensive")))))</f>
        <v/>
      </c>
      <c r="I52" s="30">
        <f>IFERROR(B56/B52-1,"")</f>
        <v/>
      </c>
      <c r="J52" s="30" t="n"/>
      <c r="K52" s="30" t="n"/>
      <c r="L52" s="30" t="n"/>
    </row>
    <row r="53">
      <c r="A53" s="31" t="n">
        <v>45657</v>
      </c>
      <c r="B53" s="24" t="n">
        <v>15974.1</v>
      </c>
      <c r="C53" s="25" t="n">
        <v>50</v>
      </c>
      <c r="D53" s="2" t="inlineStr">
        <is>
          <t>Consolidated</t>
        </is>
      </c>
      <c r="E53" s="33">
        <f>IFERROR(B53/C53,"")</f>
        <v/>
      </c>
      <c r="F53" s="30">
        <f>IF(AND(D53=D49,E49&lt;&gt;""),E53/E49-1,"")</f>
        <v/>
      </c>
      <c r="G53" s="30">
        <f>IF(C53="","",(COUNTIFS($D$2:$D$60,D53,$C$2:$C$60,"&gt;0",$C$2:$C$60,"&lt;"&amp;C53)+(COUNTIFS($D$2:$D$60,D53,$C$2:$C$60,C53)+1)/2)/COUNTIFS($D$2:$D$60,D53,$C$2:$C$60,"&gt;0"))</f>
        <v/>
      </c>
      <c r="H53">
        <f>IF(G53="","",IF(G53&lt;=20%,"Q1 Cheapest",IF(G53&lt;=40%,"Q2",IF(G53&lt;=60%,"Q3",IF(G53&lt;=80%,"Q4","Q5 Most Expensive")))))</f>
        <v/>
      </c>
      <c r="I53" s="30">
        <f>IFERROR(B57/B53-1,"")</f>
        <v/>
      </c>
      <c r="J53" s="30" t="n"/>
      <c r="K53" s="30" t="n"/>
      <c r="L53" s="30" t="n"/>
    </row>
    <row r="54">
      <c r="A54" s="31" t="n">
        <v>45747</v>
      </c>
      <c r="B54" s="24" t="n">
        <v>14561.6</v>
      </c>
      <c r="C54" s="25" t="n">
        <v>39.22</v>
      </c>
      <c r="D54" s="2" t="inlineStr">
        <is>
          <t>Consolidated</t>
        </is>
      </c>
      <c r="E54" s="33">
        <f>IFERROR(B54/C54,"")</f>
        <v/>
      </c>
      <c r="F54" s="30">
        <f>IF(AND(D54=D50,E50&lt;&gt;""),E54/E50-1,"")</f>
        <v/>
      </c>
      <c r="G54" s="30">
        <f>IF(C54="","",(COUNTIFS($D$2:$D$60,D54,$C$2:$C$60,"&gt;0",$C$2:$C$60,"&lt;"&amp;C54)+(COUNTIFS($D$2:$D$60,D54,$C$2:$C$60,C54)+1)/2)/COUNTIFS($D$2:$D$60,D54,$C$2:$C$60,"&gt;0"))</f>
        <v/>
      </c>
      <c r="H54">
        <f>IF(G54="","",IF(G54&lt;=20%,"Q1 Cheapest",IF(G54&lt;=40%,"Q2",IF(G54&lt;=60%,"Q3",IF(G54&lt;=80%,"Q4","Q5 Most Expensive")))))</f>
        <v/>
      </c>
      <c r="I54" s="30">
        <f>IFERROR(B58/B54-1,"")</f>
        <v/>
      </c>
      <c r="J54" s="30" t="n"/>
      <c r="K54" s="30" t="n"/>
      <c r="L54" s="30" t="n"/>
    </row>
    <row r="55">
      <c r="A55" s="31" t="n">
        <v>45838</v>
      </c>
      <c r="B55" s="24" t="n">
        <v>16846.2</v>
      </c>
      <c r="C55" s="25" t="n">
        <v>40.48</v>
      </c>
      <c r="D55" s="2" t="inlineStr">
        <is>
          <t>Consolidated</t>
        </is>
      </c>
      <c r="E55" s="33">
        <f>IFERROR(B55/C55,"")</f>
        <v/>
      </c>
      <c r="F55" s="30">
        <f>IF(AND(D55=D51,E51&lt;&gt;""),E55/E51-1,"")</f>
        <v/>
      </c>
      <c r="G55" s="30">
        <f>IF(C55="","",(COUNTIFS($D$2:$D$60,D55,$C$2:$C$60,"&gt;0",$C$2:$C$60,"&lt;"&amp;C55)+(COUNTIFS($D$2:$D$60,D55,$C$2:$C$60,C55)+1)/2)/COUNTIFS($D$2:$D$60,D55,$C$2:$C$60,"&gt;0"))</f>
        <v/>
      </c>
      <c r="H55">
        <f>IF(G55="","",IF(G55&lt;=20%,"Q1 Cheapest",IF(G55&lt;=40%,"Q2",IF(G55&lt;=60%,"Q3",IF(G55&lt;=80%,"Q4","Q5 Most Expensive")))))</f>
        <v/>
      </c>
      <c r="I55" s="30">
        <f>IFERROR(B59/B55-1,"")</f>
        <v/>
      </c>
      <c r="J55" s="30" t="n"/>
      <c r="K55" s="30" t="n"/>
      <c r="L55" s="30" t="n"/>
    </row>
    <row r="56">
      <c r="A56" s="31" t="n">
        <v>45930</v>
      </c>
      <c r="B56" s="24" t="n">
        <v>15945.4</v>
      </c>
      <c r="C56" s="25" t="n">
        <v>32.97</v>
      </c>
      <c r="D56" s="2" t="inlineStr">
        <is>
          <t>Consolidated</t>
        </is>
      </c>
      <c r="E56" s="33">
        <f>IFERROR(B56/C56,"")</f>
        <v/>
      </c>
      <c r="F56" s="30">
        <f>IF(AND(D56=D52,E52&lt;&gt;""),E56/E52-1,"")</f>
        <v/>
      </c>
      <c r="G56" s="30">
        <f>IF(C56="","",(COUNTIFS($D$2:$D$60,D56,$C$2:$C$60,"&gt;0",$C$2:$C$60,"&lt;"&amp;C56)+(COUNTIFS($D$2:$D$60,D56,$C$2:$C$60,C56)+1)/2)/COUNTIFS($D$2:$D$60,D56,$C$2:$C$60,"&gt;0"))</f>
        <v/>
      </c>
      <c r="H56">
        <f>IF(G56="","",IF(G56&lt;=20%,"Q1 Cheapest",IF(G56&lt;=40%,"Q2",IF(G56&lt;=60%,"Q3",IF(G56&lt;=80%,"Q4","Q5 Most Expensive")))))</f>
        <v/>
      </c>
      <c r="I56" s="30">
        <f>IFERROR(B60/B56-1,"")</f>
        <v/>
      </c>
      <c r="J56" s="30" t="n"/>
      <c r="K56" s="30" t="n"/>
      <c r="L56" s="30" t="n"/>
    </row>
    <row r="57">
      <c r="A57" s="31" t="n">
        <v>46022</v>
      </c>
      <c r="B57" s="24" t="n">
        <v>17254.05</v>
      </c>
      <c r="C57" s="25" t="n">
        <v>33.72</v>
      </c>
      <c r="D57" s="2" t="inlineStr">
        <is>
          <t>Consolidated</t>
        </is>
      </c>
      <c r="E57" s="33">
        <f>IFERROR(B57/C57,"")</f>
        <v/>
      </c>
      <c r="F57" s="30">
        <f>IF(AND(D57=D53,E53&lt;&gt;""),E57/E53-1,"")</f>
        <v/>
      </c>
      <c r="G57" s="30">
        <f>IF(C57="","",(COUNTIFS($D$2:$D$60,D57,$C$2:$C$60,"&gt;0",$C$2:$C$60,"&lt;"&amp;C57)+(COUNTIFS($D$2:$D$60,D57,$C$2:$C$60,C57)+1)/2)/COUNTIFS($D$2:$D$60,D57,$C$2:$C$60,"&gt;0"))</f>
        <v/>
      </c>
      <c r="H57">
        <f>IF(G57="","",IF(G57&lt;=20%,"Q1 Cheapest",IF(G57&lt;=40%,"Q2",IF(G57&lt;=60%,"Q3",IF(G57&lt;=80%,"Q4","Q5 Most Expensive")))))</f>
        <v/>
      </c>
      <c r="I57" s="30" t="n"/>
      <c r="J57" s="30" t="n"/>
      <c r="K57" s="30" t="n"/>
      <c r="L57" s="30" t="n"/>
    </row>
    <row r="58">
      <c r="A58" s="31" t="n">
        <v>46112</v>
      </c>
      <c r="B58" s="24" t="n">
        <v>14983.35</v>
      </c>
      <c r="C58" s="25" t="n">
        <v>32.13</v>
      </c>
      <c r="D58" s="2" t="inlineStr">
        <is>
          <t>Consolidated</t>
        </is>
      </c>
      <c r="E58" s="33">
        <f>IFERROR(B58/C58,"")</f>
        <v/>
      </c>
      <c r="F58" s="30">
        <f>IF(AND(D58=D54,E54&lt;&gt;""),E58/E54-1,"")</f>
        <v/>
      </c>
      <c r="G58" s="30">
        <f>IF(C58="","",(COUNTIFS($D$2:$D$60,D58,$C$2:$C$60,"&gt;0",$C$2:$C$60,"&lt;"&amp;C58)+(COUNTIFS($D$2:$D$60,D58,$C$2:$C$60,C58)+1)/2)/COUNTIFS($D$2:$D$60,D58,$C$2:$C$60,"&gt;0"))</f>
        <v/>
      </c>
      <c r="H58">
        <f>IF(G58="","",IF(G58&lt;=20%,"Q1 Cheapest",IF(G58&lt;=40%,"Q2",IF(G58&lt;=60%,"Q3",IF(G58&lt;=80%,"Q4","Q5 Most Expensive")))))</f>
        <v/>
      </c>
      <c r="I58" s="30" t="n"/>
      <c r="J58" s="30" t="n"/>
      <c r="K58" s="30" t="n"/>
      <c r="L58" s="30" t="n"/>
    </row>
    <row r="59">
      <c r="A59" s="31" t="n">
        <v>46203</v>
      </c>
      <c r="B59" s="24" t="n">
        <v>17594.9</v>
      </c>
      <c r="C59" s="25" t="n">
        <v>32.87</v>
      </c>
      <c r="D59" s="2" t="inlineStr">
        <is>
          <t>Consolidated</t>
        </is>
      </c>
      <c r="E59" s="33">
        <f>IFERROR(B59/C59,"")</f>
        <v/>
      </c>
      <c r="F59" s="30">
        <f>IF(AND(D59=D55,E55&lt;&gt;""),E59/E55-1,"")</f>
        <v/>
      </c>
      <c r="G59" s="30">
        <f>IF(C59="","",(COUNTIFS($D$2:$D$60,D59,$C$2:$C$60,"&gt;0",$C$2:$C$60,"&lt;"&amp;C59)+(COUNTIFS($D$2:$D$60,D59,$C$2:$C$60,C59)+1)/2)/COUNTIFS($D$2:$D$60,D59,$C$2:$C$60,"&gt;0"))</f>
        <v/>
      </c>
      <c r="H59">
        <f>IF(G59="","",IF(G59&lt;=20%,"Q1 Cheapest",IF(G59&lt;=40%,"Q2",IF(G59&lt;=60%,"Q3",IF(G59&lt;=80%,"Q4","Q5 Most Expensive")))))</f>
        <v/>
      </c>
      <c r="I59" s="30" t="n"/>
      <c r="J59" s="30" t="n"/>
      <c r="K59" s="30" t="n"/>
      <c r="L59" s="30" t="n"/>
    </row>
    <row r="60">
      <c r="A60" s="31" t="n">
        <v>46295</v>
      </c>
      <c r="B60" s="24" t="n">
        <v>17028.7</v>
      </c>
      <c r="C60" s="25" t="n">
        <v>30.14</v>
      </c>
      <c r="D60" s="2" t="inlineStr">
        <is>
          <t>Consolidated</t>
        </is>
      </c>
      <c r="E60" s="33">
        <f>IFERROR(B60/C60,"")</f>
        <v/>
      </c>
      <c r="F60" s="30">
        <f>IF(AND(D60=D56,E56&lt;&gt;""),E60/E56-1,"")</f>
        <v/>
      </c>
      <c r="G60" s="30">
        <f>IF(C60="","",(COUNTIFS($D$2:$D$60,D60,$C$2:$C$60,"&gt;0",$C$2:$C$60,"&lt;"&amp;C60)+(COUNTIFS($D$2:$D$60,D60,$C$2:$C$60,C60)+1)/2)/COUNTIFS($D$2:$D$60,D60,$C$2:$C$60,"&gt;0"))</f>
        <v/>
      </c>
      <c r="H60">
        <f>IF(G60="","",IF(G60&lt;=20%,"Q1 Cheapest",IF(G60&lt;=40%,"Q2",IF(G60&lt;=60%,"Q3",IF(G60&lt;=80%,"Q4","Q5 Most Expensive")))))</f>
        <v/>
      </c>
      <c r="I60" s="30" t="n"/>
      <c r="J60" s="30" t="n"/>
      <c r="K60" s="30" t="n"/>
      <c r="L60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17882.9</v>
      </c>
      <c r="C2" s="25" t="n">
        <v>35.17</v>
      </c>
      <c r="D2" s="26" t="n">
        <v>0.689393939394</v>
      </c>
      <c r="E2" s="26" t="n">
        <v>0.142760179357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17879.65</v>
      </c>
      <c r="C3" s="25" t="n">
        <v>35.16</v>
      </c>
      <c r="D3" s="26" t="n">
        <v>0.689393939394</v>
      </c>
      <c r="E3" s="26" t="n">
        <v>0.143066575201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17878.6</v>
      </c>
      <c r="C4" s="25" t="n">
        <v>35.16</v>
      </c>
      <c r="D4" s="26" t="n">
        <v>0.689393939394</v>
      </c>
      <c r="E4" s="26" t="n">
        <v>0.142853025034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17979.65</v>
      </c>
      <c r="C5" s="25" t="n">
        <v>35.36</v>
      </c>
      <c r="D5" s="26" t="n">
        <v>0.7045454545449999</v>
      </c>
      <c r="E5" s="26" t="n">
        <v>0.142766989997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17518.05</v>
      </c>
      <c r="C6" s="25" t="n">
        <v>34.45</v>
      </c>
      <c r="D6" s="26" t="n">
        <v>0.674242424242</v>
      </c>
      <c r="E6" s="26" t="n">
        <v>0.143019508039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17474.1</v>
      </c>
      <c r="C7" s="25" t="n">
        <v>34.37</v>
      </c>
      <c r="D7" s="26" t="n">
        <v>0.674242424242</v>
      </c>
      <c r="E7" s="26" t="n">
        <v>0.142606816937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17208.9</v>
      </c>
      <c r="C8" s="25" t="n">
        <v>33.84</v>
      </c>
      <c r="D8" s="26" t="n">
        <v>0.628787878788</v>
      </c>
      <c r="E8" s="26" t="n">
        <v>0.142924026379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17030.55</v>
      </c>
      <c r="C9" s="25" t="n">
        <v>33.49</v>
      </c>
      <c r="D9" s="26" t="n">
        <v>0.613636363636</v>
      </c>
      <c r="E9" s="26" t="n">
        <v>0.14308919685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17028.7</v>
      </c>
      <c r="C10" s="25" t="n">
        <v>30.14</v>
      </c>
      <c r="D10" s="26" t="n">
        <v>0.44776119403</v>
      </c>
      <c r="E10" s="26" t="n">
        <v>0.168212302102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16840.35</v>
      </c>
      <c r="C11" s="25" t="n">
        <v>29.8</v>
      </c>
      <c r="D11" s="26" t="n">
        <v>0.440298507463</v>
      </c>
      <c r="E11" s="26" t="n">
        <v>0.168588692508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16911.25</v>
      </c>
      <c r="C12" s="25" t="n">
        <v>29.93</v>
      </c>
      <c r="D12" s="26" t="n">
        <v>0.440298507463</v>
      </c>
      <c r="E12" s="26" t="n">
        <v>0.168430289333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17119.7</v>
      </c>
      <c r="C13" s="25" t="n">
        <v>30.3</v>
      </c>
      <c r="D13" s="26" t="n">
        <v>0.455223880597</v>
      </c>
      <c r="E13" s="26" t="n">
        <v>0.168406658318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16990.85</v>
      </c>
      <c r="C14" s="25" t="n">
        <v>30.07</v>
      </c>
      <c r="D14" s="26" t="n">
        <v>0.440298507463</v>
      </c>
      <c r="E14" s="26" t="n">
        <v>0.168570045516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16530.9</v>
      </c>
      <c r="C15" s="25" t="n">
        <v>29.26</v>
      </c>
      <c r="D15" s="26" t="n">
        <v>0.440298507463</v>
      </c>
      <c r="E15" s="26" t="n">
        <v>0.168425426429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16786.7</v>
      </c>
      <c r="C16" s="25" t="n">
        <v>29.71</v>
      </c>
      <c r="D16" s="26" t="n">
        <v>0.440298507463</v>
      </c>
      <c r="E16" s="26" t="n">
        <v>0.168515625139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16827.65</v>
      </c>
      <c r="C17" s="25" t="n">
        <v>29.78</v>
      </c>
      <c r="D17" s="26" t="n">
        <v>0.440298507463</v>
      </c>
      <c r="E17" s="26" t="n">
        <v>0.16855098505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16974</v>
      </c>
      <c r="C18" s="25" t="n">
        <v>30.04</v>
      </c>
      <c r="D18" s="26" t="n">
        <v>0.440298507463</v>
      </c>
      <c r="E18" s="26" t="n">
        <v>0.168507380248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16997.35</v>
      </c>
      <c r="C19" s="25" t="n">
        <v>30.08</v>
      </c>
      <c r="D19" s="26" t="n">
        <v>0.440298507463</v>
      </c>
      <c r="E19" s="26" t="n">
        <v>0.168481614721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16956.3</v>
      </c>
      <c r="C20" s="25" t="n">
        <v>29.91</v>
      </c>
      <c r="D20" s="26" t="n">
        <v>0.440298507463</v>
      </c>
      <c r="E20" s="26" t="n">
        <v>0.170317841579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16946.3</v>
      </c>
      <c r="C21" s="25" t="n">
        <v>29.92</v>
      </c>
      <c r="D21" s="26" t="n">
        <v>0.440298507463</v>
      </c>
      <c r="E21" s="26" t="n">
        <v>0.167797865948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16767.85</v>
      </c>
      <c r="C22" s="25" t="n">
        <v>29.38</v>
      </c>
      <c r="D22" s="26" t="n">
        <v>0.440298507463</v>
      </c>
      <c r="E22" s="26" t="n">
        <v>0.176798450568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16500.2</v>
      </c>
      <c r="C23" s="25" t="n">
        <v>28.91</v>
      </c>
      <c r="D23" s="26" t="n">
        <v>0.440298507463</v>
      </c>
      <c r="E23" s="26" t="n">
        <v>0.199582610546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Midcap 50 Composition</t>
        </is>
      </c>
    </row>
    <row r="2">
      <c r="A2" s="2" t="inlineStr">
        <is>
          <t>As of</t>
        </is>
      </c>
      <c r="B2" s="4" t="inlineStr">
        <is>
          <t>Retrieved 2026-10-21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APL Apollo Tubes Ltd.</t>
        </is>
      </c>
      <c r="C6" t="inlineStr">
        <is>
          <t>APLAPOLLO</t>
        </is>
      </c>
      <c r="D6" t="inlineStr">
        <is>
          <t>Capital Goods</t>
        </is>
      </c>
    </row>
    <row r="7">
      <c r="A7" t="n">
        <v>2</v>
      </c>
      <c r="B7" t="inlineStr">
        <is>
          <t>Ashok Leyland Ltd.</t>
        </is>
      </c>
      <c r="C7" t="inlineStr">
        <is>
          <t>ASHOKLEY</t>
        </is>
      </c>
      <c r="D7" t="inlineStr">
        <is>
          <t>Capital Goods</t>
        </is>
      </c>
    </row>
    <row r="8">
      <c r="A8" t="n">
        <v>3</v>
      </c>
      <c r="B8" t="inlineStr">
        <is>
          <t>AU Small Finance Bank Ltd.</t>
        </is>
      </c>
      <c r="C8" t="inlineStr">
        <is>
          <t>AUBANK</t>
        </is>
      </c>
      <c r="D8" t="inlineStr">
        <is>
          <t>Financial Services</t>
        </is>
      </c>
    </row>
    <row r="9">
      <c r="A9" t="n">
        <v>4</v>
      </c>
      <c r="B9" t="inlineStr">
        <is>
          <t>Aurobindo Pharma Ltd.</t>
        </is>
      </c>
      <c r="C9" t="inlineStr">
        <is>
          <t>AUROPHARMA</t>
        </is>
      </c>
      <c r="D9" t="inlineStr">
        <is>
          <t>Healthcare</t>
        </is>
      </c>
    </row>
    <row r="10">
      <c r="A10" t="n">
        <v>5</v>
      </c>
      <c r="B10" t="inlineStr">
        <is>
          <t>Bharat Forge Ltd.</t>
        </is>
      </c>
      <c r="C10" t="inlineStr">
        <is>
          <t>BHARATFORG</t>
        </is>
      </c>
      <c r="D10" t="inlineStr">
        <is>
          <t>Automobile and Auto Components</t>
        </is>
      </c>
    </row>
    <row r="11">
      <c r="A11" t="n">
        <v>6</v>
      </c>
      <c r="B11" t="inlineStr">
        <is>
          <t>Bharat Heavy Electricals Ltd.</t>
        </is>
      </c>
      <c r="C11" t="inlineStr">
        <is>
          <t>BHEL</t>
        </is>
      </c>
      <c r="D11" t="inlineStr">
        <is>
          <t>Capital Goods</t>
        </is>
      </c>
    </row>
    <row r="12">
      <c r="A12" t="n">
        <v>7</v>
      </c>
      <c r="B12" t="inlineStr">
        <is>
          <t>Dabur India Ltd.</t>
        </is>
      </c>
      <c r="C12" t="inlineStr">
        <is>
          <t>DABUR</t>
        </is>
      </c>
      <c r="D12" t="inlineStr">
        <is>
          <t>Fast Moving Consumer Goods</t>
        </is>
      </c>
    </row>
    <row r="13">
      <c r="A13" t="n">
        <v>8</v>
      </c>
      <c r="B13" t="inlineStr">
        <is>
          <t>Dixon Technologies (India) Ltd.</t>
        </is>
      </c>
      <c r="C13" t="inlineStr">
        <is>
          <t>DIXON</t>
        </is>
      </c>
      <c r="D13" t="inlineStr">
        <is>
          <t>Consumer Durables</t>
        </is>
      </c>
    </row>
    <row r="14">
      <c r="A14" t="n">
        <v>9</v>
      </c>
      <c r="B14" t="inlineStr">
        <is>
          <t>Federal Bank Ltd.</t>
        </is>
      </c>
      <c r="C14" t="inlineStr">
        <is>
          <t>FEDERALBNK</t>
        </is>
      </c>
      <c r="D14" t="inlineStr">
        <is>
          <t>Financial Services</t>
        </is>
      </c>
    </row>
    <row r="15">
      <c r="A15" t="n">
        <v>10</v>
      </c>
      <c r="B15" t="inlineStr">
        <is>
          <t>Fortis Healthcare Ltd.</t>
        </is>
      </c>
      <c r="C15" t="inlineStr">
        <is>
          <t>FORTIS</t>
        </is>
      </c>
      <c r="D15" t="inlineStr">
        <is>
          <t>Healthcare</t>
        </is>
      </c>
    </row>
    <row r="16">
      <c r="A16" t="n">
        <v>11</v>
      </c>
      <c r="B16" t="inlineStr">
        <is>
          <t>FSN E-Commerce Ventures Ltd.</t>
        </is>
      </c>
      <c r="C16" t="inlineStr">
        <is>
          <t>NYKAA</t>
        </is>
      </c>
      <c r="D16" t="inlineStr">
        <is>
          <t>Consumer Services</t>
        </is>
      </c>
    </row>
    <row r="17">
      <c r="A17" t="n">
        <v>12</v>
      </c>
      <c r="B17" t="inlineStr">
        <is>
          <t>GE Vernova T&amp;D India Ltd.</t>
        </is>
      </c>
      <c r="C17" t="inlineStr">
        <is>
          <t>GVT&amp;D</t>
        </is>
      </c>
      <c r="D17" t="inlineStr">
        <is>
          <t>Capital Goods</t>
        </is>
      </c>
    </row>
    <row r="18">
      <c r="A18" t="n">
        <v>13</v>
      </c>
      <c r="B18" t="inlineStr">
        <is>
          <t>Glenmark Pharmaceuticals Ltd.</t>
        </is>
      </c>
      <c r="C18" t="inlineStr">
        <is>
          <t>GLENMARK</t>
        </is>
      </c>
      <c r="D18" t="inlineStr">
        <is>
          <t>Healthcare</t>
        </is>
      </c>
    </row>
    <row r="19">
      <c r="A19" t="n">
        <v>14</v>
      </c>
      <c r="B19" t="inlineStr">
        <is>
          <t>GMR Airports Ltd.</t>
        </is>
      </c>
      <c r="C19" t="inlineStr">
        <is>
          <t>GMRAIRPORT</t>
        </is>
      </c>
      <c r="D19" t="inlineStr">
        <is>
          <t>Services</t>
        </is>
      </c>
    </row>
    <row r="20">
      <c r="A20" t="n">
        <v>15</v>
      </c>
      <c r="B20" t="inlineStr">
        <is>
          <t>Godrej Properties Ltd.</t>
        </is>
      </c>
      <c r="C20" t="inlineStr">
        <is>
          <t>GODREJPROP</t>
        </is>
      </c>
      <c r="D20" t="inlineStr">
        <is>
          <t>Realty</t>
        </is>
      </c>
    </row>
    <row r="21">
      <c r="A21" t="n">
        <v>16</v>
      </c>
      <c r="B21" t="inlineStr">
        <is>
          <t>Havells India Ltd.</t>
        </is>
      </c>
      <c r="C21" t="inlineStr">
        <is>
          <t>HAVELLS</t>
        </is>
      </c>
      <c r="D21" t="inlineStr">
        <is>
          <t>Consumer Durables</t>
        </is>
      </c>
    </row>
    <row r="22">
      <c r="A22" t="n">
        <v>17</v>
      </c>
      <c r="B22" t="inlineStr">
        <is>
          <t>Hero MotoCorp Ltd.</t>
        </is>
      </c>
      <c r="C22" t="inlineStr">
        <is>
          <t>HEROMOTOCO</t>
        </is>
      </c>
      <c r="D22" t="inlineStr">
        <is>
          <t>Automobile and Auto Components</t>
        </is>
      </c>
    </row>
    <row r="23">
      <c r="A23" t="n">
        <v>18</v>
      </c>
      <c r="B23" t="inlineStr">
        <is>
          <t>Hindustan Petroleum Corporation Ltd.</t>
        </is>
      </c>
      <c r="C23" t="inlineStr">
        <is>
          <t>HINDPETRO</t>
        </is>
      </c>
      <c r="D23" t="inlineStr">
        <is>
          <t>Oil Gas &amp; Consumable Fuels</t>
        </is>
      </c>
    </row>
    <row r="24">
      <c r="A24" t="n">
        <v>19</v>
      </c>
      <c r="B24" t="inlineStr">
        <is>
          <t>ICICI Lombard General Insurance Company Ltd.</t>
        </is>
      </c>
      <c r="C24" t="inlineStr">
        <is>
          <t>ICICIGI</t>
        </is>
      </c>
      <c r="D24" t="inlineStr">
        <is>
          <t>Financial Services</t>
        </is>
      </c>
    </row>
    <row r="25">
      <c r="A25" t="n">
        <v>20</v>
      </c>
      <c r="B25" t="inlineStr">
        <is>
          <t>IDFC First Bank Ltd.</t>
        </is>
      </c>
      <c r="C25" t="inlineStr">
        <is>
          <t>IDFCFIRSTB</t>
        </is>
      </c>
      <c r="D25" t="inlineStr">
        <is>
          <t>Financial Services</t>
        </is>
      </c>
    </row>
    <row r="26">
      <c r="A26" t="n">
        <v>21</v>
      </c>
      <c r="B26" t="inlineStr">
        <is>
          <t>Indian Hotels Co. Ltd.</t>
        </is>
      </c>
      <c r="C26" t="inlineStr">
        <is>
          <t>INDHOTEL</t>
        </is>
      </c>
      <c r="D26" t="inlineStr">
        <is>
          <t>Consumer Services</t>
        </is>
      </c>
    </row>
    <row r="27">
      <c r="A27" t="n">
        <v>22</v>
      </c>
      <c r="B27" t="inlineStr">
        <is>
          <t>Indus Towers Ltd.</t>
        </is>
      </c>
      <c r="C27" t="inlineStr">
        <is>
          <t>INDUSTOWER</t>
        </is>
      </c>
      <c r="D27" t="inlineStr">
        <is>
          <t>Telecommunication</t>
        </is>
      </c>
    </row>
    <row r="28">
      <c r="A28" t="n">
        <v>23</v>
      </c>
      <c r="B28" t="inlineStr">
        <is>
          <t>IndusInd Bank Ltd.</t>
        </is>
      </c>
      <c r="C28" t="inlineStr">
        <is>
          <t>INDUSINDBK</t>
        </is>
      </c>
      <c r="D28" t="inlineStr">
        <is>
          <t>Financial Services</t>
        </is>
      </c>
    </row>
    <row r="29">
      <c r="A29" t="n">
        <v>24</v>
      </c>
      <c r="B29" t="inlineStr">
        <is>
          <t>Info Edge (India) Ltd.</t>
        </is>
      </c>
      <c r="C29" t="inlineStr">
        <is>
          <t>NAUKRI</t>
        </is>
      </c>
      <c r="D29" t="inlineStr">
        <is>
          <t>Consumer Services</t>
        </is>
      </c>
    </row>
    <row r="30">
      <c r="A30" t="n">
        <v>25</v>
      </c>
      <c r="B30" t="inlineStr">
        <is>
          <t>JSW Energy Ltd.</t>
        </is>
      </c>
      <c r="C30" t="inlineStr">
        <is>
          <t>JSWENERGY</t>
        </is>
      </c>
      <c r="D30" t="inlineStr">
        <is>
          <t>Power</t>
        </is>
      </c>
    </row>
    <row r="31">
      <c r="A31" t="n">
        <v>26</v>
      </c>
      <c r="B31" t="inlineStr">
        <is>
          <t>Laurus Labs Ltd.</t>
        </is>
      </c>
      <c r="C31" t="inlineStr">
        <is>
          <t>LAURUSLABS</t>
        </is>
      </c>
      <c r="D31" t="inlineStr">
        <is>
          <t>Healthcare</t>
        </is>
      </c>
    </row>
    <row r="32">
      <c r="A32" t="n">
        <v>27</v>
      </c>
      <c r="B32" t="inlineStr">
        <is>
          <t>Lupin Ltd.</t>
        </is>
      </c>
      <c r="C32" t="inlineStr">
        <is>
          <t>LUPIN</t>
        </is>
      </c>
      <c r="D32" t="inlineStr">
        <is>
          <t>Healthcare</t>
        </is>
      </c>
    </row>
    <row r="33">
      <c r="A33" t="n">
        <v>28</v>
      </c>
      <c r="B33" t="inlineStr">
        <is>
          <t>Mankind Pharma Ltd.</t>
        </is>
      </c>
      <c r="C33" t="inlineStr">
        <is>
          <t>MANKIND</t>
        </is>
      </c>
      <c r="D33" t="inlineStr">
        <is>
          <t>Healthcare</t>
        </is>
      </c>
    </row>
    <row r="34">
      <c r="A34" t="n">
        <v>29</v>
      </c>
      <c r="B34" t="inlineStr">
        <is>
          <t>Marico Ltd.</t>
        </is>
      </c>
      <c r="C34" t="inlineStr">
        <is>
          <t>MARICO</t>
        </is>
      </c>
      <c r="D34" t="inlineStr">
        <is>
          <t>Fast Moving Consumer Goods</t>
        </is>
      </c>
    </row>
    <row r="35">
      <c r="A35" t="n">
        <v>30</v>
      </c>
      <c r="B35" t="inlineStr">
        <is>
          <t>Max Financial Services Ltd.</t>
        </is>
      </c>
      <c r="C35" t="inlineStr">
        <is>
          <t>MFSL</t>
        </is>
      </c>
      <c r="D35" t="inlineStr">
        <is>
          <t>Financial Services</t>
        </is>
      </c>
    </row>
    <row r="36">
      <c r="A36" t="n">
        <v>31</v>
      </c>
      <c r="B36" t="inlineStr">
        <is>
          <t>Multi Commodity Exchange of India Ltd.</t>
        </is>
      </c>
      <c r="C36" t="inlineStr">
        <is>
          <t>MCX</t>
        </is>
      </c>
      <c r="D36" t="inlineStr">
        <is>
          <t>Financial Services</t>
        </is>
      </c>
    </row>
    <row r="37">
      <c r="A37" t="n">
        <v>32</v>
      </c>
      <c r="B37" t="inlineStr">
        <is>
          <t>National Aluminium Co. Ltd.</t>
        </is>
      </c>
      <c r="C37" t="inlineStr">
        <is>
          <t>NATIONALUM</t>
        </is>
      </c>
      <c r="D37" t="inlineStr">
        <is>
          <t>Metals &amp; Mining</t>
        </is>
      </c>
    </row>
    <row r="38">
      <c r="A38" t="n">
        <v>33</v>
      </c>
      <c r="B38" t="inlineStr">
        <is>
          <t>NHPC Ltd.</t>
        </is>
      </c>
      <c r="C38" t="inlineStr">
        <is>
          <t>NHPC</t>
        </is>
      </c>
      <c r="D38" t="inlineStr">
        <is>
          <t>Power</t>
        </is>
      </c>
    </row>
    <row r="39">
      <c r="A39" t="n">
        <v>34</v>
      </c>
      <c r="B39" t="inlineStr">
        <is>
          <t>NMDC Ltd.</t>
        </is>
      </c>
      <c r="C39" t="inlineStr">
        <is>
          <t>NMDC</t>
        </is>
      </c>
      <c r="D39" t="inlineStr">
        <is>
          <t>Metals &amp; Mining</t>
        </is>
      </c>
    </row>
    <row r="40">
      <c r="A40" t="n">
        <v>35</v>
      </c>
      <c r="B40" t="inlineStr">
        <is>
          <t>Oil India Ltd.</t>
        </is>
      </c>
      <c r="C40" t="inlineStr">
        <is>
          <t>OIL</t>
        </is>
      </c>
      <c r="D40" t="inlineStr">
        <is>
          <t>Oil Gas &amp; Consumable Fuels</t>
        </is>
      </c>
    </row>
    <row r="41">
      <c r="A41" t="n">
        <v>36</v>
      </c>
      <c r="B41" t="inlineStr">
        <is>
          <t>One 97 Communications Ltd.</t>
        </is>
      </c>
      <c r="C41" t="inlineStr">
        <is>
          <t>PAYTM</t>
        </is>
      </c>
      <c r="D41" t="inlineStr">
        <is>
          <t>Financial Services</t>
        </is>
      </c>
    </row>
    <row r="42">
      <c r="A42" t="n">
        <v>37</v>
      </c>
      <c r="B42" t="inlineStr">
        <is>
          <t>PB Fintech Ltd.</t>
        </is>
      </c>
      <c r="C42" t="inlineStr">
        <is>
          <t>POLICYBZR</t>
        </is>
      </c>
      <c r="D42" t="inlineStr">
        <is>
          <t>Financial Services</t>
        </is>
      </c>
    </row>
    <row r="43">
      <c r="A43" t="n">
        <v>38</v>
      </c>
      <c r="B43" t="inlineStr">
        <is>
          <t>Persistent Systems Ltd.</t>
        </is>
      </c>
      <c r="C43" t="inlineStr">
        <is>
          <t>PERSISTENT</t>
        </is>
      </c>
      <c r="D43" t="inlineStr">
        <is>
          <t>Information Technology</t>
        </is>
      </c>
    </row>
    <row r="44">
      <c r="A44" t="n">
        <v>39</v>
      </c>
      <c r="B44" t="inlineStr">
        <is>
          <t>Phoenix Mills Ltd.</t>
        </is>
      </c>
      <c r="C44" t="inlineStr">
        <is>
          <t>PHOENIXLTD</t>
        </is>
      </c>
      <c r="D44" t="inlineStr">
        <is>
          <t>Realty</t>
        </is>
      </c>
    </row>
    <row r="45">
      <c r="A45" t="n">
        <v>40</v>
      </c>
      <c r="B45" t="inlineStr">
        <is>
          <t>Prestige Estates Projects Ltd.</t>
        </is>
      </c>
      <c r="C45" t="inlineStr">
        <is>
          <t>PRESTIGE</t>
        </is>
      </c>
      <c r="D45" t="inlineStr">
        <is>
          <t>Realty</t>
        </is>
      </c>
    </row>
    <row r="46">
      <c r="A46" t="n">
        <v>41</v>
      </c>
      <c r="B46" t="inlineStr">
        <is>
          <t>REC Ltd.</t>
        </is>
      </c>
      <c r="C46" t="inlineStr">
        <is>
          <t>RECLTD</t>
        </is>
      </c>
      <c r="D46" t="inlineStr">
        <is>
          <t>Financial Services</t>
        </is>
      </c>
    </row>
    <row r="47">
      <c r="A47" t="n">
        <v>42</v>
      </c>
      <c r="B47" t="inlineStr">
        <is>
          <t>SRF Ltd.</t>
        </is>
      </c>
      <c r="C47" t="inlineStr">
        <is>
          <t>SRF</t>
        </is>
      </c>
      <c r="D47" t="inlineStr">
        <is>
          <t>Chemicals</t>
        </is>
      </c>
    </row>
    <row r="48">
      <c r="A48" t="n">
        <v>43</v>
      </c>
      <c r="B48" t="inlineStr">
        <is>
          <t>Suzlon Energy Ltd.</t>
        </is>
      </c>
      <c r="C48" t="inlineStr">
        <is>
          <t>SUZLON</t>
        </is>
      </c>
      <c r="D48" t="inlineStr">
        <is>
          <t>Capital Goods</t>
        </is>
      </c>
    </row>
    <row r="49">
      <c r="A49" t="n">
        <v>44</v>
      </c>
      <c r="B49" t="inlineStr">
        <is>
          <t>Swiggy Ltd.</t>
        </is>
      </c>
      <c r="C49" t="inlineStr">
        <is>
          <t>SWIGGY</t>
        </is>
      </c>
      <c r="D49" t="inlineStr">
        <is>
          <t>Consumer Services</t>
        </is>
      </c>
    </row>
    <row r="50">
      <c r="A50" t="n">
        <v>45</v>
      </c>
      <c r="B50" t="inlineStr">
        <is>
          <t>Tube Investments of India Ltd.</t>
        </is>
      </c>
      <c r="C50" t="inlineStr">
        <is>
          <t>TIINDIA</t>
        </is>
      </c>
      <c r="D50" t="inlineStr">
        <is>
          <t>Automobile and Auto Components</t>
        </is>
      </c>
    </row>
    <row r="51">
      <c r="A51" t="n">
        <v>46</v>
      </c>
      <c r="B51" t="inlineStr">
        <is>
          <t>United Spirits Ltd.</t>
        </is>
      </c>
      <c r="C51" t="inlineStr">
        <is>
          <t>UNITDSPR</t>
        </is>
      </c>
      <c r="D51" t="inlineStr">
        <is>
          <t>Fast Moving Consumer Goods</t>
        </is>
      </c>
    </row>
    <row r="52">
      <c r="A52" t="n">
        <v>47</v>
      </c>
      <c r="B52" t="inlineStr">
        <is>
          <t>UPL Ltd.</t>
        </is>
      </c>
      <c r="C52" t="inlineStr">
        <is>
          <t>UPL</t>
        </is>
      </c>
      <c r="D52" t="inlineStr">
        <is>
          <t>Chemicals</t>
        </is>
      </c>
    </row>
    <row r="53">
      <c r="A53" t="n">
        <v>48</v>
      </c>
      <c r="B53" t="inlineStr">
        <is>
          <t>Vishal Mega Mart Ltd.</t>
        </is>
      </c>
      <c r="C53" t="inlineStr">
        <is>
          <t>VMM</t>
        </is>
      </c>
      <c r="D53" t="inlineStr">
        <is>
          <t>Consumer Services</t>
        </is>
      </c>
    </row>
    <row r="54">
      <c r="A54" t="n">
        <v>49</v>
      </c>
      <c r="B54" t="inlineStr">
        <is>
          <t>Waaree Energies Ltd.</t>
        </is>
      </c>
      <c r="C54" t="inlineStr">
        <is>
          <t>WAAREEENER</t>
        </is>
      </c>
      <c r="D54" t="inlineStr">
        <is>
          <t>Capital Goods</t>
        </is>
      </c>
    </row>
    <row r="55">
      <c r="A55" t="n">
        <v>50</v>
      </c>
      <c r="B55" t="inlineStr">
        <is>
          <t>Yes Bank Ltd.</t>
        </is>
      </c>
      <c r="C55" t="inlineStr">
        <is>
          <t>YESBANK</t>
        </is>
      </c>
      <c r="D55" t="inlineStr">
        <is>
          <t>Financial Services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2026-10-21T17:40:23Z</dcterms:created>
  <dcterms:modified xsi:type="dcterms:W3CDTF">2026-10-21T17:40:50Z</dcterms:modified>
</cp:coreProperties>
</file>