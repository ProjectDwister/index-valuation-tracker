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1" customWidth="1" min="5" max="5"/>
    <col width="21" customWidth="1" min="6" max="6"/>
    <col width="20" customWidth="1" min="7" max="7"/>
  </cols>
  <sheetData>
    <row r="1" ht="26" customHeight="1">
      <c r="A1" s="1" t="inlineStr">
        <is>
          <t>NIFTY Private Bank Valuation Tracker</t>
        </is>
      </c>
    </row>
    <row r="2">
      <c r="A2" s="2" t="inlineStr">
        <is>
          <t>As of</t>
        </is>
      </c>
      <c r="B2" s="3" t="n">
        <v>46287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27286</v>
      </c>
      <c r="D5" s="2" t="inlineStr">
        <is>
          <t>P/E</t>
        </is>
      </c>
      <c r="E5" s="7" t="n">
        <v>16.99</v>
      </c>
    </row>
    <row r="6">
      <c r="A6" s="2" t="inlineStr">
        <is>
          <t>P/E percentile</t>
        </is>
      </c>
      <c r="B6" s="8" t="n">
        <v>0.3409090909090909</v>
      </c>
      <c r="D6" s="2" t="inlineStr">
        <is>
          <t>Implied EPS</t>
        </is>
      </c>
      <c r="E6" s="9" t="n">
        <v>1606.003531489111</v>
      </c>
    </row>
    <row r="7">
      <c r="A7" s="2" t="inlineStr">
        <is>
          <t>YoY implied EPS growth</t>
        </is>
      </c>
      <c r="B7" s="8" t="n">
        <v>0.07703176265243639</v>
      </c>
      <c r="D7" s="2" t="inlineStr">
        <is>
          <t>Earnings yield</t>
        </is>
      </c>
      <c r="E7" s="10" t="n">
        <v>0.05885815185403179</v>
      </c>
    </row>
    <row r="8">
      <c r="A8" s="2" t="inlineStr">
        <is>
          <t>Valuation score</t>
        </is>
      </c>
      <c r="B8" s="11" t="n">
        <v>65.90909090909092</v>
      </c>
      <c r="D8" s="2" t="inlineStr">
        <is>
          <t>Growth score</t>
        </is>
      </c>
      <c r="E8" s="11" t="n">
        <v>50.81270506097455</v>
      </c>
    </row>
    <row r="9">
      <c r="A9" s="2" t="inlineStr">
        <is>
          <t>Composite score</t>
        </is>
      </c>
      <c r="B9" s="11" t="n">
        <v>61.380175154656</v>
      </c>
      <c r="D9" s="2" t="inlineStr">
        <is>
          <t>Signal</t>
        </is>
      </c>
      <c r="E9" s="12" t="inlineStr">
        <is>
          <t>HOLD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16.19464903515243</v>
      </c>
      <c r="C13" s="15" t="n">
        <v>26008.66354168153</v>
      </c>
      <c r="D13" s="16" t="n">
        <v>-0.04681288786624882</v>
      </c>
    </row>
    <row r="14">
      <c r="A14" t="inlineStr">
        <is>
          <t>HOLD → SELL</t>
        </is>
      </c>
      <c r="B14" s="14" t="n">
        <v>18.380847748689</v>
      </c>
      <c r="C14" s="15" t="n">
        <v>29519.70639615821</v>
      </c>
      <c r="D14" s="16" t="n">
        <v>0.0818627279981754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16" t="n">
        <v>0.2199912671598415</v>
      </c>
      <c r="D18" s="16" t="n">
        <v>0.2094594666687641</v>
      </c>
      <c r="E18" s="16" t="n">
        <v>0.1343470290153976</v>
      </c>
      <c r="F18" s="16" t="n">
        <v>0.1046356453554642</v>
      </c>
      <c r="G18" s="16" t="n">
        <v>0</v>
      </c>
    </row>
    <row r="19">
      <c r="A19" t="inlineStr">
        <is>
          <t>Q2</t>
        </is>
      </c>
      <c r="B19" t="n">
        <v>8</v>
      </c>
      <c r="C19" s="16" t="n">
        <v>0.2114196770442797</v>
      </c>
      <c r="D19" s="16" t="n">
        <v>0.1992039662582881</v>
      </c>
      <c r="E19" s="16" t="n">
        <v>0.1505100390295857</v>
      </c>
      <c r="F19" s="16" t="n"/>
      <c r="G19" s="16" t="n">
        <v>0.25</v>
      </c>
    </row>
    <row r="20">
      <c r="A20" t="inlineStr">
        <is>
          <t>Q3</t>
        </is>
      </c>
      <c r="B20" t="n">
        <v>9</v>
      </c>
      <c r="C20" s="16" t="n">
        <v>0.1376834822334724</v>
      </c>
      <c r="D20" s="16" t="n">
        <v>0.06855816096000322</v>
      </c>
      <c r="E20" s="16" t="n">
        <v>0.08266513822431121</v>
      </c>
      <c r="F20" s="16" t="n"/>
      <c r="G20" s="16" t="n">
        <v>0.2857142857142857</v>
      </c>
    </row>
    <row r="21">
      <c r="A21" t="inlineStr">
        <is>
          <t>Q4</t>
        </is>
      </c>
      <c r="B21" t="n">
        <v>8</v>
      </c>
      <c r="C21" s="16" t="n">
        <v>0.14717187763777</v>
      </c>
      <c r="D21" s="16" t="n">
        <v>0.09906435339065678</v>
      </c>
      <c r="E21" s="16" t="n">
        <v>0.1028642077212545</v>
      </c>
      <c r="F21" s="16" t="n"/>
      <c r="G21" s="16" t="n">
        <v>0</v>
      </c>
    </row>
    <row r="22">
      <c r="A22" t="inlineStr">
        <is>
          <t>Q5 Most Expensive</t>
        </is>
      </c>
      <c r="B22" t="n">
        <v>9</v>
      </c>
      <c r="C22" s="16" t="n">
        <v>0.0249126514619793</v>
      </c>
      <c r="D22" s="16" t="n">
        <v>0.09863617314615425</v>
      </c>
      <c r="E22" s="16" t="n">
        <v>0.07780557384431042</v>
      </c>
      <c r="F22" s="16" t="n"/>
      <c r="G22" s="16" t="n">
        <v>0.1111111111111111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42</v>
      </c>
    </row>
    <row r="27">
      <c r="A27" s="2" t="inlineStr">
        <is>
          <t>Backtest start</t>
        </is>
      </c>
      <c r="B27" t="inlineStr">
        <is>
          <t>2016-03-31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44316</v>
      </c>
      <c r="B2" s="6" t="n">
        <v>17582.45</v>
      </c>
      <c r="C2" s="7" t="n">
        <v>30.53</v>
      </c>
      <c r="D2" s="19">
        <f>IFERROR(B2/C2,"")</f>
        <v/>
      </c>
      <c r="E2" s="20">
        <f>IFERROR(1/C2,"")</f>
        <v/>
      </c>
    </row>
    <row r="3">
      <c r="A3" s="18" t="n">
        <v>44347</v>
      </c>
      <c r="B3" s="6" t="n">
        <v>18694.9</v>
      </c>
      <c r="C3" s="7" t="n">
        <v>29.04</v>
      </c>
      <c r="D3" s="19">
        <f>IFERROR(B3/C3,"")</f>
        <v/>
      </c>
      <c r="E3" s="20">
        <f>IFERROR(1/C3,"")</f>
        <v/>
      </c>
    </row>
    <row r="4">
      <c r="A4" s="18" t="n">
        <v>44377</v>
      </c>
      <c r="B4" s="6" t="n">
        <v>18293.5</v>
      </c>
      <c r="C4" s="7" t="n">
        <v>28.44</v>
      </c>
      <c r="D4" s="19">
        <f>IFERROR(B4/C4,"")</f>
        <v/>
      </c>
      <c r="E4" s="20">
        <f>IFERROR(1/C4,"")</f>
        <v/>
      </c>
    </row>
    <row r="5">
      <c r="A5" s="18" t="n">
        <v>44408</v>
      </c>
      <c r="B5" s="6" t="n">
        <v>17975.85</v>
      </c>
      <c r="C5" s="7" t="n">
        <v>26.09</v>
      </c>
      <c r="D5" s="19">
        <f>IFERROR(B5/C5,"")</f>
        <v/>
      </c>
      <c r="E5" s="20">
        <f>IFERROR(1/C5,"")</f>
        <v/>
      </c>
    </row>
    <row r="6">
      <c r="A6" s="18" t="n">
        <v>44439</v>
      </c>
      <c r="B6" s="6" t="n">
        <v>18837.65</v>
      </c>
      <c r="C6" s="7" t="n">
        <v>28.83</v>
      </c>
      <c r="D6" s="19">
        <f>IFERROR(B6/C6,"")</f>
        <v/>
      </c>
      <c r="E6" s="20">
        <f>IFERROR(1/C6,"")</f>
        <v/>
      </c>
    </row>
    <row r="7">
      <c r="A7" s="18" t="n">
        <v>44469</v>
      </c>
      <c r="B7" s="6" t="n">
        <v>19447.95</v>
      </c>
      <c r="C7" s="7" t="n">
        <v>26.53</v>
      </c>
      <c r="D7" s="19">
        <f>IFERROR(B7/C7,"")</f>
        <v/>
      </c>
      <c r="E7" s="20">
        <f>IFERROR(1/C7,"")</f>
        <v/>
      </c>
    </row>
    <row r="8">
      <c r="A8" s="18" t="n">
        <v>44500</v>
      </c>
      <c r="B8" s="6" t="n">
        <v>20192.2</v>
      </c>
      <c r="C8" s="7" t="n">
        <v>25.64</v>
      </c>
      <c r="D8" s="19">
        <f>IFERROR(B8/C8,"")</f>
        <v/>
      </c>
      <c r="E8" s="20">
        <f>IFERROR(1/C8,"")</f>
        <v/>
      </c>
    </row>
    <row r="9">
      <c r="A9" s="18" t="n">
        <v>44530</v>
      </c>
      <c r="B9" s="6" t="n">
        <v>18213.85</v>
      </c>
      <c r="C9" s="7" t="n">
        <v>25.06</v>
      </c>
      <c r="D9" s="19">
        <f>IFERROR(B9/C9,"")</f>
        <v/>
      </c>
      <c r="E9" s="20">
        <f>IFERROR(1/C9,"")</f>
        <v/>
      </c>
    </row>
    <row r="10">
      <c r="A10" s="18" t="n">
        <v>44561</v>
      </c>
      <c r="B10" s="6" t="n">
        <v>18041.85</v>
      </c>
      <c r="C10" s="7" t="n">
        <v>24.81</v>
      </c>
      <c r="D10" s="19">
        <f>IFERROR(B10/C10,"")</f>
        <v/>
      </c>
      <c r="E10" s="20">
        <f>IFERROR(1/C10,"")</f>
        <v/>
      </c>
    </row>
    <row r="11">
      <c r="A11" s="18" t="n">
        <v>44592</v>
      </c>
      <c r="B11" s="6" t="n">
        <v>19037.15</v>
      </c>
      <c r="C11" s="7" t="n">
        <v>24.37</v>
      </c>
      <c r="D11" s="19">
        <f>IFERROR(B11/C11,"")</f>
        <v/>
      </c>
      <c r="E11" s="20">
        <f>IFERROR(1/C11,"")</f>
        <v/>
      </c>
    </row>
    <row r="12">
      <c r="A12" s="18" t="n">
        <v>44620</v>
      </c>
      <c r="B12" s="6" t="n">
        <v>18397.85</v>
      </c>
      <c r="C12" s="7" t="n">
        <v>22.91</v>
      </c>
      <c r="D12" s="19">
        <f>IFERROR(B12/C12,"")</f>
        <v/>
      </c>
      <c r="E12" s="20">
        <f>IFERROR(1/C12,"")</f>
        <v/>
      </c>
    </row>
    <row r="13">
      <c r="A13" s="18" t="n">
        <v>44651</v>
      </c>
      <c r="B13" s="6" t="n">
        <v>18420.8</v>
      </c>
      <c r="C13" s="7" t="n">
        <v>23.1</v>
      </c>
      <c r="D13" s="19">
        <f>IFERROR(B13/C13,"")</f>
        <v/>
      </c>
      <c r="E13" s="20">
        <f>IFERROR(1/C13,"")</f>
        <v/>
      </c>
    </row>
    <row r="14">
      <c r="A14" s="18" t="n">
        <v>44681</v>
      </c>
      <c r="B14" s="6" t="n">
        <v>18326.3</v>
      </c>
      <c r="C14" s="7" t="n">
        <v>21.98</v>
      </c>
      <c r="D14" s="19">
        <f>IFERROR(B14/C14,"")</f>
        <v/>
      </c>
      <c r="E14" s="20">
        <f>IFERROR(1/C14,"")</f>
        <v/>
      </c>
    </row>
    <row r="15">
      <c r="A15" s="18" t="n">
        <v>44712</v>
      </c>
      <c r="B15" s="6" t="n">
        <v>18112.4</v>
      </c>
      <c r="C15" s="7" t="n">
        <v>19.89</v>
      </c>
      <c r="D15" s="19">
        <f>IFERROR(B15/C15,"")</f>
        <v/>
      </c>
      <c r="E15" s="20">
        <f>IFERROR(1/C15,"")</f>
        <v/>
      </c>
    </row>
    <row r="16">
      <c r="A16" s="18" t="n">
        <v>44742</v>
      </c>
      <c r="B16" s="6" t="n">
        <v>16720.95</v>
      </c>
      <c r="C16" s="7" t="n">
        <v>18.27</v>
      </c>
      <c r="D16" s="19">
        <f>IFERROR(B16/C16,"")</f>
        <v/>
      </c>
      <c r="E16" s="20">
        <f>IFERROR(1/C16,"")</f>
        <v/>
      </c>
    </row>
    <row r="17">
      <c r="A17" s="18" t="n">
        <v>44773</v>
      </c>
      <c r="B17" s="6" t="n">
        <v>19045.7</v>
      </c>
      <c r="C17" s="7" t="n">
        <v>18.36</v>
      </c>
      <c r="D17" s="19">
        <f>IFERROR(B17/C17,"")</f>
        <v/>
      </c>
      <c r="E17" s="20">
        <f>IFERROR(1/C17,"")</f>
        <v/>
      </c>
    </row>
    <row r="18">
      <c r="A18" s="18" t="n">
        <v>44804</v>
      </c>
      <c r="B18" s="6" t="n">
        <v>20320.5</v>
      </c>
      <c r="C18" s="7" t="n">
        <v>19.17</v>
      </c>
      <c r="D18" s="19">
        <f>IFERROR(B18/C18,"")</f>
        <v/>
      </c>
      <c r="E18" s="20">
        <f>IFERROR(1/C18,"")</f>
        <v/>
      </c>
    </row>
    <row r="19">
      <c r="A19" s="18" t="n">
        <v>44834</v>
      </c>
      <c r="B19" s="6" t="n">
        <v>19932.45</v>
      </c>
      <c r="C19" s="7" t="n">
        <v>19.03</v>
      </c>
      <c r="D19" s="19">
        <f>IFERROR(B19/C19,"")</f>
        <v/>
      </c>
      <c r="E19" s="20">
        <f>IFERROR(1/C19,"")</f>
        <v/>
      </c>
    </row>
    <row r="20">
      <c r="A20" s="18" t="n">
        <v>44865</v>
      </c>
      <c r="B20" s="6" t="n">
        <v>21193.9</v>
      </c>
      <c r="C20" s="7" t="n">
        <v>18.54</v>
      </c>
      <c r="D20" s="19">
        <f>IFERROR(B20/C20,"")</f>
        <v/>
      </c>
      <c r="E20" s="20">
        <f>IFERROR(1/C20,"")</f>
        <v/>
      </c>
    </row>
    <row r="21">
      <c r="A21" s="18" t="n">
        <v>44895</v>
      </c>
      <c r="B21" s="6" t="n">
        <v>22018.6</v>
      </c>
      <c r="C21" s="7" t="n">
        <v>18.25</v>
      </c>
      <c r="D21" s="19">
        <f>IFERROR(B21/C21,"")</f>
        <v/>
      </c>
      <c r="E21" s="20">
        <f>IFERROR(1/C21,"")</f>
        <v/>
      </c>
    </row>
    <row r="22">
      <c r="A22" s="18" t="n">
        <v>44926</v>
      </c>
      <c r="B22" s="6" t="n">
        <v>21862</v>
      </c>
      <c r="C22" s="7" t="n">
        <v>18.12</v>
      </c>
      <c r="D22" s="19">
        <f>IFERROR(B22/C22,"")</f>
        <v/>
      </c>
      <c r="E22" s="20">
        <f>IFERROR(1/C22,"")</f>
        <v/>
      </c>
    </row>
    <row r="23">
      <c r="A23" s="18" t="n">
        <v>44957</v>
      </c>
      <c r="B23" s="6" t="n">
        <v>20731.35</v>
      </c>
      <c r="C23" s="7" t="n">
        <v>16.04</v>
      </c>
      <c r="D23" s="19">
        <f>IFERROR(B23/C23,"")</f>
        <v/>
      </c>
      <c r="E23" s="20">
        <f>IFERROR(1/C23,"")</f>
        <v/>
      </c>
    </row>
    <row r="24">
      <c r="A24" s="18" t="n">
        <v>44985</v>
      </c>
      <c r="B24" s="6" t="n">
        <v>20587</v>
      </c>
      <c r="C24" s="7" t="n">
        <v>15.92</v>
      </c>
      <c r="D24" s="19">
        <f>IFERROR(B24/C24,"")</f>
        <v/>
      </c>
      <c r="E24" s="20">
        <f>IFERROR(1/C24,"")</f>
        <v/>
      </c>
    </row>
    <row r="25">
      <c r="A25" s="18" t="n">
        <v>45016</v>
      </c>
      <c r="B25" s="6" t="n">
        <v>20618.1</v>
      </c>
      <c r="C25" s="7" t="n">
        <v>15.79</v>
      </c>
      <c r="D25" s="19">
        <f>IFERROR(B25/C25,"")</f>
        <v/>
      </c>
      <c r="E25" s="20">
        <f>IFERROR(1/C25,"")</f>
        <v/>
      </c>
    </row>
    <row r="26">
      <c r="A26" s="18" t="n">
        <v>45046</v>
      </c>
      <c r="B26" s="6" t="n">
        <v>21885.75</v>
      </c>
      <c r="C26" s="7" t="n">
        <v>16.19</v>
      </c>
      <c r="D26" s="19">
        <f>IFERROR(B26/C26,"")</f>
        <v/>
      </c>
      <c r="E26" s="20">
        <f>IFERROR(1/C26,"")</f>
        <v/>
      </c>
    </row>
    <row r="27">
      <c r="A27" s="18" t="n">
        <v>45077</v>
      </c>
      <c r="B27" s="6" t="n">
        <v>22470.7</v>
      </c>
      <c r="C27" s="7" t="n">
        <v>17.5</v>
      </c>
      <c r="D27" s="19">
        <f>IFERROR(B27/C27,"")</f>
        <v/>
      </c>
      <c r="E27" s="20">
        <f>IFERROR(1/C27,"")</f>
        <v/>
      </c>
    </row>
    <row r="28">
      <c r="A28" s="18" t="n">
        <v>45107</v>
      </c>
      <c r="B28" s="6" t="n">
        <v>22923.15</v>
      </c>
      <c r="C28" s="7" t="n">
        <v>17.99</v>
      </c>
      <c r="D28" s="19">
        <f>IFERROR(B28/C28,"")</f>
        <v/>
      </c>
      <c r="E28" s="20">
        <f>IFERROR(1/C28,"")</f>
        <v/>
      </c>
    </row>
    <row r="29">
      <c r="A29" s="18" t="n">
        <v>45138</v>
      </c>
      <c r="B29" s="6" t="n">
        <v>23411.1</v>
      </c>
      <c r="C29" s="7" t="n">
        <v>18.36</v>
      </c>
      <c r="D29" s="19">
        <f>IFERROR(B29/C29,"")</f>
        <v/>
      </c>
      <c r="E29" s="20">
        <f>IFERROR(1/C29,"")</f>
        <v/>
      </c>
    </row>
    <row r="30">
      <c r="A30" s="18" t="n">
        <v>45169</v>
      </c>
      <c r="B30" s="6" t="n">
        <v>22921.85</v>
      </c>
      <c r="C30" s="7" t="n">
        <v>17.91</v>
      </c>
      <c r="D30" s="19">
        <f>IFERROR(B30/C30,"")</f>
        <v/>
      </c>
      <c r="E30" s="20">
        <f>IFERROR(1/C30,"")</f>
        <v/>
      </c>
    </row>
    <row r="31">
      <c r="A31" s="18" t="n">
        <v>45199</v>
      </c>
      <c r="B31" s="6" t="n">
        <v>23101.9</v>
      </c>
      <c r="C31" s="7" t="n">
        <v>18.38</v>
      </c>
      <c r="D31" s="19">
        <f>IFERROR(B31/C31,"")</f>
        <v/>
      </c>
      <c r="E31" s="20">
        <f>IFERROR(1/C31,"")</f>
        <v/>
      </c>
    </row>
    <row r="32">
      <c r="A32" s="18" t="n">
        <v>45230</v>
      </c>
      <c r="B32" s="6" t="n">
        <v>22235.25</v>
      </c>
      <c r="C32" s="7" t="n">
        <v>16.34</v>
      </c>
      <c r="D32" s="19">
        <f>IFERROR(B32/C32,"")</f>
        <v/>
      </c>
      <c r="E32" s="20">
        <f>IFERROR(1/C32,"")</f>
        <v/>
      </c>
    </row>
    <row r="33">
      <c r="A33" s="18" t="n">
        <v>45260</v>
      </c>
      <c r="B33" s="6" t="n">
        <v>23136.8</v>
      </c>
      <c r="C33" s="7" t="n">
        <v>17</v>
      </c>
      <c r="D33" s="19">
        <f>IFERROR(B33/C33,"")</f>
        <v/>
      </c>
      <c r="E33" s="20">
        <f>IFERROR(1/C33,"")</f>
        <v/>
      </c>
    </row>
    <row r="34">
      <c r="A34" s="18" t="n">
        <v>45291</v>
      </c>
      <c r="B34" s="6" t="n">
        <v>24875.65</v>
      </c>
      <c r="C34" s="7" t="n">
        <v>18.45</v>
      </c>
      <c r="D34" s="19">
        <f>IFERROR(B34/C34,"")</f>
        <v/>
      </c>
      <c r="E34" s="20">
        <f>IFERROR(1/C34,"")</f>
        <v/>
      </c>
    </row>
    <row r="35">
      <c r="A35" s="18" t="n">
        <v>45322</v>
      </c>
      <c r="B35" s="6" t="n">
        <v>23594.45</v>
      </c>
      <c r="C35" s="7" t="n">
        <v>16.66</v>
      </c>
      <c r="D35" s="19">
        <f>IFERROR(B35/C35,"")</f>
        <v/>
      </c>
      <c r="E35" s="20">
        <f>IFERROR(1/C35,"")</f>
        <v/>
      </c>
    </row>
    <row r="36">
      <c r="A36" s="18" t="n">
        <v>45351</v>
      </c>
      <c r="B36" s="6" t="n">
        <v>23104.7</v>
      </c>
      <c r="C36" s="7" t="n">
        <v>16.22</v>
      </c>
      <c r="D36" s="19">
        <f>IFERROR(B36/C36,"")</f>
        <v/>
      </c>
      <c r="E36" s="20">
        <f>IFERROR(1/C36,"")</f>
        <v/>
      </c>
    </row>
    <row r="37">
      <c r="A37" s="18" t="n">
        <v>45382</v>
      </c>
      <c r="B37" s="6" t="n">
        <v>23555.85</v>
      </c>
      <c r="C37" s="7" t="n">
        <v>16.42</v>
      </c>
      <c r="D37" s="19">
        <f>IFERROR(B37/C37,"")</f>
        <v/>
      </c>
      <c r="E37" s="20">
        <f>IFERROR(1/C37,"")</f>
        <v/>
      </c>
    </row>
    <row r="38">
      <c r="A38" s="18" t="n">
        <v>45412</v>
      </c>
      <c r="B38" s="6" t="n">
        <v>24535.95</v>
      </c>
      <c r="C38" s="7" t="n">
        <v>15.48</v>
      </c>
      <c r="D38" s="19">
        <f>IFERROR(B38/C38,"")</f>
        <v/>
      </c>
      <c r="E38" s="20">
        <f>IFERROR(1/C38,"")</f>
        <v/>
      </c>
    </row>
    <row r="39">
      <c r="A39" s="18" t="n">
        <v>45443</v>
      </c>
      <c r="B39" s="6" t="n">
        <v>24224.1</v>
      </c>
      <c r="C39" s="7" t="n">
        <v>15.35</v>
      </c>
      <c r="D39" s="19">
        <f>IFERROR(B39/C39,"")</f>
        <v/>
      </c>
      <c r="E39" s="20">
        <f>IFERROR(1/C39,"")</f>
        <v/>
      </c>
    </row>
    <row r="40">
      <c r="A40" s="18" t="n">
        <v>45473</v>
      </c>
      <c r="B40" s="6" t="n">
        <v>26075.5</v>
      </c>
      <c r="C40" s="7" t="n">
        <v>16.52</v>
      </c>
      <c r="D40" s="19">
        <f>IFERROR(B40/C40,"")</f>
        <v/>
      </c>
      <c r="E40" s="20">
        <f>IFERROR(1/C40,"")</f>
        <v/>
      </c>
    </row>
    <row r="41">
      <c r="A41" s="18" t="n">
        <v>45504</v>
      </c>
      <c r="B41" s="6" t="n">
        <v>25712.1</v>
      </c>
      <c r="C41" s="7" t="n">
        <v>15.56</v>
      </c>
      <c r="D41" s="19">
        <f>IFERROR(B41/C41,"")</f>
        <v/>
      </c>
      <c r="E41" s="20">
        <f>IFERROR(1/C41,"")</f>
        <v/>
      </c>
    </row>
    <row r="42">
      <c r="A42" s="18" t="n">
        <v>45535</v>
      </c>
      <c r="B42" s="6" t="n">
        <v>25687.75</v>
      </c>
      <c r="C42" s="7" t="n">
        <v>15.55</v>
      </c>
      <c r="D42" s="19">
        <f>IFERROR(B42/C42,"")</f>
        <v/>
      </c>
      <c r="E42" s="20">
        <f>IFERROR(1/C42,"")</f>
        <v/>
      </c>
    </row>
    <row r="43">
      <c r="A43" s="18" t="n">
        <v>45565</v>
      </c>
      <c r="B43" s="6" t="n">
        <v>26501.85</v>
      </c>
      <c r="C43" s="7" t="n">
        <v>16.06</v>
      </c>
      <c r="D43" s="19">
        <f>IFERROR(B43/C43,"")</f>
        <v/>
      </c>
      <c r="E43" s="20">
        <f>IFERROR(1/C43,"")</f>
        <v/>
      </c>
    </row>
    <row r="44">
      <c r="A44" s="18" t="n">
        <v>45596</v>
      </c>
      <c r="B44" s="6" t="n">
        <v>25220.45</v>
      </c>
      <c r="C44" s="7" t="n">
        <v>15.1</v>
      </c>
      <c r="D44" s="19">
        <f>IFERROR(B44/C44,"")</f>
        <v/>
      </c>
      <c r="E44" s="20">
        <f>IFERROR(1/C44,"")</f>
        <v/>
      </c>
    </row>
    <row r="45">
      <c r="A45" s="18" t="n">
        <v>45626</v>
      </c>
      <c r="B45" s="6" t="n">
        <v>25327.95</v>
      </c>
      <c r="C45" s="7" t="n">
        <v>15.17</v>
      </c>
      <c r="D45" s="19">
        <f>IFERROR(B45/C45,"")</f>
        <v/>
      </c>
      <c r="E45" s="20">
        <f>IFERROR(1/C45,"")</f>
        <v/>
      </c>
    </row>
    <row r="46">
      <c r="A46" s="18" t="n">
        <v>45657</v>
      </c>
      <c r="B46" s="6" t="n">
        <v>24780</v>
      </c>
      <c r="C46" s="7" t="n">
        <v>14.62</v>
      </c>
      <c r="D46" s="19">
        <f>IFERROR(B46/C46,"")</f>
        <v/>
      </c>
      <c r="E46" s="20">
        <f>IFERROR(1/C46,"")</f>
        <v/>
      </c>
    </row>
    <row r="47">
      <c r="A47" s="18" t="n">
        <v>45688</v>
      </c>
      <c r="B47" s="6" t="n">
        <v>24386</v>
      </c>
      <c r="C47" s="7" t="n">
        <v>14.24</v>
      </c>
      <c r="D47" s="19">
        <f>IFERROR(B47/C47,"")</f>
        <v/>
      </c>
      <c r="E47" s="20">
        <f>IFERROR(1/C47,"")</f>
        <v/>
      </c>
    </row>
    <row r="48">
      <c r="A48" s="18" t="n">
        <v>45716</v>
      </c>
      <c r="B48" s="6" t="n">
        <v>24225.15</v>
      </c>
      <c r="C48" s="7" t="n">
        <v>14.39</v>
      </c>
      <c r="D48" s="19">
        <f>IFERROR(B48/C48,"")</f>
        <v/>
      </c>
      <c r="E48" s="20">
        <f>IFERROR(1/C48,"")</f>
        <v/>
      </c>
    </row>
    <row r="49">
      <c r="A49" s="18" t="n">
        <v>45747</v>
      </c>
      <c r="B49" s="6" t="n">
        <v>25733.35</v>
      </c>
      <c r="C49" s="7" t="n">
        <v>15.41</v>
      </c>
      <c r="D49" s="19">
        <f>IFERROR(B49/C49,"")</f>
        <v/>
      </c>
      <c r="E49" s="20">
        <f>IFERROR(1/C49,"")</f>
        <v/>
      </c>
    </row>
    <row r="50">
      <c r="A50" s="18" t="n">
        <v>45777</v>
      </c>
      <c r="B50" s="6" t="n">
        <v>27450.3</v>
      </c>
      <c r="C50" s="7" t="n">
        <v>16.41</v>
      </c>
      <c r="D50" s="19">
        <f>IFERROR(B50/C50,"")</f>
        <v/>
      </c>
      <c r="E50" s="20">
        <f>IFERROR(1/C50,"")</f>
        <v/>
      </c>
    </row>
    <row r="51">
      <c r="A51" s="18" t="n">
        <v>45808</v>
      </c>
      <c r="B51" s="6" t="n">
        <v>27576.65</v>
      </c>
      <c r="C51" s="7" t="n">
        <v>17.6</v>
      </c>
      <c r="D51" s="19">
        <f>IFERROR(B51/C51,"")</f>
        <v/>
      </c>
      <c r="E51" s="20">
        <f>IFERROR(1/C51,"")</f>
        <v/>
      </c>
    </row>
    <row r="52">
      <c r="A52" s="18" t="n">
        <v>45838</v>
      </c>
      <c r="B52" s="6" t="n">
        <v>28254.6</v>
      </c>
      <c r="C52" s="7" t="n">
        <v>18.06</v>
      </c>
      <c r="D52" s="19">
        <f>IFERROR(B52/C52,"")</f>
        <v/>
      </c>
      <c r="E52" s="20">
        <f>IFERROR(1/C52,"")</f>
        <v/>
      </c>
    </row>
    <row r="53">
      <c r="A53" s="18" t="n">
        <v>45869</v>
      </c>
      <c r="B53" s="6" t="n">
        <v>27085.45</v>
      </c>
      <c r="C53" s="7" t="n">
        <v>18.14</v>
      </c>
      <c r="D53" s="19">
        <f>IFERROR(B53/C53,"")</f>
        <v/>
      </c>
      <c r="E53" s="20">
        <f>IFERROR(1/C53,"")</f>
        <v/>
      </c>
    </row>
    <row r="54">
      <c r="A54" s="18" t="n">
        <v>45900</v>
      </c>
      <c r="B54" s="6" t="n">
        <v>26058.2</v>
      </c>
      <c r="C54" s="7" t="n">
        <v>17.48</v>
      </c>
      <c r="D54" s="19">
        <f>IFERROR(B54/C54,"")</f>
        <v/>
      </c>
      <c r="E54" s="20">
        <f>IFERROR(1/C54,"")</f>
        <v/>
      </c>
    </row>
    <row r="55">
      <c r="A55" s="18" t="n">
        <v>45930</v>
      </c>
      <c r="B55" s="6" t="n">
        <v>26462.45</v>
      </c>
      <c r="C55" s="7" t="n">
        <v>17.77</v>
      </c>
      <c r="D55" s="19">
        <f>IFERROR(B55/C55,"")</f>
        <v/>
      </c>
      <c r="E55" s="20">
        <f>IFERROR(1/C55,"")</f>
        <v/>
      </c>
    </row>
    <row r="56">
      <c r="A56" s="18" t="n">
        <v>45961</v>
      </c>
      <c r="B56" s="6" t="n">
        <v>28050.65</v>
      </c>
      <c r="C56" s="7" t="n">
        <v>19.75</v>
      </c>
      <c r="D56" s="19">
        <f>IFERROR(B56/C56,"")</f>
        <v/>
      </c>
      <c r="E56" s="20">
        <f>IFERROR(1/C56,"")</f>
        <v/>
      </c>
    </row>
    <row r="57">
      <c r="A57" s="18" t="n">
        <v>45991</v>
      </c>
      <c r="B57" s="6" t="n">
        <v>28789.4</v>
      </c>
      <c r="C57" s="7" t="n">
        <v>20.29</v>
      </c>
      <c r="D57" s="19">
        <f>IFERROR(B57/C57,"")</f>
        <v/>
      </c>
      <c r="E57" s="20">
        <f>IFERROR(1/C57,"")</f>
        <v/>
      </c>
    </row>
    <row r="58">
      <c r="A58" s="18" t="n">
        <v>46022</v>
      </c>
      <c r="B58" s="6" t="n">
        <v>28721.15</v>
      </c>
      <c r="C58" s="7" t="n">
        <v>20.14</v>
      </c>
      <c r="D58" s="19">
        <f>IFERROR(B58/C58,"")</f>
        <v/>
      </c>
      <c r="E58" s="20">
        <f>IFERROR(1/C58,"")</f>
        <v/>
      </c>
    </row>
    <row r="59">
      <c r="A59" s="18" t="n">
        <v>46053</v>
      </c>
      <c r="B59" s="6" t="n">
        <v>28553.15</v>
      </c>
      <c r="C59" s="7" t="n">
        <v>20.03</v>
      </c>
      <c r="D59" s="19">
        <f>IFERROR(B59/C59,"")</f>
        <v/>
      </c>
      <c r="E59" s="20">
        <f>IFERROR(1/C59,"")</f>
        <v/>
      </c>
    </row>
    <row r="60">
      <c r="A60" s="18" t="n">
        <v>46081</v>
      </c>
      <c r="B60" s="6" t="n">
        <v>28617.55</v>
      </c>
      <c r="C60" s="7" t="n">
        <v>20.04</v>
      </c>
      <c r="D60" s="19">
        <f>IFERROR(B60/C60,"")</f>
        <v/>
      </c>
      <c r="E60" s="20">
        <f>IFERROR(1/C60,"")</f>
        <v/>
      </c>
    </row>
    <row r="61">
      <c r="A61" s="18" t="n">
        <v>46112</v>
      </c>
      <c r="B61" s="6" t="n">
        <v>24144.85</v>
      </c>
      <c r="C61" s="7" t="n">
        <v>16.86</v>
      </c>
      <c r="D61" s="19">
        <f>IFERROR(B61/C61,"")</f>
        <v/>
      </c>
      <c r="E61" s="20">
        <f>IFERROR(1/C61,"")</f>
        <v/>
      </c>
    </row>
    <row r="62">
      <c r="A62" s="18" t="n">
        <v>46142</v>
      </c>
      <c r="B62" s="6" t="n">
        <v>26281.75</v>
      </c>
      <c r="C62" s="7" t="n">
        <v>17.44</v>
      </c>
      <c r="D62" s="19">
        <f>IFERROR(B62/C62,"")</f>
        <v/>
      </c>
      <c r="E62" s="20">
        <f>IFERROR(1/C62,"")</f>
        <v/>
      </c>
    </row>
    <row r="63">
      <c r="A63" s="18" t="n">
        <v>46173</v>
      </c>
      <c r="B63" s="6" t="n">
        <v>26326.4</v>
      </c>
      <c r="C63" s="7" t="n">
        <v>17.3</v>
      </c>
      <c r="D63" s="19">
        <f>IFERROR(B63/C63,"")</f>
        <v/>
      </c>
      <c r="E63" s="20">
        <f>IFERROR(1/C63,"")</f>
        <v/>
      </c>
    </row>
    <row r="64">
      <c r="A64" s="18" t="n">
        <v>46203</v>
      </c>
      <c r="B64" s="6" t="n">
        <v>27929.15</v>
      </c>
      <c r="C64" s="7" t="n">
        <v>18.21</v>
      </c>
      <c r="D64" s="19">
        <f>IFERROR(B64/C64,"")</f>
        <v/>
      </c>
      <c r="E64" s="20">
        <f>IFERROR(1/C64,"")</f>
        <v/>
      </c>
    </row>
    <row r="65">
      <c r="A65" s="18" t="n">
        <v>46234</v>
      </c>
      <c r="B65" s="6" t="n">
        <v>27522.65</v>
      </c>
      <c r="C65" s="7" t="n">
        <v>17.15</v>
      </c>
      <c r="D65" s="19">
        <f>IFERROR(B65/C65,"")</f>
        <v/>
      </c>
      <c r="E65" s="20">
        <f>IFERROR(1/C65,"")</f>
        <v/>
      </c>
    </row>
    <row r="66">
      <c r="A66" s="18" t="n">
        <v>46265</v>
      </c>
      <c r="B66" s="6" t="n">
        <v>28005.75</v>
      </c>
      <c r="C66" s="7" t="n">
        <v>17.44</v>
      </c>
      <c r="D66" s="19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42460</v>
      </c>
      <c r="B2" s="6" t="n">
        <v>9086.75</v>
      </c>
      <c r="C2" s="7" t="n">
        <v>16.88</v>
      </c>
      <c r="D2" s="2" t="inlineStr">
        <is>
          <t>Standalone</t>
        </is>
      </c>
      <c r="E2" s="21">
        <f>IFERROR(B2/C2,"")</f>
        <v/>
      </c>
      <c r="F2" s="16" t="n"/>
      <c r="G2" s="16">
        <f>IF(C2="","",(COUNTIFS($D$2:$D$43,D2,$C$2:$C$43,"&gt;0",$C$2:$C$43,"&lt;"&amp;C2)+(COUNTIFS($D$2:$D$43,D2,$C$2:$C$43,C2)+1)/2)/COUNTIFS($D$2:$D$43,D2,$C$2:$C$43,"&gt;0"))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>
        <f>IFERROR((B22/B2)^(1/5)-1,"")</f>
        <v/>
      </c>
      <c r="L2" s="16">
        <f>IFERROR((B42/B2)^(1/10)-1,"")</f>
        <v/>
      </c>
    </row>
    <row r="3">
      <c r="A3" s="18" t="n">
        <v>42551</v>
      </c>
      <c r="B3" s="6" t="n">
        <v>10141.6</v>
      </c>
      <c r="C3" s="7" t="n">
        <v>20.03</v>
      </c>
      <c r="D3" s="2" t="inlineStr">
        <is>
          <t>Standalone</t>
        </is>
      </c>
      <c r="E3" s="21">
        <f>IFERROR(B3/C3,"")</f>
        <v/>
      </c>
      <c r="F3" s="16" t="n"/>
      <c r="G3" s="16">
        <f>IF(C3="","",(COUNTIFS($D$2:$D$43,D3,$C$2:$C$43,"&gt;0",$C$2:$C$43,"&lt;"&amp;C3)+(COUNTIFS($D$2:$D$43,D3,$C$2:$C$43,C3)+1)/2)/COUNTIFS($D$2:$D$43,D3,$C$2:$C$43,"&gt;0"))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>
        <f>IFERROR((B23/B3)^(1/5)-1,"")</f>
        <v/>
      </c>
      <c r="L3" s="16">
        <f>IFERROR((B43/B3)^(1/10)-1,"")</f>
        <v/>
      </c>
    </row>
    <row r="4">
      <c r="A4" s="18" t="n">
        <v>42643</v>
      </c>
      <c r="B4" s="6" t="n">
        <v>10742.05</v>
      </c>
      <c r="C4" s="7" t="n">
        <v>21.59</v>
      </c>
      <c r="D4" s="2" t="inlineStr">
        <is>
          <t>Standalone</t>
        </is>
      </c>
      <c r="E4" s="21">
        <f>IFERROR(B4/C4,"")</f>
        <v/>
      </c>
      <c r="F4" s="16" t="n"/>
      <c r="G4" s="16">
        <f>IF(C4="","",(COUNTIFS($D$2:$D$43,D4,$C$2:$C$43,"&gt;0",$C$2:$C$43,"&lt;"&amp;C4)+(COUNTIFS($D$2:$D$43,D4,$C$2:$C$43,C4)+1)/2)/COUNTIFS($D$2:$D$43,D4,$C$2:$C$43,"&gt;0"))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>
        <f>IFERROR((B24/B4)^(1/5)-1,"")</f>
        <v/>
      </c>
      <c r="L4" s="16" t="n"/>
    </row>
    <row r="5">
      <c r="A5" s="18" t="n">
        <v>42735</v>
      </c>
      <c r="B5" s="6" t="n">
        <v>10042.8</v>
      </c>
      <c r="C5" s="7" t="n">
        <v>20.45</v>
      </c>
      <c r="D5" s="2" t="inlineStr">
        <is>
          <t>Standalone</t>
        </is>
      </c>
      <c r="E5" s="21">
        <f>IFERROR(B5/C5,"")</f>
        <v/>
      </c>
      <c r="F5" s="16" t="n"/>
      <c r="G5" s="16">
        <f>IF(C5="","",(COUNTIFS($D$2:$D$43,D5,$C$2:$C$43,"&gt;0",$C$2:$C$43,"&lt;"&amp;C5)+(COUNTIFS($D$2:$D$43,D5,$C$2:$C$43,C5)+1)/2)/COUNTIFS($D$2:$D$43,D5,$C$2:$C$43,"&gt;0"))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>
        <f>IFERROR((B25/B5)^(1/5)-1,"")</f>
        <v/>
      </c>
      <c r="L5" s="16" t="n"/>
    </row>
    <row r="6">
      <c r="A6" s="18" t="n">
        <v>42825</v>
      </c>
      <c r="B6" s="6" t="n">
        <v>11803.15</v>
      </c>
      <c r="C6" s="7" t="n">
        <v>24.77</v>
      </c>
      <c r="D6" s="2" t="inlineStr">
        <is>
          <t>Standalone</t>
        </is>
      </c>
      <c r="E6" s="21">
        <f>IFERROR(B6/C6,"")</f>
        <v/>
      </c>
      <c r="F6" s="16">
        <f>IF(AND(D6=D2,E2&lt;&gt;""),E6/E2-1,"")</f>
        <v/>
      </c>
      <c r="G6" s="16">
        <f>IF(C6="","",(COUNTIFS($D$2:$D$43,D6,$C$2:$C$43,"&gt;0",$C$2:$C$43,"&lt;"&amp;C6)+(COUNTIFS($D$2:$D$43,D6,$C$2:$C$43,C6)+1)/2)/COUNTIFS($D$2:$D$43,D6,$C$2:$C$43,"&gt;0"))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>
        <f>IFERROR((B18/B6)^(1/3)-1,"")</f>
        <v/>
      </c>
      <c r="K6" s="16">
        <f>IFERROR((B26/B6)^(1/5)-1,"")</f>
        <v/>
      </c>
      <c r="L6" s="16" t="n"/>
    </row>
    <row r="7">
      <c r="A7" s="18" t="n">
        <v>42916</v>
      </c>
      <c r="B7" s="6" t="n">
        <v>12990.75</v>
      </c>
      <c r="C7" s="7" t="n">
        <v>25.89</v>
      </c>
      <c r="D7" s="2" t="inlineStr">
        <is>
          <t>Standalone</t>
        </is>
      </c>
      <c r="E7" s="21">
        <f>IFERROR(B7/C7,"")</f>
        <v/>
      </c>
      <c r="F7" s="16">
        <f>IF(AND(D7=D3,E3&lt;&gt;""),E7/E3-1,"")</f>
        <v/>
      </c>
      <c r="G7" s="16">
        <f>IF(C7="","",(COUNTIFS($D$2:$D$43,D7,$C$2:$C$43,"&gt;0",$C$2:$C$43,"&lt;"&amp;C7)+(COUNTIFS($D$2:$D$43,D7,$C$2:$C$43,C7)+1)/2)/COUNTIFS($D$2:$D$43,D7,$C$2:$C$43,"&gt;0"))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>
        <f>IFERROR((B19/B7)^(1/3)-1,"")</f>
        <v/>
      </c>
      <c r="K7" s="16">
        <f>IFERROR((B27/B7)^(1/5)-1,"")</f>
        <v/>
      </c>
      <c r="L7" s="16" t="n"/>
    </row>
    <row r="8">
      <c r="A8" s="18" t="n">
        <v>43008</v>
      </c>
      <c r="B8" s="6" t="n">
        <v>13568.9</v>
      </c>
      <c r="C8" s="7" t="n">
        <v>27.74</v>
      </c>
      <c r="D8" s="2" t="inlineStr">
        <is>
          <t>Standalone</t>
        </is>
      </c>
      <c r="E8" s="21">
        <f>IFERROR(B8/C8,"")</f>
        <v/>
      </c>
      <c r="F8" s="16">
        <f>IF(AND(D8=D4,E4&lt;&gt;""),E8/E4-1,"")</f>
        <v/>
      </c>
      <c r="G8" s="16">
        <f>IF(C8="","",(COUNTIFS($D$2:$D$43,D8,$C$2:$C$43,"&gt;0",$C$2:$C$43,"&lt;"&amp;C8)+(COUNTIFS($D$2:$D$43,D8,$C$2:$C$43,C8)+1)/2)/COUNTIFS($D$2:$D$43,D8,$C$2:$C$43,"&gt;0"))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>
        <f>IFERROR((B20/B8)^(1/3)-1,"")</f>
        <v/>
      </c>
      <c r="K8" s="16">
        <f>IFERROR((B28/B8)^(1/5)-1,"")</f>
        <v/>
      </c>
      <c r="L8" s="16" t="n"/>
    </row>
    <row r="9">
      <c r="A9" s="18" t="n">
        <v>43100</v>
      </c>
      <c r="B9" s="6" t="n">
        <v>14139.65</v>
      </c>
      <c r="C9" s="7" t="n">
        <v>29.38</v>
      </c>
      <c r="D9" s="2" t="inlineStr">
        <is>
          <t>Standalone</t>
        </is>
      </c>
      <c r="E9" s="21">
        <f>IFERROR(B9/C9,"")</f>
        <v/>
      </c>
      <c r="F9" s="16">
        <f>IF(AND(D9=D5,E5&lt;&gt;""),E9/E5-1,"")</f>
        <v/>
      </c>
      <c r="G9" s="16">
        <f>IF(C9="","",(COUNTIFS($D$2:$D$43,D9,$C$2:$C$43,"&gt;0",$C$2:$C$43,"&lt;"&amp;C9)+(COUNTIFS($D$2:$D$43,D9,$C$2:$C$43,C9)+1)/2)/COUNTIFS($D$2:$D$43,D9,$C$2:$C$43,"&gt;0"))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>
        <f>IFERROR((B21/B9)^(1/3)-1,"")</f>
        <v/>
      </c>
      <c r="K9" s="16">
        <f>IFERROR((B29/B9)^(1/5)-1,"")</f>
        <v/>
      </c>
      <c r="L9" s="16" t="n"/>
    </row>
    <row r="10">
      <c r="A10" s="18" t="n">
        <v>43190</v>
      </c>
      <c r="B10" s="6" t="n">
        <v>13687.9</v>
      </c>
      <c r="C10" s="7" t="n">
        <v>28.41</v>
      </c>
      <c r="D10" s="2" t="inlineStr">
        <is>
          <t>Standalone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IF(C10="","",(COUNTIFS($D$2:$D$43,D10,$C$2:$C$43,"&gt;0",$C$2:$C$43,"&lt;"&amp;C10)+(COUNTIFS($D$2:$D$43,D10,$C$2:$C$43,C10)+1)/2)/COUNTIFS($D$2:$D$43,D10,$C$2:$C$43,"&gt;0"))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>
        <f>IFERROR((B22/B10)^(1/3)-1,"")</f>
        <v/>
      </c>
      <c r="K10" s="16">
        <f>IFERROR((B30/B10)^(1/5)-1,"")</f>
        <v/>
      </c>
      <c r="L10" s="16" t="n"/>
    </row>
    <row r="11">
      <c r="A11" s="18" t="n">
        <v>43281</v>
      </c>
      <c r="B11" s="6" t="n">
        <v>14961.75</v>
      </c>
      <c r="C11" s="7" t="n">
        <v>33.76</v>
      </c>
      <c r="D11" s="2" t="inlineStr">
        <is>
          <t>Standalone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IF(C11="","",(COUNTIFS($D$2:$D$43,D11,$C$2:$C$43,"&gt;0",$C$2:$C$43,"&lt;"&amp;C11)+(COUNTIFS($D$2:$D$43,D11,$C$2:$C$43,C11)+1)/2)/COUNTIFS($D$2:$D$43,D11,$C$2:$C$43,"&gt;0"))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>
        <f>IFERROR((B23/B11)^(1/3)-1,"")</f>
        <v/>
      </c>
      <c r="K11" s="16">
        <f>IFERROR((B31/B11)^(1/5)-1,"")</f>
        <v/>
      </c>
      <c r="L11" s="16" t="n"/>
    </row>
    <row r="12">
      <c r="A12" s="18" t="n">
        <v>43373</v>
      </c>
      <c r="B12" s="6" t="n">
        <v>14151.05</v>
      </c>
      <c r="C12" s="7" t="n">
        <v>35.62</v>
      </c>
      <c r="D12" s="2" t="inlineStr">
        <is>
          <t>Standalone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IF(C12="","",(COUNTIFS($D$2:$D$43,D12,$C$2:$C$43,"&gt;0",$C$2:$C$43,"&lt;"&amp;C12)+(COUNTIFS($D$2:$D$43,D12,$C$2:$C$43,C12)+1)/2)/COUNTIFS($D$2:$D$43,D12,$C$2:$C$43,"&gt;0"))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>
        <f>IFERROR((B24/B12)^(1/3)-1,"")</f>
        <v/>
      </c>
      <c r="K12" s="16">
        <f>IFERROR((B32/B12)^(1/5)-1,"")</f>
        <v/>
      </c>
      <c r="L12" s="16" t="n"/>
    </row>
    <row r="13">
      <c r="A13" s="18" t="n">
        <v>43465</v>
      </c>
      <c r="B13" s="6" t="n">
        <v>15292</v>
      </c>
      <c r="C13" s="7" t="n">
        <v>38.52</v>
      </c>
      <c r="D13" s="2" t="inlineStr">
        <is>
          <t>Standalone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IF(C13="","",(COUNTIFS($D$2:$D$43,D13,$C$2:$C$43,"&gt;0",$C$2:$C$43,"&lt;"&amp;C13)+(COUNTIFS($D$2:$D$43,D13,$C$2:$C$43,C13)+1)/2)/COUNTIFS($D$2:$D$43,D13,$C$2:$C$43,"&gt;0"))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>
        <f>IFERROR((B25/B13)^(1/3)-1,"")</f>
        <v/>
      </c>
      <c r="K13" s="16">
        <f>IFERROR((B33/B13)^(1/5)-1,"")</f>
        <v/>
      </c>
      <c r="L13" s="16" t="n"/>
    </row>
    <row r="14">
      <c r="A14" s="18" t="n">
        <v>43555</v>
      </c>
      <c r="B14" s="6" t="n">
        <v>17315.55</v>
      </c>
      <c r="C14" s="7" t="n">
        <v>40.83</v>
      </c>
      <c r="D14" s="2" t="inlineStr">
        <is>
          <t>Standalone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IF(C14="","",(COUNTIFS($D$2:$D$43,D14,$C$2:$C$43,"&gt;0",$C$2:$C$43,"&lt;"&amp;C14)+(COUNTIFS($D$2:$D$43,D14,$C$2:$C$43,C14)+1)/2)/COUNTIFS($D$2:$D$43,D14,$C$2:$C$43,"&gt;0"))</f>
        <v/>
      </c>
      <c r="H14">
        <f>IF(G14="","",IF(G14&lt;=20%,"Q1 Cheapest",IF(G14&lt;=40%,"Q2",IF(G14&lt;=60%,"Q3",IF(G14&lt;=80%,"Q4","Q5 Most Expensive")))))</f>
        <v/>
      </c>
      <c r="I14" s="16">
        <f>IFERROR(B18/B14-1,"")</f>
        <v/>
      </c>
      <c r="J14" s="16">
        <f>IFERROR((B26/B14)^(1/3)-1,"")</f>
        <v/>
      </c>
      <c r="K14" s="16">
        <f>IFERROR((B34/B14)^(1/5)-1,"")</f>
        <v/>
      </c>
      <c r="L14" s="16" t="n"/>
    </row>
    <row r="15">
      <c r="A15" s="18" t="n">
        <v>43646</v>
      </c>
      <c r="B15" s="6" t="n">
        <v>17197</v>
      </c>
      <c r="C15" s="7" t="n">
        <v>38.54</v>
      </c>
      <c r="D15" s="2" t="inlineStr">
        <is>
          <t>Standalone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IF(C15="","",(COUNTIFS($D$2:$D$43,D15,$C$2:$C$43,"&gt;0",$C$2:$C$43,"&lt;"&amp;C15)+(COUNTIFS($D$2:$D$43,D15,$C$2:$C$43,C15)+1)/2)/COUNTIFS($D$2:$D$43,D15,$C$2:$C$43,"&gt;0"))</f>
        <v/>
      </c>
      <c r="H15">
        <f>IF(G15="","",IF(G15&lt;=20%,"Q1 Cheapest",IF(G15&lt;=40%,"Q2",IF(G15&lt;=60%,"Q3",IF(G15&lt;=80%,"Q4","Q5 Most Expensive")))))</f>
        <v/>
      </c>
      <c r="I15" s="16">
        <f>IFERROR(B19/B15-1,"")</f>
        <v/>
      </c>
      <c r="J15" s="16">
        <f>IFERROR((B27/B15)^(1/3)-1,"")</f>
        <v/>
      </c>
      <c r="K15" s="16">
        <f>IFERROR((B35/B15)^(1/5)-1,"")</f>
        <v/>
      </c>
      <c r="L15" s="16" t="n"/>
    </row>
    <row r="16">
      <c r="A16" s="18" t="n">
        <v>43738</v>
      </c>
      <c r="B16" s="6" t="n">
        <v>16252.3</v>
      </c>
      <c r="C16" s="7" t="n">
        <v>37.39</v>
      </c>
      <c r="D16" s="2" t="inlineStr">
        <is>
          <t>Standalone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IF(C16="","",(COUNTIFS($D$2:$D$43,D16,$C$2:$C$43,"&gt;0",$C$2:$C$43,"&lt;"&amp;C16)+(COUNTIFS($D$2:$D$43,D16,$C$2:$C$43,C16)+1)/2)/COUNTIFS($D$2:$D$43,D16,$C$2:$C$43,"&gt;0"))</f>
        <v/>
      </c>
      <c r="H16">
        <f>IF(G16="","",IF(G16&lt;=20%,"Q1 Cheapest",IF(G16&lt;=40%,"Q2",IF(G16&lt;=60%,"Q3",IF(G16&lt;=80%,"Q4","Q5 Most Expensive")))))</f>
        <v/>
      </c>
      <c r="I16" s="16">
        <f>IFERROR(B20/B16-1,"")</f>
        <v/>
      </c>
      <c r="J16" s="16">
        <f>IFERROR((B28/B16)^(1/3)-1,"")</f>
        <v/>
      </c>
      <c r="K16" s="16">
        <f>IFERROR((B36/B16)^(1/5)-1,"")</f>
        <v/>
      </c>
      <c r="L16" s="16" t="n"/>
    </row>
    <row r="17">
      <c r="A17" s="18" t="n">
        <v>43830</v>
      </c>
      <c r="B17" s="6" t="n">
        <v>17767.6</v>
      </c>
      <c r="C17" s="7" t="n">
        <v>41.31</v>
      </c>
      <c r="D17" s="2" t="inlineStr">
        <is>
          <t>Standalone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IF(C17="","",(COUNTIFS($D$2:$D$43,D17,$C$2:$C$43,"&gt;0",$C$2:$C$43,"&lt;"&amp;C17)+(COUNTIFS($D$2:$D$43,D17,$C$2:$C$43,C17)+1)/2)/COUNTIFS($D$2:$D$43,D17,$C$2:$C$43,"&gt;0"))</f>
        <v/>
      </c>
      <c r="H17">
        <f>IF(G17="","",IF(G17&lt;=20%,"Q1 Cheapest",IF(G17&lt;=40%,"Q2",IF(G17&lt;=60%,"Q3",IF(G17&lt;=80%,"Q4","Q5 Most Expensive")))))</f>
        <v/>
      </c>
      <c r="I17" s="16">
        <f>IFERROR(B21/B17-1,"")</f>
        <v/>
      </c>
      <c r="J17" s="16">
        <f>IFERROR((B29/B17)^(1/3)-1,"")</f>
        <v/>
      </c>
      <c r="K17" s="16">
        <f>IFERROR((B37/B17)^(1/5)-1,"")</f>
        <v/>
      </c>
      <c r="L17" s="16" t="n"/>
    </row>
    <row r="18">
      <c r="A18" s="18" t="n">
        <v>43921</v>
      </c>
      <c r="B18" s="6" t="n">
        <v>10173.7</v>
      </c>
      <c r="C18" s="7" t="n">
        <v>18.97</v>
      </c>
      <c r="D18" s="2" t="inlineStr">
        <is>
          <t>Standalone</t>
        </is>
      </c>
      <c r="E18" s="21">
        <f>IFERROR(B18/C18,"")</f>
        <v/>
      </c>
      <c r="F18" s="16">
        <f>IF(AND(D18=D14,E14&lt;&gt;""),E18/E14-1,"")</f>
        <v/>
      </c>
      <c r="G18" s="16">
        <f>IF(C18="","",(COUNTIFS($D$2:$D$43,D18,$C$2:$C$43,"&gt;0",$C$2:$C$43,"&lt;"&amp;C18)+(COUNTIFS($D$2:$D$43,D18,$C$2:$C$43,C18)+1)/2)/COUNTIFS($D$2:$D$43,D18,$C$2:$C$43,"&gt;0"))</f>
        <v/>
      </c>
      <c r="H18">
        <f>IF(G18="","",IF(G18&lt;=20%,"Q1 Cheapest",IF(G18&lt;=40%,"Q2",IF(G18&lt;=60%,"Q3",IF(G18&lt;=80%,"Q4","Q5 Most Expensive")))))</f>
        <v/>
      </c>
      <c r="I18" s="16">
        <f>IFERROR(B22/B18-1,"")</f>
        <v/>
      </c>
      <c r="J18" s="16">
        <f>IFERROR((B30/B18)^(1/3)-1,"")</f>
        <v/>
      </c>
      <c r="K18" s="16">
        <f>IFERROR((B38/B18)^(1/5)-1,"")</f>
        <v/>
      </c>
      <c r="L18" s="16" t="n"/>
    </row>
    <row r="19">
      <c r="A19" s="18" t="n">
        <v>44012</v>
      </c>
      <c r="B19" s="6" t="n">
        <v>11721.25</v>
      </c>
      <c r="C19" s="7" t="n">
        <v>23.76</v>
      </c>
      <c r="D19" s="2" t="inlineStr">
        <is>
          <t>Standalone</t>
        </is>
      </c>
      <c r="E19" s="21">
        <f>IFERROR(B19/C19,"")</f>
        <v/>
      </c>
      <c r="F19" s="16">
        <f>IF(AND(D19=D15,E15&lt;&gt;""),E19/E15-1,"")</f>
        <v/>
      </c>
      <c r="G19" s="16">
        <f>IF(C19="","",(COUNTIFS($D$2:$D$43,D19,$C$2:$C$43,"&gt;0",$C$2:$C$43,"&lt;"&amp;C19)+(COUNTIFS($D$2:$D$43,D19,$C$2:$C$43,C19)+1)/2)/COUNTIFS($D$2:$D$43,D19,$C$2:$C$43,"&gt;0"))</f>
        <v/>
      </c>
      <c r="H19">
        <f>IF(G19="","",IF(G19&lt;=20%,"Q1 Cheapest",IF(G19&lt;=40%,"Q2",IF(G19&lt;=60%,"Q3",IF(G19&lt;=80%,"Q4","Q5 Most Expensive")))))</f>
        <v/>
      </c>
      <c r="I19" s="16">
        <f>IFERROR(B23/B19-1,"")</f>
        <v/>
      </c>
      <c r="J19" s="16">
        <f>IFERROR((B31/B19)^(1/3)-1,"")</f>
        <v/>
      </c>
      <c r="K19" s="16">
        <f>IFERROR((B39/B19)^(1/5)-1,"")</f>
        <v/>
      </c>
      <c r="L19" s="16" t="n"/>
    </row>
    <row r="20">
      <c r="A20" s="18" t="n">
        <v>44104</v>
      </c>
      <c r="B20" s="6" t="n">
        <v>11816.65</v>
      </c>
      <c r="C20" s="7" t="n">
        <v>25.81</v>
      </c>
      <c r="D20" s="2" t="inlineStr">
        <is>
          <t>Standalone</t>
        </is>
      </c>
      <c r="E20" s="21">
        <f>IFERROR(B20/C20,"")</f>
        <v/>
      </c>
      <c r="F20" s="16">
        <f>IF(AND(D20=D16,E16&lt;&gt;""),E20/E16-1,"")</f>
        <v/>
      </c>
      <c r="G20" s="16">
        <f>IF(C20="","",(COUNTIFS($D$2:$D$43,D20,$C$2:$C$43,"&gt;0",$C$2:$C$43,"&lt;"&amp;C20)+(COUNTIFS($D$2:$D$43,D20,$C$2:$C$43,C20)+1)/2)/COUNTIFS($D$2:$D$43,D20,$C$2:$C$43,"&gt;0"))</f>
        <v/>
      </c>
      <c r="H20">
        <f>IF(G20="","",IF(G20&lt;=20%,"Q1 Cheapest",IF(G20&lt;=40%,"Q2",IF(G20&lt;=60%,"Q3",IF(G20&lt;=80%,"Q4","Q5 Most Expensive")))))</f>
        <v/>
      </c>
      <c r="I20" s="16">
        <f>IFERROR(B24/B20-1,"")</f>
        <v/>
      </c>
      <c r="J20" s="16">
        <f>IFERROR((B32/B20)^(1/3)-1,"")</f>
        <v/>
      </c>
      <c r="K20" s="16">
        <f>IFERROR((B40/B20)^(1/5)-1,"")</f>
        <v/>
      </c>
      <c r="L20" s="16" t="n"/>
    </row>
    <row r="21">
      <c r="A21" s="18" t="n">
        <v>44196</v>
      </c>
      <c r="B21" s="6" t="n">
        <v>17251.75</v>
      </c>
      <c r="C21" s="7" t="n">
        <v>33.64</v>
      </c>
      <c r="D21" s="2" t="inlineStr">
        <is>
          <t>Standalone</t>
        </is>
      </c>
      <c r="E21" s="21">
        <f>IFERROR(B21/C21,"")</f>
        <v/>
      </c>
      <c r="F21" s="16">
        <f>IF(AND(D21=D17,E17&lt;&gt;""),E21/E17-1,"")</f>
        <v/>
      </c>
      <c r="G21" s="16">
        <f>IF(C21="","",(COUNTIFS($D$2:$D$43,D21,$C$2:$C$43,"&gt;0",$C$2:$C$43,"&lt;"&amp;C21)+(COUNTIFS($D$2:$D$43,D21,$C$2:$C$43,C21)+1)/2)/COUNTIFS($D$2:$D$43,D21,$C$2:$C$43,"&gt;0"))</f>
        <v/>
      </c>
      <c r="H21">
        <f>IF(G21="","",IF(G21&lt;=20%,"Q1 Cheapest",IF(G21&lt;=40%,"Q2",IF(G21&lt;=60%,"Q3",IF(G21&lt;=80%,"Q4","Q5 Most Expensive")))))</f>
        <v/>
      </c>
      <c r="I21" s="16">
        <f>IFERROR(B25/B21-1,"")</f>
        <v/>
      </c>
      <c r="J21" s="16">
        <f>IFERROR((B33/B21)^(1/3)-1,"")</f>
        <v/>
      </c>
      <c r="K21" s="16">
        <f>IFERROR((B41/B21)^(1/5)-1,"")</f>
        <v/>
      </c>
      <c r="L21" s="16" t="n"/>
    </row>
    <row r="22">
      <c r="A22" s="18" t="n">
        <v>44286</v>
      </c>
      <c r="B22" s="6" t="n">
        <v>17763.85</v>
      </c>
      <c r="C22" s="7" t="n">
        <v>33.04</v>
      </c>
      <c r="D22" s="2" t="inlineStr">
        <is>
          <t>Consolidated</t>
        </is>
      </c>
      <c r="E22" s="21">
        <f>IFERROR(B22/C22,"")</f>
        <v/>
      </c>
      <c r="F22" s="16">
        <f>IF(AND(D22=D18,E18&lt;&gt;""),E22/E18-1,"")</f>
        <v/>
      </c>
      <c r="G22" s="16">
        <f>IF(C22="","",(COUNTIFS($D$2:$D$43,D22,$C$2:$C$43,"&gt;0",$C$2:$C$43,"&lt;"&amp;C22)+(COUNTIFS($D$2:$D$43,D22,$C$2:$C$43,C22)+1)/2)/COUNTIFS($D$2:$D$43,D22,$C$2:$C$43,"&gt;0"))</f>
        <v/>
      </c>
      <c r="H22">
        <f>IF(G22="","",IF(G22&lt;=20%,"Q1 Cheapest",IF(G22&lt;=40%,"Q2",IF(G22&lt;=60%,"Q3",IF(G22&lt;=80%,"Q4","Q5 Most Expensive")))))</f>
        <v/>
      </c>
      <c r="I22" s="16">
        <f>IFERROR(B26/B22-1,"")</f>
        <v/>
      </c>
      <c r="J22" s="16">
        <f>IFERROR((B34/B22)^(1/3)-1,"")</f>
        <v/>
      </c>
      <c r="K22" s="16">
        <f>IFERROR((B42/B22)^(1/5)-1,"")</f>
        <v/>
      </c>
      <c r="L22" s="16" t="n"/>
    </row>
    <row r="23">
      <c r="A23" s="18" t="n">
        <v>44377</v>
      </c>
      <c r="B23" s="6" t="n">
        <v>18293.5</v>
      </c>
      <c r="C23" s="7" t="n">
        <v>28.44</v>
      </c>
      <c r="D23" s="2" t="inlineStr">
        <is>
          <t>Consolidated</t>
        </is>
      </c>
      <c r="E23" s="21">
        <f>IFERROR(B23/C23,"")</f>
        <v/>
      </c>
      <c r="F23" s="16">
        <f>IF(AND(D23=D19,E19&lt;&gt;""),E23/E19-1,"")</f>
        <v/>
      </c>
      <c r="G23" s="16">
        <f>IF(C23="","",(COUNTIFS($D$2:$D$43,D23,$C$2:$C$43,"&gt;0",$C$2:$C$43,"&lt;"&amp;C23)+(COUNTIFS($D$2:$D$43,D23,$C$2:$C$43,C23)+1)/2)/COUNTIFS($D$2:$D$43,D23,$C$2:$C$43,"&gt;0"))</f>
        <v/>
      </c>
      <c r="H23">
        <f>IF(G23="","",IF(G23&lt;=20%,"Q1 Cheapest",IF(G23&lt;=40%,"Q2",IF(G23&lt;=60%,"Q3",IF(G23&lt;=80%,"Q4","Q5 Most Expensive")))))</f>
        <v/>
      </c>
      <c r="I23" s="16">
        <f>IFERROR(B27/B23-1,"")</f>
        <v/>
      </c>
      <c r="J23" s="16">
        <f>IFERROR((B35/B23)^(1/3)-1,"")</f>
        <v/>
      </c>
      <c r="K23" s="16">
        <f>IFERROR((B43/B23)^(1/5)-1,"")</f>
        <v/>
      </c>
      <c r="L23" s="16" t="n"/>
    </row>
    <row r="24">
      <c r="A24" s="18" t="n">
        <v>44469</v>
      </c>
      <c r="B24" s="6" t="n">
        <v>19447.95</v>
      </c>
      <c r="C24" s="7" t="n">
        <v>26.53</v>
      </c>
      <c r="D24" s="2" t="inlineStr">
        <is>
          <t>Consolidated</t>
        </is>
      </c>
      <c r="E24" s="21">
        <f>IFERROR(B24/C24,"")</f>
        <v/>
      </c>
      <c r="F24" s="16">
        <f>IF(AND(D24=D20,E20&lt;&gt;""),E24/E20-1,"")</f>
        <v/>
      </c>
      <c r="G24" s="16">
        <f>IF(C24="","",(COUNTIFS($D$2:$D$43,D24,$C$2:$C$43,"&gt;0",$C$2:$C$43,"&lt;"&amp;C24)+(COUNTIFS($D$2:$D$43,D24,$C$2:$C$43,C24)+1)/2)/COUNTIFS($D$2:$D$43,D24,$C$2:$C$43,"&gt;0"))</f>
        <v/>
      </c>
      <c r="H24">
        <f>IF(G24="","",IF(G24&lt;=20%,"Q1 Cheapest",IF(G24&lt;=40%,"Q2",IF(G24&lt;=60%,"Q3",IF(G24&lt;=80%,"Q4","Q5 Most Expensive")))))</f>
        <v/>
      </c>
      <c r="I24" s="16">
        <f>IFERROR(B28/B24-1,"")</f>
        <v/>
      </c>
      <c r="J24" s="16">
        <f>IFERROR((B36/B24)^(1/3)-1,"")</f>
        <v/>
      </c>
      <c r="K24" s="16" t="n"/>
      <c r="L24" s="16" t="n"/>
    </row>
    <row r="25">
      <c r="A25" s="18" t="n">
        <v>44561</v>
      </c>
      <c r="B25" s="6" t="n">
        <v>18041.85</v>
      </c>
      <c r="C25" s="7" t="n">
        <v>24.81</v>
      </c>
      <c r="D25" s="2" t="inlineStr">
        <is>
          <t>Consolidated</t>
        </is>
      </c>
      <c r="E25" s="21">
        <f>IFERROR(B25/C25,"")</f>
        <v/>
      </c>
      <c r="F25" s="16">
        <f>IF(AND(D25=D21,E21&lt;&gt;""),E25/E21-1,"")</f>
        <v/>
      </c>
      <c r="G25" s="16">
        <f>IF(C25="","",(COUNTIFS($D$2:$D$43,D25,$C$2:$C$43,"&gt;0",$C$2:$C$43,"&lt;"&amp;C25)+(COUNTIFS($D$2:$D$43,D25,$C$2:$C$43,C25)+1)/2)/COUNTIFS($D$2:$D$43,D25,$C$2:$C$43,"&gt;0"))</f>
        <v/>
      </c>
      <c r="H25">
        <f>IF(G25="","",IF(G25&lt;=20%,"Q1 Cheapest",IF(G25&lt;=40%,"Q2",IF(G25&lt;=60%,"Q3",IF(G25&lt;=80%,"Q4","Q5 Most Expensive")))))</f>
        <v/>
      </c>
      <c r="I25" s="16">
        <f>IFERROR(B29/B25-1,"")</f>
        <v/>
      </c>
      <c r="J25" s="16">
        <f>IFERROR((B37/B25)^(1/3)-1,"")</f>
        <v/>
      </c>
      <c r="K25" s="16" t="n"/>
      <c r="L25" s="16" t="n"/>
    </row>
    <row r="26">
      <c r="A26" s="18" t="n">
        <v>44651</v>
      </c>
      <c r="B26" s="6" t="n">
        <v>18420.8</v>
      </c>
      <c r="C26" s="7" t="n">
        <v>23.1</v>
      </c>
      <c r="D26" s="2" t="inlineStr">
        <is>
          <t>Consolidated</t>
        </is>
      </c>
      <c r="E26" s="21">
        <f>IFERROR(B26/C26,"")</f>
        <v/>
      </c>
      <c r="F26" s="16">
        <f>IF(AND(D26=D22,E22&lt;&gt;""),E26/E22-1,"")</f>
        <v/>
      </c>
      <c r="G26" s="16">
        <f>IF(C26="","",(COUNTIFS($D$2:$D$43,D26,$C$2:$C$43,"&gt;0",$C$2:$C$43,"&lt;"&amp;C26)+(COUNTIFS($D$2:$D$43,D26,$C$2:$C$43,C26)+1)/2)/COUNTIFS($D$2:$D$43,D26,$C$2:$C$43,"&gt;0"))</f>
        <v/>
      </c>
      <c r="H26">
        <f>IF(G26="","",IF(G26&lt;=20%,"Q1 Cheapest",IF(G26&lt;=40%,"Q2",IF(G26&lt;=60%,"Q3",IF(G26&lt;=80%,"Q4","Q5 Most Expensive")))))</f>
        <v/>
      </c>
      <c r="I26" s="16">
        <f>IFERROR(B30/B26-1,"")</f>
        <v/>
      </c>
      <c r="J26" s="16">
        <f>IFERROR((B38/B26)^(1/3)-1,"")</f>
        <v/>
      </c>
      <c r="K26" s="16" t="n"/>
      <c r="L26" s="16" t="n"/>
    </row>
    <row r="27">
      <c r="A27" s="18" t="n">
        <v>44742</v>
      </c>
      <c r="B27" s="6" t="n">
        <v>16720.95</v>
      </c>
      <c r="C27" s="7" t="n">
        <v>18.27</v>
      </c>
      <c r="D27" s="2" t="inlineStr">
        <is>
          <t>Consolidated</t>
        </is>
      </c>
      <c r="E27" s="21">
        <f>IFERROR(B27/C27,"")</f>
        <v/>
      </c>
      <c r="F27" s="16">
        <f>IF(AND(D27=D23,E23&lt;&gt;""),E27/E23-1,"")</f>
        <v/>
      </c>
      <c r="G27" s="16">
        <f>IF(C27="","",(COUNTIFS($D$2:$D$43,D27,$C$2:$C$43,"&gt;0",$C$2:$C$43,"&lt;"&amp;C27)+(COUNTIFS($D$2:$D$43,D27,$C$2:$C$43,C27)+1)/2)/COUNTIFS($D$2:$D$43,D27,$C$2:$C$43,"&gt;0"))</f>
        <v/>
      </c>
      <c r="H27">
        <f>IF(G27="","",IF(G27&lt;=20%,"Q1 Cheapest",IF(G27&lt;=40%,"Q2",IF(G27&lt;=60%,"Q3",IF(G27&lt;=80%,"Q4","Q5 Most Expensive")))))</f>
        <v/>
      </c>
      <c r="I27" s="16">
        <f>IFERROR(B31/B27-1,"")</f>
        <v/>
      </c>
      <c r="J27" s="16">
        <f>IFERROR((B39/B27)^(1/3)-1,"")</f>
        <v/>
      </c>
      <c r="K27" s="16" t="n"/>
      <c r="L27" s="16" t="n"/>
    </row>
    <row r="28">
      <c r="A28" s="18" t="n">
        <v>44834</v>
      </c>
      <c r="B28" s="6" t="n">
        <v>19932.45</v>
      </c>
      <c r="C28" s="7" t="n">
        <v>19.03</v>
      </c>
      <c r="D28" s="2" t="inlineStr">
        <is>
          <t>Consolidated</t>
        </is>
      </c>
      <c r="E28" s="21">
        <f>IFERROR(B28/C28,"")</f>
        <v/>
      </c>
      <c r="F28" s="16">
        <f>IF(AND(D28=D24,E24&lt;&gt;""),E28/E24-1,"")</f>
        <v/>
      </c>
      <c r="G28" s="16">
        <f>IF(C28="","",(COUNTIFS($D$2:$D$43,D28,$C$2:$C$43,"&gt;0",$C$2:$C$43,"&lt;"&amp;C28)+(COUNTIFS($D$2:$D$43,D28,$C$2:$C$43,C28)+1)/2)/COUNTIFS($D$2:$D$43,D28,$C$2:$C$43,"&gt;0"))</f>
        <v/>
      </c>
      <c r="H28">
        <f>IF(G28="","",IF(G28&lt;=20%,"Q1 Cheapest",IF(G28&lt;=40%,"Q2",IF(G28&lt;=60%,"Q3",IF(G28&lt;=80%,"Q4","Q5 Most Expensive")))))</f>
        <v/>
      </c>
      <c r="I28" s="16">
        <f>IFERROR(B32/B28-1,"")</f>
        <v/>
      </c>
      <c r="J28" s="16">
        <f>IFERROR((B40/B28)^(1/3)-1,"")</f>
        <v/>
      </c>
      <c r="K28" s="16" t="n"/>
      <c r="L28" s="16" t="n"/>
    </row>
    <row r="29">
      <c r="A29" s="18" t="n">
        <v>44926</v>
      </c>
      <c r="B29" s="6" t="n">
        <v>21862</v>
      </c>
      <c r="C29" s="7" t="n">
        <v>18.12</v>
      </c>
      <c r="D29" s="2" t="inlineStr">
        <is>
          <t>Consolidated</t>
        </is>
      </c>
      <c r="E29" s="21">
        <f>IFERROR(B29/C29,"")</f>
        <v/>
      </c>
      <c r="F29" s="16">
        <f>IF(AND(D29=D25,E25&lt;&gt;""),E29/E25-1,"")</f>
        <v/>
      </c>
      <c r="G29" s="16">
        <f>IF(C29="","",(COUNTIFS($D$2:$D$43,D29,$C$2:$C$43,"&gt;0",$C$2:$C$43,"&lt;"&amp;C29)+(COUNTIFS($D$2:$D$43,D29,$C$2:$C$43,C29)+1)/2)/COUNTIFS($D$2:$D$43,D29,$C$2:$C$43,"&gt;0"))</f>
        <v/>
      </c>
      <c r="H29">
        <f>IF(G29="","",IF(G29&lt;=20%,"Q1 Cheapest",IF(G29&lt;=40%,"Q2",IF(G29&lt;=60%,"Q3",IF(G29&lt;=80%,"Q4","Q5 Most Expensive")))))</f>
        <v/>
      </c>
      <c r="I29" s="16">
        <f>IFERROR(B33/B29-1,"")</f>
        <v/>
      </c>
      <c r="J29" s="16">
        <f>IFERROR((B41/B29)^(1/3)-1,"")</f>
        <v/>
      </c>
      <c r="K29" s="16" t="n"/>
      <c r="L29" s="16" t="n"/>
    </row>
    <row r="30">
      <c r="A30" s="18" t="n">
        <v>45016</v>
      </c>
      <c r="B30" s="6" t="n">
        <v>20618.1</v>
      </c>
      <c r="C30" s="7" t="n">
        <v>15.79</v>
      </c>
      <c r="D30" s="2" t="inlineStr">
        <is>
          <t>Consolidated</t>
        </is>
      </c>
      <c r="E30" s="21">
        <f>IFERROR(B30/C30,"")</f>
        <v/>
      </c>
      <c r="F30" s="16">
        <f>IF(AND(D30=D26,E26&lt;&gt;""),E30/E26-1,"")</f>
        <v/>
      </c>
      <c r="G30" s="16">
        <f>IF(C30="","",(COUNTIFS($D$2:$D$43,D30,$C$2:$C$43,"&gt;0",$C$2:$C$43,"&lt;"&amp;C30)+(COUNTIFS($D$2:$D$43,D30,$C$2:$C$43,C30)+1)/2)/COUNTIFS($D$2:$D$43,D30,$C$2:$C$43,"&gt;0"))</f>
        <v/>
      </c>
      <c r="H30">
        <f>IF(G30="","",IF(G30&lt;=20%,"Q1 Cheapest",IF(G30&lt;=40%,"Q2",IF(G30&lt;=60%,"Q3",IF(G30&lt;=80%,"Q4","Q5 Most Expensive")))))</f>
        <v/>
      </c>
      <c r="I30" s="16">
        <f>IFERROR(B34/B30-1,"")</f>
        <v/>
      </c>
      <c r="J30" s="16">
        <f>IFERROR((B42/B30)^(1/3)-1,"")</f>
        <v/>
      </c>
      <c r="K30" s="16" t="n"/>
      <c r="L30" s="16" t="n"/>
    </row>
    <row r="31">
      <c r="A31" s="18" t="n">
        <v>45107</v>
      </c>
      <c r="B31" s="6" t="n">
        <v>22923.15</v>
      </c>
      <c r="C31" s="7" t="n">
        <v>17.99</v>
      </c>
      <c r="D31" s="2" t="inlineStr">
        <is>
          <t>Consolidated</t>
        </is>
      </c>
      <c r="E31" s="21">
        <f>IFERROR(B31/C31,"")</f>
        <v/>
      </c>
      <c r="F31" s="16">
        <f>IF(AND(D31=D27,E27&lt;&gt;""),E31/E27-1,"")</f>
        <v/>
      </c>
      <c r="G31" s="16">
        <f>IF(C31="","",(COUNTIFS($D$2:$D$43,D31,$C$2:$C$43,"&gt;0",$C$2:$C$43,"&lt;"&amp;C31)+(COUNTIFS($D$2:$D$43,D31,$C$2:$C$43,C31)+1)/2)/COUNTIFS($D$2:$D$43,D31,$C$2:$C$43,"&gt;0"))</f>
        <v/>
      </c>
      <c r="H31">
        <f>IF(G31="","",IF(G31&lt;=20%,"Q1 Cheapest",IF(G31&lt;=40%,"Q2",IF(G31&lt;=60%,"Q3",IF(G31&lt;=80%,"Q4","Q5 Most Expensive")))))</f>
        <v/>
      </c>
      <c r="I31" s="16">
        <f>IFERROR(B35/B31-1,"")</f>
        <v/>
      </c>
      <c r="J31" s="16">
        <f>IFERROR((B43/B31)^(1/3)-1,"")</f>
        <v/>
      </c>
      <c r="K31" s="16" t="n"/>
      <c r="L31" s="16" t="n"/>
    </row>
    <row r="32">
      <c r="A32" s="18" t="n">
        <v>45199</v>
      </c>
      <c r="B32" s="6" t="n">
        <v>23101.9</v>
      </c>
      <c r="C32" s="7" t="n">
        <v>18.38</v>
      </c>
      <c r="D32" s="2" t="inlineStr">
        <is>
          <t>Consolidated</t>
        </is>
      </c>
      <c r="E32" s="21">
        <f>IFERROR(B32/C32,"")</f>
        <v/>
      </c>
      <c r="F32" s="16">
        <f>IF(AND(D32=D28,E28&lt;&gt;""),E32/E28-1,"")</f>
        <v/>
      </c>
      <c r="G32" s="16">
        <f>IF(C32="","",(COUNTIFS($D$2:$D$43,D32,$C$2:$C$43,"&gt;0",$C$2:$C$43,"&lt;"&amp;C32)+(COUNTIFS($D$2:$D$43,D32,$C$2:$C$43,C32)+1)/2)/COUNTIFS($D$2:$D$43,D32,$C$2:$C$43,"&gt;0"))</f>
        <v/>
      </c>
      <c r="H32">
        <f>IF(G32="","",IF(G32&lt;=20%,"Q1 Cheapest",IF(G32&lt;=40%,"Q2",IF(G32&lt;=60%,"Q3",IF(G32&lt;=80%,"Q4","Q5 Most Expensive")))))</f>
        <v/>
      </c>
      <c r="I32" s="16">
        <f>IFERROR(B36/B32-1,"")</f>
        <v/>
      </c>
      <c r="J32" s="16" t="n"/>
      <c r="K32" s="16" t="n"/>
      <c r="L32" s="16" t="n"/>
    </row>
    <row r="33">
      <c r="A33" s="18" t="n">
        <v>45291</v>
      </c>
      <c r="B33" s="6" t="n">
        <v>24875.65</v>
      </c>
      <c r="C33" s="7" t="n">
        <v>18.45</v>
      </c>
      <c r="D33" s="2" t="inlineStr">
        <is>
          <t>Consolidated</t>
        </is>
      </c>
      <c r="E33" s="21">
        <f>IFERROR(B33/C33,"")</f>
        <v/>
      </c>
      <c r="F33" s="16">
        <f>IF(AND(D33=D29,E29&lt;&gt;""),E33/E29-1,"")</f>
        <v/>
      </c>
      <c r="G33" s="16">
        <f>IF(C33="","",(COUNTIFS($D$2:$D$43,D33,$C$2:$C$43,"&gt;0",$C$2:$C$43,"&lt;"&amp;C33)+(COUNTIFS($D$2:$D$43,D33,$C$2:$C$43,C33)+1)/2)/COUNTIFS($D$2:$D$43,D33,$C$2:$C$43,"&gt;0"))</f>
        <v/>
      </c>
      <c r="H33">
        <f>IF(G33="","",IF(G33&lt;=20%,"Q1 Cheapest",IF(G33&lt;=40%,"Q2",IF(G33&lt;=60%,"Q3",IF(G33&lt;=80%,"Q4","Q5 Most Expensive")))))</f>
        <v/>
      </c>
      <c r="I33" s="16">
        <f>IFERROR(B37/B33-1,"")</f>
        <v/>
      </c>
      <c r="J33" s="16" t="n"/>
      <c r="K33" s="16" t="n"/>
      <c r="L33" s="16" t="n"/>
    </row>
    <row r="34">
      <c r="A34" s="18" t="n">
        <v>45382</v>
      </c>
      <c r="B34" s="6" t="n">
        <v>23555.85</v>
      </c>
      <c r="C34" s="7" t="n">
        <v>16.42</v>
      </c>
      <c r="D34" s="2" t="inlineStr">
        <is>
          <t>Consolidated</t>
        </is>
      </c>
      <c r="E34" s="21">
        <f>IFERROR(B34/C34,"")</f>
        <v/>
      </c>
      <c r="F34" s="16">
        <f>IF(AND(D34=D30,E30&lt;&gt;""),E34/E30-1,"")</f>
        <v/>
      </c>
      <c r="G34" s="16">
        <f>IF(C34="","",(COUNTIFS($D$2:$D$43,D34,$C$2:$C$43,"&gt;0",$C$2:$C$43,"&lt;"&amp;C34)+(COUNTIFS($D$2:$D$43,D34,$C$2:$C$43,C34)+1)/2)/COUNTIFS($D$2:$D$43,D34,$C$2:$C$43,"&gt;0"))</f>
        <v/>
      </c>
      <c r="H34">
        <f>IF(G34="","",IF(G34&lt;=20%,"Q1 Cheapest",IF(G34&lt;=40%,"Q2",IF(G34&lt;=60%,"Q3",IF(G34&lt;=80%,"Q4","Q5 Most Expensive")))))</f>
        <v/>
      </c>
      <c r="I34" s="16">
        <f>IFERROR(B38/B34-1,"")</f>
        <v/>
      </c>
      <c r="J34" s="16" t="n"/>
      <c r="K34" s="16" t="n"/>
      <c r="L34" s="16" t="n"/>
    </row>
    <row r="35">
      <c r="A35" s="18" t="n">
        <v>45473</v>
      </c>
      <c r="B35" s="6" t="n">
        <v>26075.5</v>
      </c>
      <c r="C35" s="7" t="n">
        <v>16.52</v>
      </c>
      <c r="D35" s="2" t="inlineStr">
        <is>
          <t>Consolidated</t>
        </is>
      </c>
      <c r="E35" s="21">
        <f>IFERROR(B35/C35,"")</f>
        <v/>
      </c>
      <c r="F35" s="16">
        <f>IF(AND(D35=D31,E31&lt;&gt;""),E35/E31-1,"")</f>
        <v/>
      </c>
      <c r="G35" s="16">
        <f>IF(C35="","",(COUNTIFS($D$2:$D$43,D35,$C$2:$C$43,"&gt;0",$C$2:$C$43,"&lt;"&amp;C35)+(COUNTIFS($D$2:$D$43,D35,$C$2:$C$43,C35)+1)/2)/COUNTIFS($D$2:$D$43,D35,$C$2:$C$43,"&gt;0"))</f>
        <v/>
      </c>
      <c r="H35">
        <f>IF(G35="","",IF(G35&lt;=20%,"Q1 Cheapest",IF(G35&lt;=40%,"Q2",IF(G35&lt;=60%,"Q3",IF(G35&lt;=80%,"Q4","Q5 Most Expensive")))))</f>
        <v/>
      </c>
      <c r="I35" s="16">
        <f>IFERROR(B39/B35-1,"")</f>
        <v/>
      </c>
      <c r="J35" s="16" t="n"/>
      <c r="K35" s="16" t="n"/>
      <c r="L35" s="16" t="n"/>
    </row>
    <row r="36">
      <c r="A36" s="18" t="n">
        <v>45565</v>
      </c>
      <c r="B36" s="6" t="n">
        <v>26501.85</v>
      </c>
      <c r="C36" s="7" t="n">
        <v>16.06</v>
      </c>
      <c r="D36" s="2" t="inlineStr">
        <is>
          <t>Consolidated</t>
        </is>
      </c>
      <c r="E36" s="21">
        <f>IFERROR(B36/C36,"")</f>
        <v/>
      </c>
      <c r="F36" s="16">
        <f>IF(AND(D36=D32,E32&lt;&gt;""),E36/E32-1,"")</f>
        <v/>
      </c>
      <c r="G36" s="16">
        <f>IF(C36="","",(COUNTIFS($D$2:$D$43,D36,$C$2:$C$43,"&gt;0",$C$2:$C$43,"&lt;"&amp;C36)+(COUNTIFS($D$2:$D$43,D36,$C$2:$C$43,C36)+1)/2)/COUNTIFS($D$2:$D$43,D36,$C$2:$C$43,"&gt;0"))</f>
        <v/>
      </c>
      <c r="H36">
        <f>IF(G36="","",IF(G36&lt;=20%,"Q1 Cheapest",IF(G36&lt;=40%,"Q2",IF(G36&lt;=60%,"Q3",IF(G36&lt;=80%,"Q4","Q5 Most Expensive")))))</f>
        <v/>
      </c>
      <c r="I36" s="16">
        <f>IFERROR(B40/B36-1,"")</f>
        <v/>
      </c>
      <c r="J36" s="16" t="n"/>
      <c r="K36" s="16" t="n"/>
      <c r="L36" s="16" t="n"/>
    </row>
    <row r="37">
      <c r="A37" s="18" t="n">
        <v>45657</v>
      </c>
      <c r="B37" s="6" t="n">
        <v>24780</v>
      </c>
      <c r="C37" s="7" t="n">
        <v>14.62</v>
      </c>
      <c r="D37" s="2" t="inlineStr">
        <is>
          <t>Consolidated</t>
        </is>
      </c>
      <c r="E37" s="21">
        <f>IFERROR(B37/C37,"")</f>
        <v/>
      </c>
      <c r="F37" s="16">
        <f>IF(AND(D37=D33,E33&lt;&gt;""),E37/E33-1,"")</f>
        <v/>
      </c>
      <c r="G37" s="16">
        <f>IF(C37="","",(COUNTIFS($D$2:$D$43,D37,$C$2:$C$43,"&gt;0",$C$2:$C$43,"&lt;"&amp;C37)+(COUNTIFS($D$2:$D$43,D37,$C$2:$C$43,C37)+1)/2)/COUNTIFS($D$2:$D$43,D37,$C$2:$C$43,"&gt;0"))</f>
        <v/>
      </c>
      <c r="H37">
        <f>IF(G37="","",IF(G37&lt;=20%,"Q1 Cheapest",IF(G37&lt;=40%,"Q2",IF(G37&lt;=60%,"Q3",IF(G37&lt;=80%,"Q4","Q5 Most Expensive")))))</f>
        <v/>
      </c>
      <c r="I37" s="16">
        <f>IFERROR(B41/B37-1,"")</f>
        <v/>
      </c>
      <c r="J37" s="16" t="n"/>
      <c r="K37" s="16" t="n"/>
      <c r="L37" s="16" t="n"/>
    </row>
    <row r="38">
      <c r="A38" s="18" t="n">
        <v>45747</v>
      </c>
      <c r="B38" s="6" t="n">
        <v>25733.35</v>
      </c>
      <c r="C38" s="7" t="n">
        <v>15.41</v>
      </c>
      <c r="D38" s="2" t="inlineStr">
        <is>
          <t>Consolidated</t>
        </is>
      </c>
      <c r="E38" s="21">
        <f>IFERROR(B38/C38,"")</f>
        <v/>
      </c>
      <c r="F38" s="16">
        <f>IF(AND(D38=D34,E34&lt;&gt;""),E38/E34-1,"")</f>
        <v/>
      </c>
      <c r="G38" s="16">
        <f>IF(C38="","",(COUNTIFS($D$2:$D$43,D38,$C$2:$C$43,"&gt;0",$C$2:$C$43,"&lt;"&amp;C38)+(COUNTIFS($D$2:$D$43,D38,$C$2:$C$43,C38)+1)/2)/COUNTIFS($D$2:$D$43,D38,$C$2:$C$43,"&gt;0"))</f>
        <v/>
      </c>
      <c r="H38">
        <f>IF(G38="","",IF(G38&lt;=20%,"Q1 Cheapest",IF(G38&lt;=40%,"Q2",IF(G38&lt;=60%,"Q3",IF(G38&lt;=80%,"Q4","Q5 Most Expensive")))))</f>
        <v/>
      </c>
      <c r="I38" s="16">
        <f>IFERROR(B42/B38-1,"")</f>
        <v/>
      </c>
      <c r="J38" s="16" t="n"/>
      <c r="K38" s="16" t="n"/>
      <c r="L38" s="16" t="n"/>
    </row>
    <row r="39">
      <c r="A39" s="18" t="n">
        <v>45838</v>
      </c>
      <c r="B39" s="6" t="n">
        <v>28254.6</v>
      </c>
      <c r="C39" s="7" t="n">
        <v>18.06</v>
      </c>
      <c r="D39" s="2" t="inlineStr">
        <is>
          <t>Consolidated</t>
        </is>
      </c>
      <c r="E39" s="21">
        <f>IFERROR(B39/C39,"")</f>
        <v/>
      </c>
      <c r="F39" s="16">
        <f>IF(AND(D39=D35,E35&lt;&gt;""),E39/E35-1,"")</f>
        <v/>
      </c>
      <c r="G39" s="16">
        <f>IF(C39="","",(COUNTIFS($D$2:$D$43,D39,$C$2:$C$43,"&gt;0",$C$2:$C$43,"&lt;"&amp;C39)+(COUNTIFS($D$2:$D$43,D39,$C$2:$C$43,C39)+1)/2)/COUNTIFS($D$2:$D$43,D39,$C$2:$C$43,"&gt;0"))</f>
        <v/>
      </c>
      <c r="H39">
        <f>IF(G39="","",IF(G39&lt;=20%,"Q1 Cheapest",IF(G39&lt;=40%,"Q2",IF(G39&lt;=60%,"Q3",IF(G39&lt;=80%,"Q4","Q5 Most Expensive")))))</f>
        <v/>
      </c>
      <c r="I39" s="16">
        <f>IFERROR(B43/B39-1,"")</f>
        <v/>
      </c>
      <c r="J39" s="16" t="n"/>
      <c r="K39" s="16" t="n"/>
      <c r="L39" s="16" t="n"/>
    </row>
    <row r="40">
      <c r="A40" s="18" t="n">
        <v>45930</v>
      </c>
      <c r="B40" s="6" t="n">
        <v>26462.45</v>
      </c>
      <c r="C40" s="7" t="n">
        <v>17.77</v>
      </c>
      <c r="D40" s="2" t="inlineStr">
        <is>
          <t>Consolidated</t>
        </is>
      </c>
      <c r="E40" s="21">
        <f>IFERROR(B40/C40,"")</f>
        <v/>
      </c>
      <c r="F40" s="16">
        <f>IF(AND(D40=D36,E36&lt;&gt;""),E40/E36-1,"")</f>
        <v/>
      </c>
      <c r="G40" s="16">
        <f>IF(C40="","",(COUNTIFS($D$2:$D$43,D40,$C$2:$C$43,"&gt;0",$C$2:$C$43,"&lt;"&amp;C40)+(COUNTIFS($D$2:$D$43,D40,$C$2:$C$43,C40)+1)/2)/COUNTIFS($D$2:$D$43,D40,$C$2:$C$43,"&gt;0"))</f>
        <v/>
      </c>
      <c r="H40">
        <f>IF(G40="","",IF(G40&lt;=20%,"Q1 Cheapest",IF(G40&lt;=40%,"Q2",IF(G40&lt;=60%,"Q3",IF(G40&lt;=80%,"Q4","Q5 Most Expensive")))))</f>
        <v/>
      </c>
      <c r="I40" s="16" t="n"/>
      <c r="J40" s="16" t="n"/>
      <c r="K40" s="16" t="n"/>
      <c r="L40" s="16" t="n"/>
    </row>
    <row r="41">
      <c r="A41" s="18" t="n">
        <v>46022</v>
      </c>
      <c r="B41" s="6" t="n">
        <v>28721.15</v>
      </c>
      <c r="C41" s="7" t="n">
        <v>20.14</v>
      </c>
      <c r="D41" s="2" t="inlineStr">
        <is>
          <t>Consolidated</t>
        </is>
      </c>
      <c r="E41" s="21">
        <f>IFERROR(B41/C41,"")</f>
        <v/>
      </c>
      <c r="F41" s="16">
        <f>IF(AND(D41=D37,E37&lt;&gt;""),E41/E37-1,"")</f>
        <v/>
      </c>
      <c r="G41" s="16">
        <f>IF(C41="","",(COUNTIFS($D$2:$D$43,D41,$C$2:$C$43,"&gt;0",$C$2:$C$43,"&lt;"&amp;C41)+(COUNTIFS($D$2:$D$43,D41,$C$2:$C$43,C41)+1)/2)/COUNTIFS($D$2:$D$43,D41,$C$2:$C$43,"&gt;0"))</f>
        <v/>
      </c>
      <c r="H41">
        <f>IF(G41="","",IF(G41&lt;=20%,"Q1 Cheapest",IF(G41&lt;=40%,"Q2",IF(G41&lt;=60%,"Q3",IF(G41&lt;=80%,"Q4","Q5 Most Expensive")))))</f>
        <v/>
      </c>
      <c r="I41" s="16" t="n"/>
      <c r="J41" s="16" t="n"/>
      <c r="K41" s="16" t="n"/>
      <c r="L41" s="16" t="n"/>
    </row>
    <row r="42">
      <c r="A42" s="18" t="n">
        <v>46112</v>
      </c>
      <c r="B42" s="6" t="n">
        <v>24144.85</v>
      </c>
      <c r="C42" s="7" t="n">
        <v>16.86</v>
      </c>
      <c r="D42" s="2" t="inlineStr">
        <is>
          <t>Consolidated</t>
        </is>
      </c>
      <c r="E42" s="21">
        <f>IFERROR(B42/C42,"")</f>
        <v/>
      </c>
      <c r="F42" s="16">
        <f>IF(AND(D42=D38,E38&lt;&gt;""),E42/E38-1,"")</f>
        <v/>
      </c>
      <c r="G42" s="16">
        <f>IF(C42="","",(COUNTIFS($D$2:$D$43,D42,$C$2:$C$43,"&gt;0",$C$2:$C$43,"&lt;"&amp;C42)+(COUNTIFS($D$2:$D$43,D42,$C$2:$C$43,C42)+1)/2)/COUNTIFS($D$2:$D$43,D42,$C$2:$C$43,"&gt;0"))</f>
        <v/>
      </c>
      <c r="H42">
        <f>IF(G42="","",IF(G42&lt;=20%,"Q1 Cheapest",IF(G42&lt;=40%,"Q2",IF(G42&lt;=60%,"Q3",IF(G42&lt;=80%,"Q4","Q5 Most Expensive")))))</f>
        <v/>
      </c>
      <c r="I42" s="16" t="n"/>
      <c r="J42" s="16" t="n"/>
      <c r="K42" s="16" t="n"/>
      <c r="L42" s="16" t="n"/>
    </row>
    <row r="43">
      <c r="A43" s="18" t="n">
        <v>46203</v>
      </c>
      <c r="B43" s="6" t="n">
        <v>27929.15</v>
      </c>
      <c r="C43" s="7" t="n">
        <v>18.21</v>
      </c>
      <c r="D43" s="2" t="inlineStr">
        <is>
          <t>Consolidated</t>
        </is>
      </c>
      <c r="E43" s="21">
        <f>IFERROR(B43/C43,"")</f>
        <v/>
      </c>
      <c r="F43" s="16">
        <f>IF(AND(D43=D39,E39&lt;&gt;""),E43/E39-1,"")</f>
        <v/>
      </c>
      <c r="G43" s="16">
        <f>IF(C43="","",(COUNTIFS($D$2:$D$43,D43,$C$2:$C$43,"&gt;0",$C$2:$C$43,"&lt;"&amp;C43)+(COUNTIFS($D$2:$D$43,D43,$C$2:$C$43,C43)+1)/2)/COUNTIFS($D$2:$D$43,D43,$C$2:$C$43,"&gt;0"))</f>
        <v/>
      </c>
      <c r="H43">
        <f>IF(G43="","",IF(G43&lt;=20%,"Q1 Cheapest",IF(G43&lt;=40%,"Q2",IF(G43&lt;=60%,"Q3",IF(G43&lt;=80%,"Q4","Q5 Most Expensive")))))</f>
        <v/>
      </c>
      <c r="I43" s="16" t="n"/>
      <c r="J43" s="16" t="n"/>
      <c r="K43" s="16" t="n"/>
      <c r="L43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27290</v>
      </c>
      <c r="C2" s="7" t="n">
        <v>16.99</v>
      </c>
      <c r="D2" s="8" t="n">
        <v>0.340909090909</v>
      </c>
      <c r="E2" s="8" t="n">
        <v>0.0774131256887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  <row r="3">
      <c r="A3" s="18" t="n">
        <v>46286</v>
      </c>
      <c r="B3" s="6" t="n">
        <v>27370.1</v>
      </c>
      <c r="C3" s="7" t="n">
        <v>17.04</v>
      </c>
      <c r="D3" s="8" t="n">
        <v>0.356060606061</v>
      </c>
      <c r="E3" s="8" t="n">
        <v>0.0772729846848</v>
      </c>
      <c r="F3" s="22">
        <f>IF(D3="","",100*(1-D3))</f>
        <v/>
      </c>
      <c r="G3" s="22">
        <f>IF(E3="","",IF(E3&lt;=0,20,IF(E3&lt;5%,20+400*E3,IF(E3&lt;10%,40+400*(E3-5%),IF(E3&lt;15%,60+400*(E3-10%),IF(E3&lt;25%,80+200*(E3-15%),100))))))</f>
        <v/>
      </c>
      <c r="H3" s="22">
        <f>IF(OR(F3="",G3=""),"",70%*F3+30%*G3)</f>
        <v/>
      </c>
      <c r="I3">
        <f>IF(H3="","",IF(H3&gt;=70,"BUY",IF(H3&gt;=40,"HOLD","SELL")))</f>
        <v/>
      </c>
    </row>
    <row r="4">
      <c r="A4" s="18" t="n">
        <v>46287</v>
      </c>
      <c r="B4" s="6" t="n">
        <v>27286</v>
      </c>
      <c r="C4" s="7" t="n">
        <v>16.99</v>
      </c>
      <c r="D4" s="8" t="n">
        <v>0.340909090909</v>
      </c>
      <c r="E4" s="8" t="n">
        <v>0.0770317626524</v>
      </c>
      <c r="F4" s="22">
        <f>IF(D4="","",100*(1-D4))</f>
        <v/>
      </c>
      <c r="G4" s="22">
        <f>IF(E4="","",IF(E4&lt;=0,20,IF(E4&lt;5%,20+400*E4,IF(E4&lt;10%,40+400*(E4-5%),IF(E4&lt;15%,60+400*(E4-10%),IF(E4&lt;25%,80+200*(E4-15%),100))))))</f>
        <v/>
      </c>
      <c r="H4" s="22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2026-09-22T17:40:43Z</dcterms:created>
  <dcterms:modified xsi:type="dcterms:W3CDTF">2026-09-22T17:40:43Z</dcterms:modified>
</cp:coreProperties>
</file>