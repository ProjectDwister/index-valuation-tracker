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privatebank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0" customWidth="1" min="7" max="7"/>
  </cols>
  <sheetData>
    <row r="1" ht="26" customHeight="1">
      <c r="A1" s="1" t="inlineStr">
        <is>
          <t>NIFTY Private Bank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27052.6</v>
      </c>
      <c r="D5" s="2" t="inlineStr">
        <is>
          <t>P/E</t>
        </is>
      </c>
      <c r="E5" s="25" t="n">
        <v>15.56</v>
      </c>
    </row>
    <row r="6">
      <c r="A6" s="2" t="inlineStr">
        <is>
          <t>P/E percentile</t>
        </is>
      </c>
      <c r="B6" s="26" t="n">
        <v>0.1492537313432836</v>
      </c>
      <c r="D6" s="2" t="inlineStr">
        <is>
          <t>Implied EPS</t>
        </is>
      </c>
      <c r="E6" s="27" t="n">
        <v>1738.598971722365</v>
      </c>
    </row>
    <row r="7">
      <c r="A7" s="2" t="inlineStr">
        <is>
          <t>YoY implied EPS growth</t>
        </is>
      </c>
      <c r="B7" s="26" t="n">
        <v>0.215101069145996</v>
      </c>
      <c r="D7" s="2" t="inlineStr">
        <is>
          <t>Earnings yield</t>
        </is>
      </c>
      <c r="E7" s="10" t="n">
        <v>0.06426735218508997</v>
      </c>
    </row>
    <row r="8">
      <c r="A8" s="2" t="inlineStr">
        <is>
          <t>Valuation score</t>
        </is>
      </c>
      <c r="B8" s="28" t="n">
        <v>85.07462686567165</v>
      </c>
      <c r="D8" s="2" t="inlineStr">
        <is>
          <t>Growth score</t>
        </is>
      </c>
      <c r="E8" s="28" t="n">
        <v>93.02021382919921</v>
      </c>
    </row>
    <row r="9">
      <c r="A9" s="2" t="inlineStr">
        <is>
          <t>Composite score</t>
        </is>
      </c>
      <c r="B9" s="28" t="n">
        <v>87.4583029547299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17.34360046763629</v>
      </c>
      <c r="C13" s="15" t="n">
        <v>30153.56593899597</v>
      </c>
      <c r="D13" s="30" t="n">
        <v>0.1146272794110723</v>
      </c>
    </row>
    <row r="14">
      <c r="A14" t="inlineStr">
        <is>
          <t>HOLD → SELL</t>
        </is>
      </c>
      <c r="B14" s="29" t="n">
        <v>22.53534596358391</v>
      </c>
      <c r="C14" s="15" t="n">
        <v>39179.92931969473</v>
      </c>
      <c r="D14" s="30" t="n">
        <v>0.4482870156544929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0.2199912671598415</v>
      </c>
      <c r="D18" s="30" t="n">
        <v>0.2094594666687641</v>
      </c>
      <c r="E18" s="30" t="n">
        <v>0.1343470290153976</v>
      </c>
      <c r="F18" s="30" t="n">
        <v>0.1046356453554642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0.1596819493101418</v>
      </c>
      <c r="D19" s="30" t="n">
        <v>0.1992039662582881</v>
      </c>
      <c r="E19" s="30" t="n">
        <v>0.1505100390295857</v>
      </c>
      <c r="F19" s="30" t="n">
        <v>0.09530545770115362</v>
      </c>
      <c r="G19" s="30" t="n">
        <v>0.25</v>
      </c>
    </row>
    <row r="20">
      <c r="A20" t="inlineStr">
        <is>
          <t>Q3</t>
        </is>
      </c>
      <c r="B20" t="n">
        <v>8</v>
      </c>
      <c r="C20" s="30" t="n">
        <v>0.1375181857641727</v>
      </c>
      <c r="D20" s="30" t="n">
        <v>0.06830763381321048</v>
      </c>
      <c r="E20" s="30" t="n">
        <v>0.08266513822431121</v>
      </c>
      <c r="F20" s="30" t="n"/>
      <c r="G20" s="30" t="n">
        <v>0.3333333333333333</v>
      </c>
    </row>
    <row r="21">
      <c r="A21" t="inlineStr">
        <is>
          <t>Q4</t>
        </is>
      </c>
      <c r="B21" t="n">
        <v>9</v>
      </c>
      <c r="C21" s="30" t="n">
        <v>0.1478295461837095</v>
      </c>
      <c r="D21" s="30" t="n">
        <v>0.09906435339065678</v>
      </c>
      <c r="E21" s="30" t="n">
        <v>0.1028642077212545</v>
      </c>
      <c r="F21" s="30" t="n"/>
      <c r="G21" s="30" t="n">
        <v>0</v>
      </c>
    </row>
    <row r="22">
      <c r="A22" t="inlineStr">
        <is>
          <t>Q5 Most Expensive</t>
        </is>
      </c>
      <c r="B22" t="n">
        <v>9</v>
      </c>
      <c r="C22" s="30" t="n">
        <v>0.0249126514619793</v>
      </c>
      <c r="D22" s="30" t="n">
        <v>0.09863617314615425</v>
      </c>
      <c r="E22" s="30" t="n">
        <v>0.0687952295806411</v>
      </c>
      <c r="F22" s="30" t="n"/>
      <c r="G22" s="30" t="n">
        <v>0.1111111111111111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43</v>
      </c>
    </row>
    <row r="27">
      <c r="A27" s="2" t="inlineStr">
        <is>
          <t>Backtest start</t>
        </is>
      </c>
      <c r="B27" t="inlineStr">
        <is>
          <t>2016-03-31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17582.45</v>
      </c>
      <c r="C2" s="25" t="n">
        <v>30.53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18694.9</v>
      </c>
      <c r="C3" s="25" t="n">
        <v>29.04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18293.5</v>
      </c>
      <c r="C4" s="25" t="n">
        <v>28.44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17975.85</v>
      </c>
      <c r="C5" s="25" t="n">
        <v>26.09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18837.65</v>
      </c>
      <c r="C6" s="25" t="n">
        <v>28.83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19447.95</v>
      </c>
      <c r="C7" s="25" t="n">
        <v>26.53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20192.2</v>
      </c>
      <c r="C8" s="25" t="n">
        <v>25.64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18213.85</v>
      </c>
      <c r="C9" s="25" t="n">
        <v>25.06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18041.85</v>
      </c>
      <c r="C10" s="25" t="n">
        <v>24.81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19037.15</v>
      </c>
      <c r="C11" s="25" t="n">
        <v>24.37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18397.85</v>
      </c>
      <c r="C12" s="25" t="n">
        <v>22.91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18420.8</v>
      </c>
      <c r="C13" s="25" t="n">
        <v>23.1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18326.3</v>
      </c>
      <c r="C14" s="25" t="n">
        <v>21.98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18112.4</v>
      </c>
      <c r="C15" s="25" t="n">
        <v>19.89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16720.95</v>
      </c>
      <c r="C16" s="25" t="n">
        <v>18.27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19045.7</v>
      </c>
      <c r="C17" s="25" t="n">
        <v>18.36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20320.5</v>
      </c>
      <c r="C18" s="25" t="n">
        <v>19.17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19932.45</v>
      </c>
      <c r="C19" s="25" t="n">
        <v>19.03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21193.9</v>
      </c>
      <c r="C20" s="25" t="n">
        <v>18.54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22018.6</v>
      </c>
      <c r="C21" s="25" t="n">
        <v>18.25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21862</v>
      </c>
      <c r="C22" s="25" t="n">
        <v>18.12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20731.35</v>
      </c>
      <c r="C23" s="25" t="n">
        <v>16.04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20587</v>
      </c>
      <c r="C24" s="25" t="n">
        <v>15.92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20618.1</v>
      </c>
      <c r="C25" s="25" t="n">
        <v>15.79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21885.75</v>
      </c>
      <c r="C26" s="25" t="n">
        <v>16.19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22470.7</v>
      </c>
      <c r="C27" s="25" t="n">
        <v>17.5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22923.15</v>
      </c>
      <c r="C28" s="25" t="n">
        <v>17.99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23411.1</v>
      </c>
      <c r="C29" s="25" t="n">
        <v>18.36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22921.85</v>
      </c>
      <c r="C30" s="25" t="n">
        <v>17.91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23101.9</v>
      </c>
      <c r="C31" s="25" t="n">
        <v>18.38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22235.25</v>
      </c>
      <c r="C32" s="25" t="n">
        <v>16.34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23136.8</v>
      </c>
      <c r="C33" s="25" t="n">
        <v>17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24875.65</v>
      </c>
      <c r="C34" s="25" t="n">
        <v>18.45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23594.45</v>
      </c>
      <c r="C35" s="25" t="n">
        <v>16.66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23104.7</v>
      </c>
      <c r="C36" s="25" t="n">
        <v>16.22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23555.85</v>
      </c>
      <c r="C37" s="25" t="n">
        <v>16.42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24535.95</v>
      </c>
      <c r="C38" s="25" t="n">
        <v>15.48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24224.1</v>
      </c>
      <c r="C39" s="25" t="n">
        <v>15.35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26075.5</v>
      </c>
      <c r="C40" s="25" t="n">
        <v>16.52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25712.1</v>
      </c>
      <c r="C41" s="25" t="n">
        <v>15.56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25687.75</v>
      </c>
      <c r="C42" s="25" t="n">
        <v>15.55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26501.85</v>
      </c>
      <c r="C43" s="25" t="n">
        <v>16.06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25220.45</v>
      </c>
      <c r="C44" s="25" t="n">
        <v>15.1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25327.95</v>
      </c>
      <c r="C45" s="25" t="n">
        <v>15.17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24780</v>
      </c>
      <c r="C46" s="25" t="n">
        <v>14.62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24386</v>
      </c>
      <c r="C47" s="25" t="n">
        <v>14.24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24225.15</v>
      </c>
      <c r="C48" s="25" t="n">
        <v>14.39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25733.35</v>
      </c>
      <c r="C49" s="25" t="n">
        <v>15.41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27450.3</v>
      </c>
      <c r="C50" s="25" t="n">
        <v>16.41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27576.65</v>
      </c>
      <c r="C51" s="25" t="n">
        <v>17.6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28254.6</v>
      </c>
      <c r="C52" s="25" t="n">
        <v>18.06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27085.45</v>
      </c>
      <c r="C53" s="25" t="n">
        <v>18.14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26058.2</v>
      </c>
      <c r="C54" s="25" t="n">
        <v>17.48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26462.45</v>
      </c>
      <c r="C55" s="25" t="n">
        <v>17.77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28050.65</v>
      </c>
      <c r="C56" s="25" t="n">
        <v>19.75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28789.4</v>
      </c>
      <c r="C57" s="25" t="n">
        <v>20.29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28721.15</v>
      </c>
      <c r="C58" s="25" t="n">
        <v>20.14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28553.15</v>
      </c>
      <c r="C59" s="25" t="n">
        <v>20.03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28617.55</v>
      </c>
      <c r="C60" s="25" t="n">
        <v>20.04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24144.85</v>
      </c>
      <c r="C61" s="25" t="n">
        <v>16.86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26281.75</v>
      </c>
      <c r="C62" s="25" t="n">
        <v>17.44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26326.4</v>
      </c>
      <c r="C63" s="25" t="n">
        <v>17.3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27929.15</v>
      </c>
      <c r="C64" s="25" t="n">
        <v>18.21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27522.65</v>
      </c>
      <c r="C65" s="25" t="n">
        <v>17.15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28005.75</v>
      </c>
      <c r="C66" s="25" t="n">
        <v>17.44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26695.6</v>
      </c>
      <c r="C67" s="25" t="n">
        <v>16.49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42460</v>
      </c>
      <c r="B2" s="24" t="n">
        <v>9086.75</v>
      </c>
      <c r="C2" s="25" t="n">
        <v>16.88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IF(C2="","",(COUNTIFS($D$2:$D$44,D2,$C$2:$C$44,"&gt;0",$C$2:$C$44,"&lt;"&amp;C2)+(COUNTIFS($D$2:$D$44,D2,$C$2:$C$44,C2)+1)/2)/COUNTIFS($D$2:$D$44,D2,$C$2:$C$44,"&gt;0"))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42551</v>
      </c>
      <c r="B3" s="24" t="n">
        <v>10141.6</v>
      </c>
      <c r="C3" s="25" t="n">
        <v>20.03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IF(C3="","",(COUNTIFS($D$2:$D$44,D3,$C$2:$C$44,"&gt;0",$C$2:$C$44,"&lt;"&amp;C3)+(COUNTIFS($D$2:$D$44,D3,$C$2:$C$44,C3)+1)/2)/COUNTIFS($D$2:$D$44,D3,$C$2:$C$44,"&gt;0"))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42643</v>
      </c>
      <c r="B4" s="24" t="n">
        <v>10742.05</v>
      </c>
      <c r="C4" s="25" t="n">
        <v>21.59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IF(C4="","",(COUNTIFS($D$2:$D$44,D4,$C$2:$C$44,"&gt;0",$C$2:$C$44,"&lt;"&amp;C4)+(COUNTIFS($D$2:$D$44,D4,$C$2:$C$44,C4)+1)/2)/COUNTIFS($D$2:$D$44,D4,$C$2:$C$44,"&gt;0"))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42735</v>
      </c>
      <c r="B5" s="24" t="n">
        <v>10042.8</v>
      </c>
      <c r="C5" s="25" t="n">
        <v>20.45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IF(C5="","",(COUNTIFS($D$2:$D$44,D5,$C$2:$C$44,"&gt;0",$C$2:$C$44,"&lt;"&amp;C5)+(COUNTIFS($D$2:$D$44,D5,$C$2:$C$44,C5)+1)/2)/COUNTIFS($D$2:$D$44,D5,$C$2:$C$44,"&gt;0"))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42825</v>
      </c>
      <c r="B6" s="24" t="n">
        <v>11803.15</v>
      </c>
      <c r="C6" s="25" t="n">
        <v>24.77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IF(C6="","",(COUNTIFS($D$2:$D$44,D6,$C$2:$C$44,"&gt;0",$C$2:$C$44,"&lt;"&amp;C6)+(COUNTIFS($D$2:$D$44,D6,$C$2:$C$44,C6)+1)/2)/COUNTIFS($D$2:$D$44,D6,$C$2:$C$44,"&gt;0"))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42916</v>
      </c>
      <c r="B7" s="24" t="n">
        <v>12990.75</v>
      </c>
      <c r="C7" s="25" t="n">
        <v>25.89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IF(C7="","",(COUNTIFS($D$2:$D$44,D7,$C$2:$C$44,"&gt;0",$C$2:$C$44,"&lt;"&amp;C7)+(COUNTIFS($D$2:$D$44,D7,$C$2:$C$44,C7)+1)/2)/COUNTIFS($D$2:$D$44,D7,$C$2:$C$44,"&gt;0"))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43008</v>
      </c>
      <c r="B8" s="24" t="n">
        <v>13568.9</v>
      </c>
      <c r="C8" s="25" t="n">
        <v>27.74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IF(C8="","",(COUNTIFS($D$2:$D$44,D8,$C$2:$C$44,"&gt;0",$C$2:$C$44,"&lt;"&amp;C8)+(COUNTIFS($D$2:$D$44,D8,$C$2:$C$44,C8)+1)/2)/COUNTIFS($D$2:$D$44,D8,$C$2:$C$44,"&gt;0"))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43100</v>
      </c>
      <c r="B9" s="24" t="n">
        <v>14139.65</v>
      </c>
      <c r="C9" s="25" t="n">
        <v>29.38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IF(C9="","",(COUNTIFS($D$2:$D$44,D9,$C$2:$C$44,"&gt;0",$C$2:$C$44,"&lt;"&amp;C9)+(COUNTIFS($D$2:$D$44,D9,$C$2:$C$44,C9)+1)/2)/COUNTIFS($D$2:$D$44,D9,$C$2:$C$44,"&gt;0"))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43190</v>
      </c>
      <c r="B10" s="24" t="n">
        <v>13687.9</v>
      </c>
      <c r="C10" s="25" t="n">
        <v>28.41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IF(C10="","",(COUNTIFS($D$2:$D$44,D10,$C$2:$C$44,"&gt;0",$C$2:$C$44,"&lt;"&amp;C10)+(COUNTIFS($D$2:$D$44,D10,$C$2:$C$44,C10)+1)/2)/COUNTIFS($D$2:$D$44,D10,$C$2:$C$44,"&gt;0"))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43281</v>
      </c>
      <c r="B11" s="24" t="n">
        <v>14961.75</v>
      </c>
      <c r="C11" s="25" t="n">
        <v>33.76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IF(C11="","",(COUNTIFS($D$2:$D$44,D11,$C$2:$C$44,"&gt;0",$C$2:$C$44,"&lt;"&amp;C11)+(COUNTIFS($D$2:$D$44,D11,$C$2:$C$44,C11)+1)/2)/COUNTIFS($D$2:$D$44,D11,$C$2:$C$44,"&gt;0"))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43373</v>
      </c>
      <c r="B12" s="24" t="n">
        <v>14151.05</v>
      </c>
      <c r="C12" s="25" t="n">
        <v>35.62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IF(C12="","",(COUNTIFS($D$2:$D$44,D12,$C$2:$C$44,"&gt;0",$C$2:$C$44,"&lt;"&amp;C12)+(COUNTIFS($D$2:$D$44,D12,$C$2:$C$44,C12)+1)/2)/COUNTIFS($D$2:$D$44,D12,$C$2:$C$44,"&gt;0"))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43465</v>
      </c>
      <c r="B13" s="24" t="n">
        <v>15292</v>
      </c>
      <c r="C13" s="25" t="n">
        <v>38.52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IF(C13="","",(COUNTIFS($D$2:$D$44,D13,$C$2:$C$44,"&gt;0",$C$2:$C$44,"&lt;"&amp;C13)+(COUNTIFS($D$2:$D$44,D13,$C$2:$C$44,C13)+1)/2)/COUNTIFS($D$2:$D$44,D13,$C$2:$C$44,"&gt;0"))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43555</v>
      </c>
      <c r="B14" s="24" t="n">
        <v>17315.55</v>
      </c>
      <c r="C14" s="25" t="n">
        <v>40.83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IF(C14="","",(COUNTIFS($D$2:$D$44,D14,$C$2:$C$44,"&gt;0",$C$2:$C$44,"&lt;"&amp;C14)+(COUNTIFS($D$2:$D$44,D14,$C$2:$C$44,C14)+1)/2)/COUNTIFS($D$2:$D$44,D14,$C$2:$C$44,"&gt;0"))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43646</v>
      </c>
      <c r="B15" s="24" t="n">
        <v>17197</v>
      </c>
      <c r="C15" s="25" t="n">
        <v>38.54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IF(C15="","",(COUNTIFS($D$2:$D$44,D15,$C$2:$C$44,"&gt;0",$C$2:$C$44,"&lt;"&amp;C15)+(COUNTIFS($D$2:$D$44,D15,$C$2:$C$44,C15)+1)/2)/COUNTIFS($D$2:$D$44,D15,$C$2:$C$44,"&gt;0"))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43738</v>
      </c>
      <c r="B16" s="24" t="n">
        <v>16252.3</v>
      </c>
      <c r="C16" s="25" t="n">
        <v>37.39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IF(C16="","",(COUNTIFS($D$2:$D$44,D16,$C$2:$C$44,"&gt;0",$C$2:$C$44,"&lt;"&amp;C16)+(COUNTIFS($D$2:$D$44,D16,$C$2:$C$44,C16)+1)/2)/COUNTIFS($D$2:$D$44,D16,$C$2:$C$44,"&gt;0"))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43830</v>
      </c>
      <c r="B17" s="24" t="n">
        <v>17767.6</v>
      </c>
      <c r="C17" s="25" t="n">
        <v>41.31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IF(C17="","",(COUNTIFS($D$2:$D$44,D17,$C$2:$C$44,"&gt;0",$C$2:$C$44,"&lt;"&amp;C17)+(COUNTIFS($D$2:$D$44,D17,$C$2:$C$44,C17)+1)/2)/COUNTIFS($D$2:$D$44,D17,$C$2:$C$44,"&gt;0"))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43921</v>
      </c>
      <c r="B18" s="24" t="n">
        <v>10173.7</v>
      </c>
      <c r="C18" s="25" t="n">
        <v>18.97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IF(C18="","",(COUNTIFS($D$2:$D$44,D18,$C$2:$C$44,"&gt;0",$C$2:$C$44,"&lt;"&amp;C18)+(COUNTIFS($D$2:$D$44,D18,$C$2:$C$44,C18)+1)/2)/COUNTIFS($D$2:$D$44,D18,$C$2:$C$44,"&gt;0"))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44012</v>
      </c>
      <c r="B19" s="24" t="n">
        <v>11721.25</v>
      </c>
      <c r="C19" s="25" t="n">
        <v>23.76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IF(C19="","",(COUNTIFS($D$2:$D$44,D19,$C$2:$C$44,"&gt;0",$C$2:$C$44,"&lt;"&amp;C19)+(COUNTIFS($D$2:$D$44,D19,$C$2:$C$44,C19)+1)/2)/COUNTIFS($D$2:$D$44,D19,$C$2:$C$44,"&gt;0"))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44104</v>
      </c>
      <c r="B20" s="24" t="n">
        <v>11816.65</v>
      </c>
      <c r="C20" s="25" t="n">
        <v>25.81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IF(C20="","",(COUNTIFS($D$2:$D$44,D20,$C$2:$C$44,"&gt;0",$C$2:$C$44,"&lt;"&amp;C20)+(COUNTIFS($D$2:$D$44,D20,$C$2:$C$44,C20)+1)/2)/COUNTIFS($D$2:$D$44,D20,$C$2:$C$44,"&gt;0"))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44196</v>
      </c>
      <c r="B21" s="24" t="n">
        <v>17251.75</v>
      </c>
      <c r="C21" s="25" t="n">
        <v>33.64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IF(C21="","",(COUNTIFS($D$2:$D$44,D21,$C$2:$C$44,"&gt;0",$C$2:$C$44,"&lt;"&amp;C21)+(COUNTIFS($D$2:$D$44,D21,$C$2:$C$44,C21)+1)/2)/COUNTIFS($D$2:$D$44,D21,$C$2:$C$44,"&gt;0"))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44286</v>
      </c>
      <c r="B22" s="24" t="n">
        <v>17763.85</v>
      </c>
      <c r="C22" s="25" t="n">
        <v>33.04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IF(C22="","",(COUNTIFS($D$2:$D$44,D22,$C$2:$C$44,"&gt;0",$C$2:$C$44,"&lt;"&amp;C22)+(COUNTIFS($D$2:$D$44,D22,$C$2:$C$44,C22)+1)/2)/COUNTIFS($D$2:$D$44,D22,$C$2:$C$44,"&gt;0"))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44377</v>
      </c>
      <c r="B23" s="24" t="n">
        <v>18293.5</v>
      </c>
      <c r="C23" s="25" t="n">
        <v>28.44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IF(C23="","",(COUNTIFS($D$2:$D$44,D23,$C$2:$C$44,"&gt;0",$C$2:$C$44,"&lt;"&amp;C23)+(COUNTIFS($D$2:$D$44,D23,$C$2:$C$44,C23)+1)/2)/COUNTIFS($D$2:$D$44,D23,$C$2:$C$44,"&gt;0"))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44469</v>
      </c>
      <c r="B24" s="24" t="n">
        <v>19447.95</v>
      </c>
      <c r="C24" s="25" t="n">
        <v>26.53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IF(C24="","",(COUNTIFS($D$2:$D$44,D24,$C$2:$C$44,"&gt;0",$C$2:$C$44,"&lt;"&amp;C24)+(COUNTIFS($D$2:$D$44,D24,$C$2:$C$44,C24)+1)/2)/COUNTIFS($D$2:$D$44,D24,$C$2:$C$44,"&gt;0"))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44561</v>
      </c>
      <c r="B25" s="24" t="n">
        <v>18041.85</v>
      </c>
      <c r="C25" s="25" t="n">
        <v>24.81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IF(C25="","",(COUNTIFS($D$2:$D$44,D25,$C$2:$C$44,"&gt;0",$C$2:$C$44,"&lt;"&amp;C25)+(COUNTIFS($D$2:$D$44,D25,$C$2:$C$44,C25)+1)/2)/COUNTIFS($D$2:$D$44,D25,$C$2:$C$44,"&gt;0"))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44651</v>
      </c>
      <c r="B26" s="24" t="n">
        <v>18420.8</v>
      </c>
      <c r="C26" s="25" t="n">
        <v>23.1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IF(C26="","",(COUNTIFS($D$2:$D$44,D26,$C$2:$C$44,"&gt;0",$C$2:$C$44,"&lt;"&amp;C26)+(COUNTIFS($D$2:$D$44,D26,$C$2:$C$44,C26)+1)/2)/COUNTIFS($D$2:$D$44,D26,$C$2:$C$44,"&gt;0"))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44742</v>
      </c>
      <c r="B27" s="24" t="n">
        <v>16720.95</v>
      </c>
      <c r="C27" s="25" t="n">
        <v>18.27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IF(C27="","",(COUNTIFS($D$2:$D$44,D27,$C$2:$C$44,"&gt;0",$C$2:$C$44,"&lt;"&amp;C27)+(COUNTIFS($D$2:$D$44,D27,$C$2:$C$44,C27)+1)/2)/COUNTIFS($D$2:$D$44,D27,$C$2:$C$44,"&gt;0"))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44834</v>
      </c>
      <c r="B28" s="24" t="n">
        <v>19932.45</v>
      </c>
      <c r="C28" s="25" t="n">
        <v>19.03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IF(C28="","",(COUNTIFS($D$2:$D$44,D28,$C$2:$C$44,"&gt;0",$C$2:$C$44,"&lt;"&amp;C28)+(COUNTIFS($D$2:$D$44,D28,$C$2:$C$44,C28)+1)/2)/COUNTIFS($D$2:$D$44,D28,$C$2:$C$44,"&gt;0"))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44926</v>
      </c>
      <c r="B29" s="24" t="n">
        <v>21862</v>
      </c>
      <c r="C29" s="25" t="n">
        <v>18.12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IF(C29="","",(COUNTIFS($D$2:$D$44,D29,$C$2:$C$44,"&gt;0",$C$2:$C$44,"&lt;"&amp;C29)+(COUNTIFS($D$2:$D$44,D29,$C$2:$C$44,C29)+1)/2)/COUNTIFS($D$2:$D$44,D29,$C$2:$C$44,"&gt;0"))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45016</v>
      </c>
      <c r="B30" s="24" t="n">
        <v>20618.1</v>
      </c>
      <c r="C30" s="25" t="n">
        <v>15.79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IF(C30="","",(COUNTIFS($D$2:$D$44,D30,$C$2:$C$44,"&gt;0",$C$2:$C$44,"&lt;"&amp;C30)+(COUNTIFS($D$2:$D$44,D30,$C$2:$C$44,C30)+1)/2)/COUNTIFS($D$2:$D$44,D30,$C$2:$C$44,"&gt;0"))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45107</v>
      </c>
      <c r="B31" s="24" t="n">
        <v>22923.15</v>
      </c>
      <c r="C31" s="25" t="n">
        <v>17.99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IF(C31="","",(COUNTIFS($D$2:$D$44,D31,$C$2:$C$44,"&gt;0",$C$2:$C$44,"&lt;"&amp;C31)+(COUNTIFS($D$2:$D$44,D31,$C$2:$C$44,C31)+1)/2)/COUNTIFS($D$2:$D$44,D31,$C$2:$C$44,"&gt;0"))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45199</v>
      </c>
      <c r="B32" s="24" t="n">
        <v>23101.9</v>
      </c>
      <c r="C32" s="25" t="n">
        <v>18.38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IF(C32="","",(COUNTIFS($D$2:$D$44,D32,$C$2:$C$44,"&gt;0",$C$2:$C$44,"&lt;"&amp;C32)+(COUNTIFS($D$2:$D$44,D32,$C$2:$C$44,C32)+1)/2)/COUNTIFS($D$2:$D$44,D32,$C$2:$C$44,"&gt;0"))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45291</v>
      </c>
      <c r="B33" s="24" t="n">
        <v>24875.65</v>
      </c>
      <c r="C33" s="25" t="n">
        <v>18.45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IF(C33="","",(COUNTIFS($D$2:$D$44,D33,$C$2:$C$44,"&gt;0",$C$2:$C$44,"&lt;"&amp;C33)+(COUNTIFS($D$2:$D$44,D33,$C$2:$C$44,C33)+1)/2)/COUNTIFS($D$2:$D$44,D33,$C$2:$C$44,"&gt;0"))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45382</v>
      </c>
      <c r="B34" s="24" t="n">
        <v>23555.85</v>
      </c>
      <c r="C34" s="25" t="n">
        <v>16.42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IF(C34="","",(COUNTIFS($D$2:$D$44,D34,$C$2:$C$44,"&gt;0",$C$2:$C$44,"&lt;"&amp;C34)+(COUNTIFS($D$2:$D$44,D34,$C$2:$C$44,C34)+1)/2)/COUNTIFS($D$2:$D$44,D34,$C$2:$C$44,"&gt;0"))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45473</v>
      </c>
      <c r="B35" s="24" t="n">
        <v>26075.5</v>
      </c>
      <c r="C35" s="25" t="n">
        <v>16.52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IF(C35="","",(COUNTIFS($D$2:$D$44,D35,$C$2:$C$44,"&gt;0",$C$2:$C$44,"&lt;"&amp;C35)+(COUNTIFS($D$2:$D$44,D35,$C$2:$C$44,C35)+1)/2)/COUNTIFS($D$2:$D$44,D35,$C$2:$C$44,"&gt;0"))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45565</v>
      </c>
      <c r="B36" s="24" t="n">
        <v>26501.85</v>
      </c>
      <c r="C36" s="25" t="n">
        <v>16.06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IF(C36="","",(COUNTIFS($D$2:$D$44,D36,$C$2:$C$44,"&gt;0",$C$2:$C$44,"&lt;"&amp;C36)+(COUNTIFS($D$2:$D$44,D36,$C$2:$C$44,C36)+1)/2)/COUNTIFS($D$2:$D$44,D36,$C$2:$C$44,"&gt;0"))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45657</v>
      </c>
      <c r="B37" s="24" t="n">
        <v>24780</v>
      </c>
      <c r="C37" s="25" t="n">
        <v>14.62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IF(C37="","",(COUNTIFS($D$2:$D$44,D37,$C$2:$C$44,"&gt;0",$C$2:$C$44,"&lt;"&amp;C37)+(COUNTIFS($D$2:$D$44,D37,$C$2:$C$44,C37)+1)/2)/COUNTIFS($D$2:$D$44,D37,$C$2:$C$44,"&gt;0"))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45747</v>
      </c>
      <c r="B38" s="24" t="n">
        <v>25733.35</v>
      </c>
      <c r="C38" s="25" t="n">
        <v>15.41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IF(C38="","",(COUNTIFS($D$2:$D$44,D38,$C$2:$C$44,"&gt;0",$C$2:$C$44,"&lt;"&amp;C38)+(COUNTIFS($D$2:$D$44,D38,$C$2:$C$44,C38)+1)/2)/COUNTIFS($D$2:$D$44,D38,$C$2:$C$44,"&gt;0"))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45838</v>
      </c>
      <c r="B39" s="24" t="n">
        <v>28254.6</v>
      </c>
      <c r="C39" s="25" t="n">
        <v>18.06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IF(C39="","",(COUNTIFS($D$2:$D$44,D39,$C$2:$C$44,"&gt;0",$C$2:$C$44,"&lt;"&amp;C39)+(COUNTIFS($D$2:$D$44,D39,$C$2:$C$44,C39)+1)/2)/COUNTIFS($D$2:$D$44,D39,$C$2:$C$44,"&gt;0"))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45930</v>
      </c>
      <c r="B40" s="24" t="n">
        <v>26462.45</v>
      </c>
      <c r="C40" s="25" t="n">
        <v>17.77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IF(C40="","",(COUNTIFS($D$2:$D$44,D40,$C$2:$C$44,"&gt;0",$C$2:$C$44,"&lt;"&amp;C40)+(COUNTIFS($D$2:$D$44,D40,$C$2:$C$44,C40)+1)/2)/COUNTIFS($D$2:$D$44,D40,$C$2:$C$44,"&gt;0"))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46022</v>
      </c>
      <c r="B41" s="24" t="n">
        <v>28721.15</v>
      </c>
      <c r="C41" s="25" t="n">
        <v>20.14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IF(C41="","",(COUNTIFS($D$2:$D$44,D41,$C$2:$C$44,"&gt;0",$C$2:$C$44,"&lt;"&amp;C41)+(COUNTIFS($D$2:$D$44,D41,$C$2:$C$44,C41)+1)/2)/COUNTIFS($D$2:$D$44,D41,$C$2:$C$44,"&gt;0"))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46112</v>
      </c>
      <c r="B42" s="24" t="n">
        <v>24144.85</v>
      </c>
      <c r="C42" s="25" t="n">
        <v>16.86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IF(C42="","",(COUNTIFS($D$2:$D$44,D42,$C$2:$C$44,"&gt;0",$C$2:$C$44,"&lt;"&amp;C42)+(COUNTIFS($D$2:$D$44,D42,$C$2:$C$44,C42)+1)/2)/COUNTIFS($D$2:$D$44,D42,$C$2:$C$44,"&gt;0"))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46203</v>
      </c>
      <c r="B43" s="24" t="n">
        <v>27929.15</v>
      </c>
      <c r="C43" s="25" t="n">
        <v>18.21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IF(C43="","",(COUNTIFS($D$2:$D$44,D43,$C$2:$C$44,"&gt;0",$C$2:$C$44,"&lt;"&amp;C43)+(COUNTIFS($D$2:$D$44,D43,$C$2:$C$44,C43)+1)/2)/COUNTIFS($D$2:$D$44,D43,$C$2:$C$44,"&gt;0"))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46295</v>
      </c>
      <c r="B44" s="24" t="n">
        <v>26695.6</v>
      </c>
      <c r="C44" s="25" t="n">
        <v>16.49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IF(C44="","",(COUNTIFS($D$2:$D$44,D44,$C$2:$C$44,"&gt;0",$C$2:$C$44,"&lt;"&amp;C44)+(COUNTIFS($D$2:$D$44,D44,$C$2:$C$44,C44)+1)/2)/COUNTIFS($D$2:$D$44,D44,$C$2:$C$44,"&gt;0"))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27290</v>
      </c>
      <c r="C2" s="25" t="n">
        <v>16.99</v>
      </c>
      <c r="D2" s="26" t="n">
        <v>0.340909090909</v>
      </c>
      <c r="E2" s="26" t="n">
        <v>0.0774131256887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27370.1</v>
      </c>
      <c r="C3" s="25" t="n">
        <v>17.04</v>
      </c>
      <c r="D3" s="26" t="n">
        <v>0.356060606061</v>
      </c>
      <c r="E3" s="26" t="n">
        <v>0.0772729846848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27286</v>
      </c>
      <c r="C4" s="25" t="n">
        <v>16.99</v>
      </c>
      <c r="D4" s="26" t="n">
        <v>0.340909090909</v>
      </c>
      <c r="E4" s="26" t="n">
        <v>0.0770317626524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27363.35</v>
      </c>
      <c r="C5" s="25" t="n">
        <v>17.04</v>
      </c>
      <c r="D5" s="26" t="n">
        <v>0.356060606061</v>
      </c>
      <c r="E5" s="26" t="n">
        <v>0.0771848641391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26763.95</v>
      </c>
      <c r="C6" s="25" t="n">
        <v>16.67</v>
      </c>
      <c r="D6" s="26" t="n">
        <v>0.325757575758</v>
      </c>
      <c r="E6" s="26" t="n">
        <v>0.0767441446957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26883.2</v>
      </c>
      <c r="C7" s="25" t="n">
        <v>16.74</v>
      </c>
      <c r="D7" s="26" t="n">
        <v>0.325757575758</v>
      </c>
      <c r="E7" s="26" t="n">
        <v>0.0773117644009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26476.4</v>
      </c>
      <c r="C8" s="25" t="n">
        <v>16.49</v>
      </c>
      <c r="D8" s="26" t="n">
        <v>0.295454545455</v>
      </c>
      <c r="E8" s="26" t="n">
        <v>0.07652642238100001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26443.15</v>
      </c>
      <c r="C9" s="25" t="n">
        <v>16.47</v>
      </c>
      <c r="D9" s="26" t="n">
        <v>0.295454545455</v>
      </c>
      <c r="E9" s="26" t="n">
        <v>0.0765851184132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26695.6</v>
      </c>
      <c r="C10" s="25" t="n">
        <v>16.49</v>
      </c>
      <c r="D10" s="26" t="n">
        <v>0.298507462687</v>
      </c>
      <c r="E10" s="26" t="n">
        <v>0.0871173026311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26697.25</v>
      </c>
      <c r="C11" s="25" t="n">
        <v>16.49</v>
      </c>
      <c r="D11" s="26" t="n">
        <v>0.298507462687</v>
      </c>
      <c r="E11" s="26" t="n">
        <v>0.08714652317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26718.15</v>
      </c>
      <c r="C12" s="25" t="n">
        <v>16.5</v>
      </c>
      <c r="D12" s="26" t="n">
        <v>0.305970149254</v>
      </c>
      <c r="E12" s="26" t="n">
        <v>0.0875105991987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27093.75</v>
      </c>
      <c r="C13" s="25" t="n">
        <v>16.74</v>
      </c>
      <c r="D13" s="26" t="n">
        <v>0.335820895522</v>
      </c>
      <c r="E13" s="26" t="n">
        <v>0.0868307896668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27115.9</v>
      </c>
      <c r="C14" s="25" t="n">
        <v>16.75</v>
      </c>
      <c r="D14" s="26" t="n">
        <v>0.335820895522</v>
      </c>
      <c r="E14" s="26" t="n">
        <v>0.08678923797309999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26869.1</v>
      </c>
      <c r="C15" s="25" t="n">
        <v>16.6</v>
      </c>
      <c r="D15" s="26" t="n">
        <v>0.320895522388</v>
      </c>
      <c r="E15" s="26" t="n">
        <v>0.086582068136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27222.55</v>
      </c>
      <c r="C16" s="25" t="n">
        <v>16.82</v>
      </c>
      <c r="D16" s="26" t="n">
        <v>0.335820895522</v>
      </c>
      <c r="E16" s="26" t="n">
        <v>0.08688198278379999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27122.9</v>
      </c>
      <c r="C17" s="25" t="n">
        <v>16.76</v>
      </c>
      <c r="D17" s="26" t="n">
        <v>0.335820895522</v>
      </c>
      <c r="E17" s="26" t="n">
        <v>0.0865493214585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27324.35</v>
      </c>
      <c r="C18" s="25" t="n">
        <v>16.86</v>
      </c>
      <c r="D18" s="26" t="n">
        <v>0.34328358209</v>
      </c>
      <c r="E18" s="26" t="n">
        <v>0.088208807114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27166.8</v>
      </c>
      <c r="C19" s="25" t="n">
        <v>16.76</v>
      </c>
      <c r="D19" s="26" t="n">
        <v>0.335820895522</v>
      </c>
      <c r="E19" s="26" t="n">
        <v>0.0885898612301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27679.3</v>
      </c>
      <c r="C20" s="25" t="n">
        <v>17.08</v>
      </c>
      <c r="D20" s="26" t="n">
        <v>0.365671641791</v>
      </c>
      <c r="E20" s="26" t="n">
        <v>0.08827670166819999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27700.55</v>
      </c>
      <c r="C21" s="25" t="n">
        <v>17.09</v>
      </c>
      <c r="D21" s="26" t="n">
        <v>0.365671641791</v>
      </c>
      <c r="E21" s="26" t="n">
        <v>0.108369103874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27189.1</v>
      </c>
      <c r="C22" s="25" t="n">
        <v>16.15</v>
      </c>
      <c r="D22" s="26" t="n">
        <v>0.216417910448</v>
      </c>
      <c r="E22" s="26" t="n">
        <v>0.151173160991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26904.35</v>
      </c>
      <c r="C23" s="25" t="n">
        <v>15.98</v>
      </c>
      <c r="D23" s="26" t="n">
        <v>0.186567164179</v>
      </c>
      <c r="E23" s="26" t="n">
        <v>0.170316067608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26866.05</v>
      </c>
      <c r="C24" s="25" t="n">
        <v>15.91</v>
      </c>
      <c r="D24" s="26" t="n">
        <v>0.171641791045</v>
      </c>
      <c r="E24" s="26" t="n">
        <v>0.173791816981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26656.3</v>
      </c>
      <c r="C25" s="25" t="n">
        <v>15.79</v>
      </c>
      <c r="D25" s="26" t="n">
        <v>0.164179104478</v>
      </c>
      <c r="E25" s="26" t="n">
        <v>0.173628984652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26825.3</v>
      </c>
      <c r="C26" s="25" t="n">
        <v>15.89</v>
      </c>
      <c r="D26" s="26" t="n">
        <v>0.171641791045</v>
      </c>
      <c r="E26" s="26" t="n">
        <v>0.173707467725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26628.45</v>
      </c>
      <c r="C27" s="25" t="n">
        <v>15.31</v>
      </c>
      <c r="D27" s="26" t="n">
        <v>0.0820895522388</v>
      </c>
      <c r="E27" s="26" t="n">
        <v>0.215728704698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26722.1</v>
      </c>
      <c r="C28" s="25" t="n">
        <v>15.37</v>
      </c>
      <c r="D28" s="26" t="n">
        <v>0.0970149253731</v>
      </c>
      <c r="E28" s="26" t="n">
        <v>0.214902293454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27052.6</v>
      </c>
      <c r="C29" s="25" t="n">
        <v>15.56</v>
      </c>
      <c r="D29" s="26" t="n">
        <v>0.149253731343</v>
      </c>
      <c r="E29" s="26" t="n">
        <v>0.215101069146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12" customWidth="1" min="3" max="3"/>
    <col width="20" customWidth="1" min="4" max="4"/>
    <col width="15" customWidth="1" min="5" max="5"/>
  </cols>
  <sheetData>
    <row r="1">
      <c r="A1" s="35" t="inlineStr">
        <is>
          <t>NIFTY Private Bank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Axis Bank Ltd.</t>
        </is>
      </c>
      <c r="C6" t="inlineStr">
        <is>
          <t>AXISBANK</t>
        </is>
      </c>
      <c r="D6" t="inlineStr">
        <is>
          <t>Financial Services</t>
        </is>
      </c>
    </row>
    <row r="7">
      <c r="A7" t="n">
        <v>2</v>
      </c>
      <c r="B7" t="inlineStr">
        <is>
          <t>Bandhan Bank Ltd.</t>
        </is>
      </c>
      <c r="C7" t="inlineStr">
        <is>
          <t>BANDHANBNK</t>
        </is>
      </c>
      <c r="D7" t="inlineStr">
        <is>
          <t>Financial Services</t>
        </is>
      </c>
    </row>
    <row r="8">
      <c r="A8" t="n">
        <v>3</v>
      </c>
      <c r="B8" t="inlineStr">
        <is>
          <t>Federal Bank Ltd.</t>
        </is>
      </c>
      <c r="C8" t="inlineStr">
        <is>
          <t>FEDERALBNK</t>
        </is>
      </c>
      <c r="D8" t="inlineStr">
        <is>
          <t>Financial Services</t>
        </is>
      </c>
    </row>
    <row r="9">
      <c r="A9" t="n">
        <v>4</v>
      </c>
      <c r="B9" t="inlineStr">
        <is>
          <t>HDFC Bank Ltd.</t>
        </is>
      </c>
      <c r="C9" t="inlineStr">
        <is>
          <t>HDFCBANK</t>
        </is>
      </c>
      <c r="D9" t="inlineStr">
        <is>
          <t>Financial Services</t>
        </is>
      </c>
    </row>
    <row r="10">
      <c r="A10" t="n">
        <v>5</v>
      </c>
      <c r="B10" t="inlineStr">
        <is>
          <t>ICICI Bank Ltd.</t>
        </is>
      </c>
      <c r="C10" t="inlineStr">
        <is>
          <t>ICICIBANK</t>
        </is>
      </c>
      <c r="D10" t="inlineStr">
        <is>
          <t>Financial Services</t>
        </is>
      </c>
    </row>
    <row r="11">
      <c r="A11" t="n">
        <v>6</v>
      </c>
      <c r="B11" t="inlineStr">
        <is>
          <t>IDFC First Bank Ltd.</t>
        </is>
      </c>
      <c r="C11" t="inlineStr">
        <is>
          <t>IDFCFIRSTB</t>
        </is>
      </c>
      <c r="D11" t="inlineStr">
        <is>
          <t>Financial Services</t>
        </is>
      </c>
    </row>
    <row r="12">
      <c r="A12" t="n">
        <v>7</v>
      </c>
      <c r="B12" t="inlineStr">
        <is>
          <t>IndusInd Bank Ltd.</t>
        </is>
      </c>
      <c r="C12" t="inlineStr">
        <is>
          <t>INDUSINDBK</t>
        </is>
      </c>
      <c r="D12" t="inlineStr">
        <is>
          <t>Financial Services</t>
        </is>
      </c>
    </row>
    <row r="13">
      <c r="A13" t="n">
        <v>8</v>
      </c>
      <c r="B13" t="inlineStr">
        <is>
          <t>Kotak Mahindra Bank Ltd.</t>
        </is>
      </c>
      <c r="C13" t="inlineStr">
        <is>
          <t>KOTAKBANK</t>
        </is>
      </c>
      <c r="D13" t="inlineStr">
        <is>
          <t>Financial Services</t>
        </is>
      </c>
    </row>
    <row r="14">
      <c r="A14" t="n">
        <v>9</v>
      </c>
      <c r="B14" t="inlineStr">
        <is>
          <t>RBL Bank Ltd.</t>
        </is>
      </c>
      <c r="C14" t="inlineStr">
        <is>
          <t>RBLBANK</t>
        </is>
      </c>
      <c r="D14" t="inlineStr">
        <is>
          <t>Financial Services</t>
        </is>
      </c>
    </row>
    <row r="15">
      <c r="A15" t="n">
        <v>10</v>
      </c>
      <c r="B15" t="inlineStr">
        <is>
          <t>Yes Bank Ltd.</t>
        </is>
      </c>
      <c r="C15" t="inlineStr">
        <is>
          <t>YESBANK</t>
        </is>
      </c>
      <c r="D15" t="inlineStr">
        <is>
          <t>Financial Services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2026-10-29T18:39:41Z</dcterms:created>
  <dcterms:modified xsi:type="dcterms:W3CDTF">2026-10-29T18:40:10Z</dcterms:modified>
</cp:coreProperties>
</file>