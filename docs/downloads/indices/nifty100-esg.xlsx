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ESG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4844.15</v>
      </c>
      <c r="D5" s="2" t="inlineStr">
        <is>
          <t>P/E</t>
        </is>
      </c>
      <c r="E5" s="25" t="n">
        <v>20.57</v>
      </c>
    </row>
    <row r="6">
      <c r="A6" s="2" t="inlineStr">
        <is>
          <t>P/E percentile</t>
        </is>
      </c>
      <c r="B6" s="26" t="n">
        <v>0.03787878787878788</v>
      </c>
      <c r="D6" s="2" t="inlineStr">
        <is>
          <t>Implied EPS</t>
        </is>
      </c>
      <c r="E6" s="27" t="n">
        <v>235.495867768595</v>
      </c>
    </row>
    <row r="7">
      <c r="A7" s="2" t="inlineStr">
        <is>
          <t>YoY implied EPS growth</t>
        </is>
      </c>
      <c r="B7" s="26" t="n">
        <v>0.07439573897422025</v>
      </c>
      <c r="D7" s="2" t="inlineStr">
        <is>
          <t>Earnings yield</t>
        </is>
      </c>
      <c r="E7" s="10" t="n">
        <v>0.04861448711716091</v>
      </c>
    </row>
    <row r="8">
      <c r="A8" s="2" t="inlineStr">
        <is>
          <t>Valuation score</t>
        </is>
      </c>
      <c r="B8" s="28" t="n">
        <v>96.21212121212122</v>
      </c>
      <c r="D8" s="2" t="inlineStr">
        <is>
          <t>Growth score</t>
        </is>
      </c>
      <c r="E8" s="28" t="n">
        <v>49.7582955896881</v>
      </c>
    </row>
    <row r="9">
      <c r="A9" s="2" t="inlineStr">
        <is>
          <t>Composite score</t>
        </is>
      </c>
      <c r="B9" s="28" t="n">
        <v>82.27597352539127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22.59975945085266</v>
      </c>
      <c r="C13" s="15" t="n">
        <v>5322.149963240054</v>
      </c>
      <c r="D13" s="30" t="n">
        <v>0.09867571467441216</v>
      </c>
    </row>
    <row r="14">
      <c r="A14" t="inlineStr">
        <is>
          <t>HOLD → SELL</t>
        </is>
      </c>
      <c r="B14" s="29" t="n">
        <v>25.56649264513992</v>
      </c>
      <c r="C14" s="15" t="n">
        <v>6020.803371266627</v>
      </c>
      <c r="D14" s="30" t="n">
        <v>0.2429019273281439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0.1682436298103841</v>
      </c>
      <c r="D18" s="30" t="n">
        <v>0.1766802280801054</v>
      </c>
      <c r="E18" s="30" t="n">
        <v>0.1689374084160417</v>
      </c>
      <c r="F18" s="30" t="n"/>
      <c r="G18" s="30" t="n">
        <v>0</v>
      </c>
    </row>
    <row r="19">
      <c r="A19" t="inlineStr">
        <is>
          <t>Q2</t>
        </is>
      </c>
      <c r="B19" t="n">
        <v>6</v>
      </c>
      <c r="C19" s="30" t="n">
        <v>0.07205327917895776</v>
      </c>
      <c r="D19" s="30" t="n">
        <v>0.2064861563318736</v>
      </c>
      <c r="E19" s="30" t="n">
        <v>0.1413248095711631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0.09265049371423806</v>
      </c>
      <c r="D20" s="30" t="n">
        <v>0.1630801143191045</v>
      </c>
      <c r="E20" s="30" t="n">
        <v>0.1943935631026938</v>
      </c>
      <c r="F20" s="30" t="n"/>
      <c r="G20" s="30" t="n">
        <v>0</v>
      </c>
    </row>
    <row r="21">
      <c r="A21" t="inlineStr">
        <is>
          <t>Q4</t>
        </is>
      </c>
      <c r="B21" t="n">
        <v>6</v>
      </c>
      <c r="C21" s="30" t="n">
        <v>-0.06814950695387811</v>
      </c>
      <c r="D21" s="30" t="n">
        <v>0.1338270182565816</v>
      </c>
      <c r="E21" s="30" t="n">
        <v>0.1581359275905095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0.2061007134513108</v>
      </c>
      <c r="D22" s="30" t="n">
        <v>0.1443333342416067</v>
      </c>
      <c r="E22" s="30" t="n">
        <v>0.1353468362884513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2908.38</v>
      </c>
      <c r="C2" s="25" t="n">
        <v>33.83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3109.01</v>
      </c>
      <c r="C3" s="25" t="n">
        <v>30.82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3176.95</v>
      </c>
      <c r="C4" s="25" t="n">
        <v>33.05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3221.3</v>
      </c>
      <c r="C5" s="25" t="n">
        <v>32.02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3504.07</v>
      </c>
      <c r="C6" s="25" t="n">
        <v>31.49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3587.28</v>
      </c>
      <c r="C7" s="25" t="n">
        <v>32.23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3563.42</v>
      </c>
      <c r="C8" s="25" t="n">
        <v>30.76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3483.27</v>
      </c>
      <c r="C9" s="25" t="n">
        <v>28.45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3590.33</v>
      </c>
      <c r="C10" s="25" t="n">
        <v>28.52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3501.75</v>
      </c>
      <c r="C11" s="25" t="n">
        <v>27.37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3387.35</v>
      </c>
      <c r="C12" s="25" t="n">
        <v>25.23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3476.75</v>
      </c>
      <c r="C13" s="25" t="n">
        <v>25.88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3439.35</v>
      </c>
      <c r="C14" s="25" t="n">
        <v>25.26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3263.95</v>
      </c>
      <c r="C15" s="25" t="n">
        <v>23.1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3077.7</v>
      </c>
      <c r="C16" s="25" t="n">
        <v>21.81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3390.7</v>
      </c>
      <c r="C17" s="25" t="n">
        <v>23.81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3492.05</v>
      </c>
      <c r="C18" s="25" t="n">
        <v>24.69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3375.6</v>
      </c>
      <c r="C19" s="25" t="n">
        <v>23.64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3486.2</v>
      </c>
      <c r="C20" s="25" t="n">
        <v>24.38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3579.15</v>
      </c>
      <c r="C21" s="25" t="n">
        <v>26.03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3438.3</v>
      </c>
      <c r="C22" s="25" t="n">
        <v>26.58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3323.55</v>
      </c>
      <c r="C23" s="25" t="n">
        <v>25.43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3206.35</v>
      </c>
      <c r="C24" s="25" t="n">
        <v>25.38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3202.9</v>
      </c>
      <c r="C25" s="25" t="n">
        <v>25.34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3331.4</v>
      </c>
      <c r="C26" s="25" t="n">
        <v>26.05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3491.15</v>
      </c>
      <c r="C27" s="25" t="n">
        <v>27.35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3614.85</v>
      </c>
      <c r="C28" s="25" t="n">
        <v>28.17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3697.2</v>
      </c>
      <c r="C29" s="25" t="n">
        <v>28.08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3644.85</v>
      </c>
      <c r="C30" s="25" t="n">
        <v>26.98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3726</v>
      </c>
      <c r="C31" s="25" t="n">
        <v>27.51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3633.8</v>
      </c>
      <c r="C32" s="25" t="n">
        <v>25.83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3887.4</v>
      </c>
      <c r="C33" s="25" t="n">
        <v>27.07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4200.15</v>
      </c>
      <c r="C34" s="25" t="n">
        <v>25.62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4230.75</v>
      </c>
      <c r="C35" s="25" t="n">
        <v>24.94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4325.3</v>
      </c>
      <c r="C36" s="25" t="n">
        <v>25.13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4366.65</v>
      </c>
      <c r="C37" s="25" t="n">
        <v>25.38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4423.35</v>
      </c>
      <c r="C38" s="25" t="n">
        <v>24.42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4422.65</v>
      </c>
      <c r="C39" s="25" t="n">
        <v>23.65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4747.1</v>
      </c>
      <c r="C40" s="25" t="n">
        <v>24.35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4995.35</v>
      </c>
      <c r="C41" s="25" t="n">
        <v>25.3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5079</v>
      </c>
      <c r="C42" s="25" t="n">
        <v>25.65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5182.25</v>
      </c>
      <c r="C43" s="25" t="n">
        <v>26.19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4787.65</v>
      </c>
      <c r="C44" s="25" t="n">
        <v>24.14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4783.7</v>
      </c>
      <c r="C45" s="25" t="n">
        <v>23.91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4689.55</v>
      </c>
      <c r="C46" s="25" t="n">
        <v>22.87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4602.45</v>
      </c>
      <c r="C47" s="25" t="n">
        <v>22.14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4312.1</v>
      </c>
      <c r="C48" s="25" t="n">
        <v>20.41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4581.5</v>
      </c>
      <c r="C49" s="25" t="n">
        <v>21.69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4716.05</v>
      </c>
      <c r="C50" s="25" t="n">
        <v>22.13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4856.2</v>
      </c>
      <c r="C51" s="25" t="n">
        <v>23.05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5014.2</v>
      </c>
      <c r="C52" s="25" t="n">
        <v>23.58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4885.25</v>
      </c>
      <c r="C53" s="25" t="n">
        <v>22.64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4839.6</v>
      </c>
      <c r="C54" s="25" t="n">
        <v>22.08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4884.1</v>
      </c>
      <c r="C55" s="25" t="n">
        <v>22.35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5063.3</v>
      </c>
      <c r="C56" s="25" t="n">
        <v>23.73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5177.65</v>
      </c>
      <c r="C57" s="25" t="n">
        <v>23.68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5181.35</v>
      </c>
      <c r="C58" s="25" t="n">
        <v>23.3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5070.75</v>
      </c>
      <c r="C59" s="25" t="n">
        <v>23.07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5033.7</v>
      </c>
      <c r="C60" s="25" t="n">
        <v>22.68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4444.8</v>
      </c>
      <c r="C61" s="25" t="n">
        <v>20.53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4834.3</v>
      </c>
      <c r="C62" s="25" t="n">
        <v>22.22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4821.35</v>
      </c>
      <c r="C63" s="25" t="n">
        <v>21.95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4844.25</v>
      </c>
      <c r="C64" s="25" t="n">
        <v>21.04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5090.5</v>
      </c>
      <c r="C65" s="25" t="n">
        <v>21.86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5021.75</v>
      </c>
      <c r="C66" s="25" t="n">
        <v>21.32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43190</v>
      </c>
      <c r="B2" s="24" t="n">
        <v>1882.53</v>
      </c>
      <c r="C2" s="25" t="n">
        <v>26.76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IF(C2="","",(COUNTIFS($D$2:$D$35,D2,$C$2:$C$35,"&gt;0",$C$2:$C$35,"&lt;"&amp;C2)+(COUNTIFS($D$2:$D$35,D2,$C$2:$C$35,C2)+1)/2)/COUNTIFS($D$2:$D$35,D2,$C$2:$C$35,"&gt;0"))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43281</v>
      </c>
      <c r="B3" s="24" t="n">
        <v>2019.21</v>
      </c>
      <c r="C3" s="25" t="n">
        <v>27.64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IF(C3="","",(COUNTIFS($D$2:$D$35,D3,$C$2:$C$35,"&gt;0",$C$2:$C$35,"&lt;"&amp;C3)+(COUNTIFS($D$2:$D$35,D3,$C$2:$C$35,C3)+1)/2)/COUNTIFS($D$2:$D$35,D3,$C$2:$C$35,"&gt;0"))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43373</v>
      </c>
      <c r="B4" s="24" t="n">
        <v>2051.48</v>
      </c>
      <c r="C4" s="25" t="n">
        <v>27.2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IF(C4="","",(COUNTIFS($D$2:$D$35,D4,$C$2:$C$35,"&gt;0",$C$2:$C$35,"&lt;"&amp;C4)+(COUNTIFS($D$2:$D$35,D4,$C$2:$C$35,C4)+1)/2)/COUNTIFS($D$2:$D$35,D4,$C$2:$C$35,"&gt;0"))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43465</v>
      </c>
      <c r="B5" s="24" t="n">
        <v>2035.64</v>
      </c>
      <c r="C5" s="25" t="n">
        <v>27.34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IF(C5="","",(COUNTIFS($D$2:$D$35,D5,$C$2:$C$35,"&gt;0",$C$2:$C$35,"&lt;"&amp;C5)+(COUNTIFS($D$2:$D$35,D5,$C$2:$C$35,C5)+1)/2)/COUNTIFS($D$2:$D$35,D5,$C$2:$C$35,"&gt;0"))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43555</v>
      </c>
      <c r="B6" s="24" t="n">
        <v>2187.42</v>
      </c>
      <c r="C6" s="25" t="n">
        <v>29.91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IF(C6="","",(COUNTIFS($D$2:$D$35,D6,$C$2:$C$35,"&gt;0",$C$2:$C$35,"&lt;"&amp;C6)+(COUNTIFS($D$2:$D$35,D6,$C$2:$C$35,C6)+1)/2)/COUNTIFS($D$2:$D$35,D6,$C$2:$C$35,"&gt;0"))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43646</v>
      </c>
      <c r="B7" s="24" t="n">
        <v>2183.77</v>
      </c>
      <c r="C7" s="25" t="n">
        <v>30.52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IF(C7="","",(COUNTIFS($D$2:$D$35,D7,$C$2:$C$35,"&gt;0",$C$2:$C$35,"&lt;"&amp;C7)+(COUNTIFS($D$2:$D$35,D7,$C$2:$C$35,C7)+1)/2)/COUNTIFS($D$2:$D$35,D7,$C$2:$C$35,"&gt;0"))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43738</v>
      </c>
      <c r="B8" s="24" t="n">
        <v>2131.97</v>
      </c>
      <c r="C8" s="25" t="n">
        <v>27.57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IF(C8="","",(COUNTIFS($D$2:$D$35,D8,$C$2:$C$35,"&gt;0",$C$2:$C$35,"&lt;"&amp;C8)+(COUNTIFS($D$2:$D$35,D8,$C$2:$C$35,C8)+1)/2)/COUNTIFS($D$2:$D$35,D8,$C$2:$C$35,"&gt;0"))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43830</v>
      </c>
      <c r="B9" s="24" t="n">
        <v>2259.34</v>
      </c>
      <c r="C9" s="25" t="n">
        <v>31.35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IF(C9="","",(COUNTIFS($D$2:$D$35,D9,$C$2:$C$35,"&gt;0",$C$2:$C$35,"&lt;"&amp;C9)+(COUNTIFS($D$2:$D$35,D9,$C$2:$C$35,C9)+1)/2)/COUNTIFS($D$2:$D$35,D9,$C$2:$C$35,"&gt;0"))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43921</v>
      </c>
      <c r="B10" s="24" t="n">
        <v>1655.88</v>
      </c>
      <c r="C10" s="25" t="n">
        <v>22.38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IF(C10="","",(COUNTIFS($D$2:$D$35,D10,$C$2:$C$35,"&gt;0",$C$2:$C$35,"&lt;"&amp;C10)+(COUNTIFS($D$2:$D$35,D10,$C$2:$C$35,C10)+1)/2)/COUNTIFS($D$2:$D$35,D10,$C$2:$C$35,"&gt;0"))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44012</v>
      </c>
      <c r="B11" s="24" t="n">
        <v>2009.81</v>
      </c>
      <c r="C11" s="25" t="n">
        <v>28.93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IF(C11="","",(COUNTIFS($D$2:$D$35,D11,$C$2:$C$35,"&gt;0",$C$2:$C$35,"&lt;"&amp;C11)+(COUNTIFS($D$2:$D$35,D11,$C$2:$C$35,C11)+1)/2)/COUNTIFS($D$2:$D$35,D11,$C$2:$C$35,"&gt;0"))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44104</v>
      </c>
      <c r="B12" s="24" t="n">
        <v>2223.72</v>
      </c>
      <c r="C12" s="25" t="n">
        <v>37.56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IF(C12="","",(COUNTIFS($D$2:$D$35,D12,$C$2:$C$35,"&gt;0",$C$2:$C$35,"&lt;"&amp;C12)+(COUNTIFS($D$2:$D$35,D12,$C$2:$C$35,C12)+1)/2)/COUNTIFS($D$2:$D$35,D12,$C$2:$C$35,"&gt;0"))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44196</v>
      </c>
      <c r="B13" s="24" t="n">
        <v>2746.63</v>
      </c>
      <c r="C13" s="25" t="n">
        <v>43.68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IF(C13="","",(COUNTIFS($D$2:$D$35,D13,$C$2:$C$35,"&gt;0",$C$2:$C$35,"&lt;"&amp;C13)+(COUNTIFS($D$2:$D$35,D13,$C$2:$C$35,C13)+1)/2)/COUNTIFS($D$2:$D$35,D13,$C$2:$C$35,"&gt;0"))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44286</v>
      </c>
      <c r="B14" s="24" t="n">
        <v>2905.71</v>
      </c>
      <c r="C14" s="25" t="n">
        <v>34.28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IF(C14="","",(COUNTIFS($D$2:$D$35,D14,$C$2:$C$35,"&gt;0",$C$2:$C$35,"&lt;"&amp;C14)+(COUNTIFS($D$2:$D$35,D14,$C$2:$C$35,C14)+1)/2)/COUNTIFS($D$2:$D$35,D14,$C$2:$C$35,"&gt;0"))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44377</v>
      </c>
      <c r="B15" s="24" t="n">
        <v>3176.95</v>
      </c>
      <c r="C15" s="25" t="n">
        <v>33.05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IF(C15="","",(COUNTIFS($D$2:$D$35,D15,$C$2:$C$35,"&gt;0",$C$2:$C$35,"&lt;"&amp;C15)+(COUNTIFS($D$2:$D$35,D15,$C$2:$C$35,C15)+1)/2)/COUNTIFS($D$2:$D$35,D15,$C$2:$C$35,"&gt;0"))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44469</v>
      </c>
      <c r="B16" s="24" t="n">
        <v>3587.28</v>
      </c>
      <c r="C16" s="25" t="n">
        <v>32.23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IF(C16="","",(COUNTIFS($D$2:$D$35,D16,$C$2:$C$35,"&gt;0",$C$2:$C$35,"&lt;"&amp;C16)+(COUNTIFS($D$2:$D$35,D16,$C$2:$C$35,C16)+1)/2)/COUNTIFS($D$2:$D$35,D16,$C$2:$C$35,"&gt;0"))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44561</v>
      </c>
      <c r="B17" s="24" t="n">
        <v>3590.33</v>
      </c>
      <c r="C17" s="25" t="n">
        <v>28.52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IF(C17="","",(COUNTIFS($D$2:$D$35,D17,$C$2:$C$35,"&gt;0",$C$2:$C$35,"&lt;"&amp;C17)+(COUNTIFS($D$2:$D$35,D17,$C$2:$C$35,C17)+1)/2)/COUNTIFS($D$2:$D$35,D17,$C$2:$C$35,"&gt;0"))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44651</v>
      </c>
      <c r="B18" s="24" t="n">
        <v>3476.75</v>
      </c>
      <c r="C18" s="25" t="n">
        <v>25.88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IF(C18="","",(COUNTIFS($D$2:$D$35,D18,$C$2:$C$35,"&gt;0",$C$2:$C$35,"&lt;"&amp;C18)+(COUNTIFS($D$2:$D$35,D18,$C$2:$C$35,C18)+1)/2)/COUNTIFS($D$2:$D$35,D18,$C$2:$C$35,"&gt;0"))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44742</v>
      </c>
      <c r="B19" s="24" t="n">
        <v>3077.7</v>
      </c>
      <c r="C19" s="25" t="n">
        <v>21.81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IF(C19="","",(COUNTIFS($D$2:$D$35,D19,$C$2:$C$35,"&gt;0",$C$2:$C$35,"&lt;"&amp;C19)+(COUNTIFS($D$2:$D$35,D19,$C$2:$C$35,C19)+1)/2)/COUNTIFS($D$2:$D$35,D19,$C$2:$C$35,"&gt;0"))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44834</v>
      </c>
      <c r="B20" s="24" t="n">
        <v>3375.6</v>
      </c>
      <c r="C20" s="25" t="n">
        <v>23.64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IF(C20="","",(COUNTIFS($D$2:$D$35,D20,$C$2:$C$35,"&gt;0",$C$2:$C$35,"&lt;"&amp;C20)+(COUNTIFS($D$2:$D$35,D20,$C$2:$C$35,C20)+1)/2)/COUNTIFS($D$2:$D$35,D20,$C$2:$C$35,"&gt;0"))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44926</v>
      </c>
      <c r="B21" s="24" t="n">
        <v>3438.3</v>
      </c>
      <c r="C21" s="25" t="n">
        <v>26.58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IF(C21="","",(COUNTIFS($D$2:$D$35,D21,$C$2:$C$35,"&gt;0",$C$2:$C$35,"&lt;"&amp;C21)+(COUNTIFS($D$2:$D$35,D21,$C$2:$C$35,C21)+1)/2)/COUNTIFS($D$2:$D$35,D21,$C$2:$C$35,"&gt;0"))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45016</v>
      </c>
      <c r="B22" s="24" t="n">
        <v>3202.9</v>
      </c>
      <c r="C22" s="25" t="n">
        <v>25.34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IF(C22="","",(COUNTIFS($D$2:$D$35,D22,$C$2:$C$35,"&gt;0",$C$2:$C$35,"&lt;"&amp;C22)+(COUNTIFS($D$2:$D$35,D22,$C$2:$C$35,C22)+1)/2)/COUNTIFS($D$2:$D$35,D22,$C$2:$C$35,"&gt;0"))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45107</v>
      </c>
      <c r="B23" s="24" t="n">
        <v>3614.85</v>
      </c>
      <c r="C23" s="25" t="n">
        <v>28.17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IF(C23="","",(COUNTIFS($D$2:$D$35,D23,$C$2:$C$35,"&gt;0",$C$2:$C$35,"&lt;"&amp;C23)+(COUNTIFS($D$2:$D$35,D23,$C$2:$C$35,C23)+1)/2)/COUNTIFS($D$2:$D$35,D23,$C$2:$C$35,"&gt;0"))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45199</v>
      </c>
      <c r="B24" s="24" t="n">
        <v>3726</v>
      </c>
      <c r="C24" s="25" t="n">
        <v>27.51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IF(C24="","",(COUNTIFS($D$2:$D$35,D24,$C$2:$C$35,"&gt;0",$C$2:$C$35,"&lt;"&amp;C24)+(COUNTIFS($D$2:$D$35,D24,$C$2:$C$35,C24)+1)/2)/COUNTIFS($D$2:$D$35,D24,$C$2:$C$35,"&gt;0"))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45291</v>
      </c>
      <c r="B25" s="24" t="n">
        <v>4200.15</v>
      </c>
      <c r="C25" s="25" t="n">
        <v>25.62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IF(C25="","",(COUNTIFS($D$2:$D$35,D25,$C$2:$C$35,"&gt;0",$C$2:$C$35,"&lt;"&amp;C25)+(COUNTIFS($D$2:$D$35,D25,$C$2:$C$35,C25)+1)/2)/COUNTIFS($D$2:$D$35,D25,$C$2:$C$35,"&gt;0"))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45382</v>
      </c>
      <c r="B26" s="24" t="n">
        <v>4366.65</v>
      </c>
      <c r="C26" s="25" t="n">
        <v>25.38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IF(C26="","",(COUNTIFS($D$2:$D$35,D26,$C$2:$C$35,"&gt;0",$C$2:$C$35,"&lt;"&amp;C26)+(COUNTIFS($D$2:$D$35,D26,$C$2:$C$35,C26)+1)/2)/COUNTIFS($D$2:$D$35,D26,$C$2:$C$35,"&gt;0"))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45473</v>
      </c>
      <c r="B27" s="24" t="n">
        <v>4747.1</v>
      </c>
      <c r="C27" s="25" t="n">
        <v>24.35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IF(C27="","",(COUNTIFS($D$2:$D$35,D27,$C$2:$C$35,"&gt;0",$C$2:$C$35,"&lt;"&amp;C27)+(COUNTIFS($D$2:$D$35,D27,$C$2:$C$35,C27)+1)/2)/COUNTIFS($D$2:$D$35,D27,$C$2:$C$35,"&gt;0"))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45565</v>
      </c>
      <c r="B28" s="24" t="n">
        <v>5182.25</v>
      </c>
      <c r="C28" s="25" t="n">
        <v>26.19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IF(C28="","",(COUNTIFS($D$2:$D$35,D28,$C$2:$C$35,"&gt;0",$C$2:$C$35,"&lt;"&amp;C28)+(COUNTIFS($D$2:$D$35,D28,$C$2:$C$35,C28)+1)/2)/COUNTIFS($D$2:$D$35,D28,$C$2:$C$35,"&gt;0"))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45657</v>
      </c>
      <c r="B29" s="24" t="n">
        <v>4689.55</v>
      </c>
      <c r="C29" s="25" t="n">
        <v>22.87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IF(C29="","",(COUNTIFS($D$2:$D$35,D29,$C$2:$C$35,"&gt;0",$C$2:$C$35,"&lt;"&amp;C29)+(COUNTIFS($D$2:$D$35,D29,$C$2:$C$35,C29)+1)/2)/COUNTIFS($D$2:$D$35,D29,$C$2:$C$35,"&gt;0"))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45747</v>
      </c>
      <c r="B30" s="24" t="n">
        <v>4581.5</v>
      </c>
      <c r="C30" s="25" t="n">
        <v>21.69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IF(C30="","",(COUNTIFS($D$2:$D$35,D30,$C$2:$C$35,"&gt;0",$C$2:$C$35,"&lt;"&amp;C30)+(COUNTIFS($D$2:$D$35,D30,$C$2:$C$35,C30)+1)/2)/COUNTIFS($D$2:$D$35,D30,$C$2:$C$35,"&gt;0"))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45838</v>
      </c>
      <c r="B31" s="24" t="n">
        <v>5014.2</v>
      </c>
      <c r="C31" s="25" t="n">
        <v>23.58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IF(C31="","",(COUNTIFS($D$2:$D$35,D31,$C$2:$C$35,"&gt;0",$C$2:$C$35,"&lt;"&amp;C31)+(COUNTIFS($D$2:$D$35,D31,$C$2:$C$35,C31)+1)/2)/COUNTIFS($D$2:$D$35,D31,$C$2:$C$35,"&gt;0"))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45930</v>
      </c>
      <c r="B32" s="24" t="n">
        <v>4884.1</v>
      </c>
      <c r="C32" s="25" t="n">
        <v>22.35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IF(C32="","",(COUNTIFS($D$2:$D$35,D32,$C$2:$C$35,"&gt;0",$C$2:$C$35,"&lt;"&amp;C32)+(COUNTIFS($D$2:$D$35,D32,$C$2:$C$35,C32)+1)/2)/COUNTIFS($D$2:$D$35,D32,$C$2:$C$35,"&gt;0"))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46022</v>
      </c>
      <c r="B33" s="24" t="n">
        <v>5181.35</v>
      </c>
      <c r="C33" s="25" t="n">
        <v>23.3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IF(C33="","",(COUNTIFS($D$2:$D$35,D33,$C$2:$C$35,"&gt;0",$C$2:$C$35,"&lt;"&amp;C33)+(COUNTIFS($D$2:$D$35,D33,$C$2:$C$35,C33)+1)/2)/COUNTIFS($D$2:$D$35,D33,$C$2:$C$35,"&gt;0"))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46112</v>
      </c>
      <c r="B34" s="24" t="n">
        <v>4444.8</v>
      </c>
      <c r="C34" s="25" t="n">
        <v>20.53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IF(C34="","",(COUNTIFS($D$2:$D$35,D34,$C$2:$C$35,"&gt;0",$C$2:$C$35,"&lt;"&amp;C34)+(COUNTIFS($D$2:$D$35,D34,$C$2:$C$35,C34)+1)/2)/COUNTIFS($D$2:$D$35,D34,$C$2:$C$35,"&gt;0"))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46203</v>
      </c>
      <c r="B35" s="24" t="n">
        <v>4844.25</v>
      </c>
      <c r="C35" s="25" t="n">
        <v>21.04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IF(C35="","",(COUNTIFS($D$2:$D$35,D35,$C$2:$C$35,"&gt;0",$C$2:$C$35,"&lt;"&amp;C35)+(COUNTIFS($D$2:$D$35,D35,$C$2:$C$35,C35)+1)/2)/COUNTIFS($D$2:$D$35,D35,$C$2:$C$35,"&gt;0"))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4866.15</v>
      </c>
      <c r="C2" s="25" t="n">
        <v>20.66</v>
      </c>
      <c r="D2" s="26" t="n">
        <v>0.0378787878788</v>
      </c>
      <c r="E2" s="26" t="n">
        <v>0.0747085131978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4864.6</v>
      </c>
      <c r="C3" s="25" t="n">
        <v>20.65</v>
      </c>
      <c r="D3" s="26" t="n">
        <v>0.0378787878788</v>
      </c>
      <c r="E3" s="26" t="n">
        <v>0.07490066449170001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4844.15</v>
      </c>
      <c r="C4" s="25" t="n">
        <v>20.57</v>
      </c>
      <c r="D4" s="26" t="n">
        <v>0.0378787878788</v>
      </c>
      <c r="E4" s="26" t="n">
        <v>0.0743957389742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Nifty100 Esg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2026-09-23T03:45:11Z</dcterms:created>
  <dcterms:modified xsi:type="dcterms:W3CDTF">2026-09-23T10:30:08Z</dcterms:modified>
</cp:coreProperties>
</file>