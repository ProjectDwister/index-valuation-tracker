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onthly PE History" sheetId="2" state="visible" r:id="rId2"/>
    <sheet name="Quarterly Backtest" sheetId="3" state="visible" r:id="rId3"/>
    <sheet name="Score History" sheetId="4" state="visible" r:id="rId4"/>
    <sheet name="Composition" sheetId="5" state="visible" r:id="rId5"/>
    <sheet name="Sources &amp; Methodolo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dd-mmm-yyyy"/>
    <numFmt numFmtId="165" formatCode="#,##0.00;[Red](#,##0.00);-"/>
    <numFmt numFmtId="166" formatCode="0.00x;[Red](0.00x);-"/>
    <numFmt numFmtId="167" formatCode="0.0%"/>
    <numFmt numFmtId="168" formatCode="#,##0.0;[Red](#,##0.0);-"/>
    <numFmt numFmtId="169" formatCode="0.0"/>
    <numFmt numFmtId="170" formatCode="0.00x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color rgb="00666666"/>
    </font>
    <font>
      <color rgb="00008000"/>
    </font>
    <font>
      <b val="1"/>
      <color rgb="00FFFFFF"/>
      <sz val="11"/>
    </font>
    <font>
      <color rgb="00000000"/>
    </font>
    <font>
      <b val="1"/>
      <color rgb="00FFFFFF"/>
    </font>
    <font>
      <name val="Calibri"/>
      <family val="2"/>
      <color theme="10"/>
      <sz val="12"/>
      <scheme val="minor"/>
    </font>
    <font>
      <b val="1"/>
      <color rgb="00FFFFFF"/>
      <sz val="15"/>
    </font>
  </fonts>
  <fills count="5">
    <fill>
      <patternFill/>
    </fill>
    <fill>
      <patternFill patternType="gray125"/>
    </fill>
    <fill>
      <patternFill patternType="solid">
        <fgColor rgb="00071A2D"/>
      </patternFill>
    </fill>
    <fill>
      <patternFill patternType="solid">
        <fgColor rgb="000B1F36"/>
      </patternFill>
    </fill>
    <fill>
      <patternFill patternType="solid">
        <fgColor rgb="000F27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164" fontId="3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/>
    </xf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0" fontId="3" fillId="0" borderId="0" pivotButton="0" quotePrefix="0" xfId="0"/>
    <xf numFmtId="169" fontId="3" fillId="0" borderId="0" pivotButton="0" quotePrefix="0" xfId="0"/>
    <xf numFmtId="49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170" fontId="0" fillId="0" borderId="0" pivotButton="0" quotePrefix="0" xfId="0"/>
    <xf numFmtId="3" fontId="0" fillId="0" borderId="0" pivotButton="0" quotePrefix="0" xfId="0"/>
    <xf numFmtId="167" fontId="0" fillId="0" borderId="0" pivotButton="0" quotePrefix="0" xfId="0"/>
    <xf numFmtId="0" fontId="7" fillId="0" borderId="0" pivotButton="0" quotePrefix="0" xfId="1"/>
    <xf numFmtId="164" fontId="0" fillId="0" borderId="0" pivotButton="0" quotePrefix="0" xfId="0"/>
    <xf numFmtId="165" fontId="5" fillId="0" borderId="0" pivotButton="0" quotePrefix="0" xfId="0"/>
    <xf numFmtId="10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170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165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0" fontId="8" fillId="2" borderId="0" pivotButton="0" quotePrefix="0" xfId="0"/>
    <xf numFmtId="0" fontId="6" fillId="4" borderId="0" applyAlignment="1" pivotButton="0" quotePrefix="0" xfId="0">
      <alignment horizontal="center"/>
    </xf>
    <xf numFmtId="10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comments/comment2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seindia.com/all-reports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niftyindices.com/Indices_-_Market_Capitalisation_and_Weightage/indices_dataSep2026.zip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nseindia.com/all-reports" TargetMode="External" Id="rId1" /><Relationship Type="http://schemas.openxmlformats.org/officeDocument/2006/relationships/hyperlink" Target="https://nsearchives.nseindia.com/content/indices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21" customWidth="1" min="4" max="4"/>
    <col width="21" customWidth="1" min="5" max="5"/>
    <col width="21" customWidth="1" min="6" max="6"/>
    <col width="19" customWidth="1" min="7" max="7"/>
  </cols>
  <sheetData>
    <row r="1" ht="26" customHeight="1">
      <c r="A1" s="1" t="inlineStr">
        <is>
          <t>NIFTY Bank Valuation Tracker</t>
        </is>
      </c>
    </row>
    <row r="2">
      <c r="A2" s="2" t="inlineStr">
        <is>
          <t>As of</t>
        </is>
      </c>
      <c r="B2" s="23" t="n">
        <v>46317</v>
      </c>
      <c r="D2" s="2" t="inlineStr">
        <is>
          <t>Group</t>
        </is>
      </c>
      <c r="E2" s="4" t="inlineStr">
        <is>
          <t>Sectoral</t>
        </is>
      </c>
    </row>
    <row r="4">
      <c r="A4" s="5" t="inlineStr">
        <is>
          <t>Current valuation and score</t>
        </is>
      </c>
    </row>
    <row r="5">
      <c r="A5" s="2" t="inlineStr">
        <is>
          <t>Index level</t>
        </is>
      </c>
      <c r="B5" s="24" t="n">
        <v>54925.7</v>
      </c>
      <c r="D5" s="2" t="inlineStr">
        <is>
          <t>P/E</t>
        </is>
      </c>
      <c r="E5" s="25" t="n">
        <v>12.61</v>
      </c>
    </row>
    <row r="6">
      <c r="A6" s="2" t="inlineStr">
        <is>
          <t>P/E percentile</t>
        </is>
      </c>
      <c r="B6" s="26" t="n">
        <v>0.007462686567164179</v>
      </c>
      <c r="D6" s="2" t="inlineStr">
        <is>
          <t>Implied EPS</t>
        </is>
      </c>
      <c r="E6" s="27" t="n">
        <v>4355.725614591594</v>
      </c>
    </row>
    <row r="7">
      <c r="A7" s="2" t="inlineStr">
        <is>
          <t>YoY implied EPS growth</t>
        </is>
      </c>
      <c r="B7" s="26" t="n">
        <v>0.2209535797842219</v>
      </c>
      <c r="D7" s="2" t="inlineStr">
        <is>
          <t>Earnings yield</t>
        </is>
      </c>
      <c r="E7" s="10" t="n">
        <v>0.07930214115781127</v>
      </c>
    </row>
    <row r="8">
      <c r="A8" s="2" t="inlineStr">
        <is>
          <t>Valuation score</t>
        </is>
      </c>
      <c r="B8" s="28" t="n">
        <v>99.25373134328358</v>
      </c>
      <c r="D8" s="2" t="inlineStr">
        <is>
          <t>Growth score</t>
        </is>
      </c>
      <c r="E8" s="28" t="n">
        <v>94.19071595684439</v>
      </c>
    </row>
    <row r="9">
      <c r="A9" s="2" t="inlineStr">
        <is>
          <t>Composite score</t>
        </is>
      </c>
      <c r="B9" s="28" t="n">
        <v>97.73482672735182</v>
      </c>
      <c r="D9" s="2" t="inlineStr">
        <is>
          <t>Signal</t>
        </is>
      </c>
      <c r="E9" s="12" t="inlineStr">
        <is>
          <t>BUY</t>
        </is>
      </c>
    </row>
    <row r="11">
      <c r="A11" s="5" t="inlineStr">
        <is>
          <t>Signal thresholds</t>
        </is>
      </c>
    </row>
    <row r="12">
      <c r="A12" s="13" t="inlineStr">
        <is>
          <t>Boundary</t>
        </is>
      </c>
      <c r="B12" s="13" t="inlineStr">
        <is>
          <t>P/E</t>
        </is>
      </c>
      <c r="C12" s="13" t="inlineStr">
        <is>
          <t>Equivalent index level</t>
        </is>
      </c>
      <c r="D12" s="13" t="inlineStr">
        <is>
          <t>% move from current</t>
        </is>
      </c>
    </row>
    <row r="13">
      <c r="A13" t="inlineStr">
        <is>
          <t>BUY → HOLD</t>
        </is>
      </c>
      <c r="B13" s="29" t="n">
        <v>15.23212583996109</v>
      </c>
      <c r="C13" s="15" t="n">
        <v>66346.96068580099</v>
      </c>
      <c r="D13" s="30" t="n">
        <v>0.2079401934941385</v>
      </c>
    </row>
    <row r="14">
      <c r="A14" t="inlineStr">
        <is>
          <t>HOLD → SELL</t>
        </is>
      </c>
      <c r="B14" s="29" t="n">
        <v>20.43966646323726</v>
      </c>
      <c r="C14" s="15" t="n">
        <v>89029.5787676313</v>
      </c>
      <c r="D14" s="30" t="n">
        <v>0.6209093150862222</v>
      </c>
    </row>
    <row r="16">
      <c r="A16" s="5" t="inlineStr">
        <is>
          <t>Forward returns by starting valuation</t>
        </is>
      </c>
    </row>
    <row r="17">
      <c r="A17" s="13" t="inlineStr">
        <is>
          <t>Starting valuation</t>
        </is>
      </c>
      <c r="B17" s="13" t="inlineStr">
        <is>
          <t>Observations</t>
        </is>
      </c>
      <c r="C17" s="13" t="inlineStr">
        <is>
          <t>1Y median</t>
        </is>
      </c>
      <c r="D17" s="13" t="inlineStr">
        <is>
          <t>3Y median CAGR</t>
        </is>
      </c>
      <c r="E17" s="13" t="inlineStr">
        <is>
          <t>5Y median CAGR</t>
        </is>
      </c>
      <c r="F17" s="13" t="inlineStr">
        <is>
          <t>10Y median CAGR</t>
        </is>
      </c>
      <c r="G17" s="13" t="inlineStr">
        <is>
          <t>3Y loss frequency</t>
        </is>
      </c>
    </row>
    <row r="18">
      <c r="A18" t="inlineStr">
        <is>
          <t>Q1 Cheapest</t>
        </is>
      </c>
      <c r="B18" t="n">
        <v>8</v>
      </c>
      <c r="C18" s="30" t="n">
        <v>0.2499904128716469</v>
      </c>
      <c r="D18" s="30" t="n">
        <v>0.2573166379128107</v>
      </c>
      <c r="E18" s="30" t="n">
        <v>0.1869937105054701</v>
      </c>
      <c r="F18" s="30" t="n">
        <v>0.1272269882711363</v>
      </c>
      <c r="G18" s="30" t="n">
        <v>0</v>
      </c>
    </row>
    <row r="19">
      <c r="A19" t="inlineStr">
        <is>
          <t>Q2</t>
        </is>
      </c>
      <c r="B19" t="n">
        <v>9</v>
      </c>
      <c r="C19" s="30" t="n">
        <v>0.1481483939559463</v>
      </c>
      <c r="D19" s="30" t="n">
        <v>0.2014544502771138</v>
      </c>
      <c r="E19" s="30" t="n">
        <v>0.1423520206022357</v>
      </c>
      <c r="F19" s="30" t="n">
        <v>0.1236422684472716</v>
      </c>
      <c r="G19" s="30" t="n">
        <v>0.2</v>
      </c>
    </row>
    <row r="20">
      <c r="A20" t="inlineStr">
        <is>
          <t>Q3</t>
        </is>
      </c>
      <c r="B20" t="n">
        <v>8</v>
      </c>
      <c r="C20" s="30" t="n">
        <v>0.0949615272557065</v>
      </c>
      <c r="D20" s="30" t="n">
        <v>0.0697391708589703</v>
      </c>
      <c r="E20" s="30" t="n">
        <v>0.1106056507530155</v>
      </c>
      <c r="F20" s="30" t="n">
        <v>0.109741951569194</v>
      </c>
      <c r="G20" s="30" t="n">
        <v>0.4</v>
      </c>
    </row>
    <row r="21">
      <c r="A21" t="inlineStr">
        <is>
          <t>Q4</t>
        </is>
      </c>
      <c r="B21" t="n">
        <v>9</v>
      </c>
      <c r="C21" s="30" t="n">
        <v>0.1540848960510668</v>
      </c>
      <c r="D21" s="30" t="n">
        <v>0.1131534330945223</v>
      </c>
      <c r="E21" s="30" t="n">
        <v>0.119441885710212</v>
      </c>
      <c r="F21" s="30" t="n"/>
      <c r="G21" s="30" t="n">
        <v>0</v>
      </c>
    </row>
    <row r="22">
      <c r="A22" t="inlineStr">
        <is>
          <t>Q5 Most Expensive</t>
        </is>
      </c>
      <c r="B22" t="n">
        <v>10</v>
      </c>
      <c r="C22" s="30" t="n">
        <v>0.06220973152145615</v>
      </c>
      <c r="D22" s="30" t="n">
        <v>0.122744664190762</v>
      </c>
      <c r="E22" s="30" t="n">
        <v>0.1009926225754815</v>
      </c>
      <c r="F22" s="30" t="n"/>
      <c r="G22" s="30" t="n">
        <v>0</v>
      </c>
    </row>
    <row r="24">
      <c r="A24" s="5" t="inlineStr">
        <is>
          <t>Coverage and methodology</t>
        </is>
      </c>
    </row>
    <row r="25">
      <c r="A25" s="2" t="inlineStr">
        <is>
          <t>Monthly P/E observations</t>
        </is>
      </c>
      <c r="B25" t="n">
        <v>66</v>
      </c>
    </row>
    <row r="26">
      <c r="A26" s="2" t="inlineStr">
        <is>
          <t>Quarter-end P/E observations</t>
        </is>
      </c>
      <c r="B26" t="n">
        <v>44</v>
      </c>
    </row>
    <row r="27">
      <c r="A27" s="2" t="inlineStr">
        <is>
          <t>Backtest start</t>
        </is>
      </c>
      <c r="B27" t="inlineStr">
        <is>
          <t>2015-12-31</t>
        </is>
      </c>
    </row>
    <row r="28">
      <c r="A28" s="2" t="inlineStr">
        <is>
          <t>Backtest end</t>
        </is>
      </c>
      <c r="B28" t="inlineStr">
        <is>
          <t>2026-09-30</t>
        </is>
      </c>
    </row>
    <row r="29">
      <c r="A29" s="2" t="inlineStr">
        <is>
          <t>Model</t>
        </is>
      </c>
      <c r="B29" t="inlineStr">
        <is>
          <t>70% own-index P/E valuation percentile + 30% own-index YoY implied EPS growth</t>
        </is>
      </c>
    </row>
    <row r="30">
      <c r="A30" s="2" t="inlineStr">
        <is>
          <t>P/E source</t>
        </is>
      </c>
      <c r="B30" s="17" t="inlineStr">
        <is>
          <t>NSE Indices daily archive</t>
        </is>
      </c>
    </row>
  </sheetData>
  <mergeCells count="5">
    <mergeCell ref="A24:F24"/>
    <mergeCell ref="A11:F11"/>
    <mergeCell ref="A1:F1"/>
    <mergeCell ref="A16:G16"/>
    <mergeCell ref="A4:F4"/>
  </mergeCells>
  <hyperlinks>
    <hyperlink xmlns:r="http://schemas.openxmlformats.org/officeDocument/2006/relationships" ref="B30" r:id="rId1"/>
  </hyperlinks>
  <pageMargins left="0.3" right="0.3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22" customWidth="1" min="4" max="4"/>
    <col width="20" customWidth="1" min="5" max="5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Implied EPS</t>
        </is>
      </c>
      <c r="E1" s="13" t="inlineStr">
        <is>
          <t>Earnings Yield</t>
        </is>
      </c>
    </row>
    <row r="2">
      <c r="A2" s="31" t="n">
        <v>44316</v>
      </c>
      <c r="B2" s="24" t="n">
        <v>32781.8</v>
      </c>
      <c r="C2" s="25" t="n">
        <v>24.18</v>
      </c>
      <c r="D2" s="32">
        <f>IFERROR(B2/C2,"")</f>
        <v/>
      </c>
      <c r="E2" s="20">
        <f>IFERROR(1/C2,"")</f>
        <v/>
      </c>
    </row>
    <row r="3">
      <c r="A3" s="31" t="n">
        <v>44347</v>
      </c>
      <c r="B3" s="24" t="n">
        <v>35526.65</v>
      </c>
      <c r="C3" s="25" t="n">
        <v>24.41</v>
      </c>
      <c r="D3" s="32">
        <f>IFERROR(B3/C3,"")</f>
        <v/>
      </c>
      <c r="E3" s="20">
        <f>IFERROR(1/C3,"")</f>
        <v/>
      </c>
    </row>
    <row r="4">
      <c r="A4" s="31" t="n">
        <v>44377</v>
      </c>
      <c r="B4" s="24" t="n">
        <v>34772.2</v>
      </c>
      <c r="C4" s="25" t="n">
        <v>23.75</v>
      </c>
      <c r="D4" s="32">
        <f>IFERROR(B4/C4,"")</f>
        <v/>
      </c>
      <c r="E4" s="20">
        <f>IFERROR(1/C4,"")</f>
        <v/>
      </c>
    </row>
    <row r="5">
      <c r="A5" s="31" t="n">
        <v>44408</v>
      </c>
      <c r="B5" s="24" t="n">
        <v>34584.35</v>
      </c>
      <c r="C5" s="25" t="n">
        <v>22.57</v>
      </c>
      <c r="D5" s="32">
        <f>IFERROR(B5/C5,"")</f>
        <v/>
      </c>
      <c r="E5" s="20">
        <f>IFERROR(1/C5,"")</f>
        <v/>
      </c>
    </row>
    <row r="6">
      <c r="A6" s="31" t="n">
        <v>44439</v>
      </c>
      <c r="B6" s="24" t="n">
        <v>36424.6</v>
      </c>
      <c r="C6" s="25" t="n">
        <v>23.87</v>
      </c>
      <c r="D6" s="32">
        <f>IFERROR(B6/C6,"")</f>
        <v/>
      </c>
      <c r="E6" s="20">
        <f>IFERROR(1/C6,"")</f>
        <v/>
      </c>
    </row>
    <row r="7">
      <c r="A7" s="31" t="n">
        <v>44469</v>
      </c>
      <c r="B7" s="24" t="n">
        <v>37425.1</v>
      </c>
      <c r="C7" s="25" t="n">
        <v>24.32</v>
      </c>
      <c r="D7" s="32">
        <f>IFERROR(B7/C7,"")</f>
        <v/>
      </c>
      <c r="E7" s="20">
        <f>IFERROR(1/C7,"")</f>
        <v/>
      </c>
    </row>
    <row r="8">
      <c r="A8" s="31" t="n">
        <v>44500</v>
      </c>
      <c r="B8" s="24" t="n">
        <v>39115.6</v>
      </c>
      <c r="C8" s="25" t="n">
        <v>24.06</v>
      </c>
      <c r="D8" s="32">
        <f>IFERROR(B8/C8,"")</f>
        <v/>
      </c>
      <c r="E8" s="20">
        <f>IFERROR(1/C8,"")</f>
        <v/>
      </c>
    </row>
    <row r="9">
      <c r="A9" s="31" t="n">
        <v>44530</v>
      </c>
      <c r="B9" s="24" t="n">
        <v>35695.3</v>
      </c>
      <c r="C9" s="25" t="n">
        <v>22.05</v>
      </c>
      <c r="D9" s="32">
        <f>IFERROR(B9/C9,"")</f>
        <v/>
      </c>
      <c r="E9" s="20">
        <f>IFERROR(1/C9,"")</f>
        <v/>
      </c>
    </row>
    <row r="10">
      <c r="A10" s="31" t="n">
        <v>44561</v>
      </c>
      <c r="B10" s="24" t="n">
        <v>35481.7</v>
      </c>
      <c r="C10" s="25" t="n">
        <v>22.33</v>
      </c>
      <c r="D10" s="32">
        <f>IFERROR(B10/C10,"")</f>
        <v/>
      </c>
      <c r="E10" s="20">
        <f>IFERROR(1/C10,"")</f>
        <v/>
      </c>
    </row>
    <row r="11">
      <c r="A11" s="31" t="n">
        <v>44592</v>
      </c>
      <c r="B11" s="24" t="n">
        <v>37975.35</v>
      </c>
      <c r="C11" s="25" t="n">
        <v>22.48</v>
      </c>
      <c r="D11" s="32">
        <f>IFERROR(B11/C11,"")</f>
        <v/>
      </c>
      <c r="E11" s="20">
        <f>IFERROR(1/C11,"")</f>
        <v/>
      </c>
    </row>
    <row r="12">
      <c r="A12" s="31" t="n">
        <v>44620</v>
      </c>
      <c r="B12" s="24" t="n">
        <v>36205.3</v>
      </c>
      <c r="C12" s="25" t="n">
        <v>20.78</v>
      </c>
      <c r="D12" s="32">
        <f>IFERROR(B12/C12,"")</f>
        <v/>
      </c>
      <c r="E12" s="20">
        <f>IFERROR(1/C12,"")</f>
        <v/>
      </c>
    </row>
    <row r="13">
      <c r="A13" s="31" t="n">
        <v>44651</v>
      </c>
      <c r="B13" s="24" t="n">
        <v>36373.6</v>
      </c>
      <c r="C13" s="25" t="n">
        <v>20.51</v>
      </c>
      <c r="D13" s="32">
        <f>IFERROR(B13/C13,"")</f>
        <v/>
      </c>
      <c r="E13" s="20">
        <f>IFERROR(1/C13,"")</f>
        <v/>
      </c>
    </row>
    <row r="14">
      <c r="A14" s="31" t="n">
        <v>44681</v>
      </c>
      <c r="B14" s="24" t="n">
        <v>36088.15</v>
      </c>
      <c r="C14" s="25" t="n">
        <v>19.53</v>
      </c>
      <c r="D14" s="32">
        <f>IFERROR(B14/C14,"")</f>
        <v/>
      </c>
      <c r="E14" s="20">
        <f>IFERROR(1/C14,"")</f>
        <v/>
      </c>
    </row>
    <row r="15">
      <c r="A15" s="31" t="n">
        <v>44712</v>
      </c>
      <c r="B15" s="24" t="n">
        <v>35487.4</v>
      </c>
      <c r="C15" s="25" t="n">
        <v>17.79</v>
      </c>
      <c r="D15" s="32">
        <f>IFERROR(B15/C15,"")</f>
        <v/>
      </c>
      <c r="E15" s="20">
        <f>IFERROR(1/C15,"")</f>
        <v/>
      </c>
    </row>
    <row r="16">
      <c r="A16" s="31" t="n">
        <v>44742</v>
      </c>
      <c r="B16" s="24" t="n">
        <v>33425.1</v>
      </c>
      <c r="C16" s="25" t="n">
        <v>16.65</v>
      </c>
      <c r="D16" s="32">
        <f>IFERROR(B16/C16,"")</f>
        <v/>
      </c>
      <c r="E16" s="20">
        <f>IFERROR(1/C16,"")</f>
        <v/>
      </c>
    </row>
    <row r="17">
      <c r="A17" s="31" t="n">
        <v>44773</v>
      </c>
      <c r="B17" s="24" t="n">
        <v>37491.4</v>
      </c>
      <c r="C17" s="25" t="n">
        <v>17.39</v>
      </c>
      <c r="D17" s="32">
        <f>IFERROR(B17/C17,"")</f>
        <v/>
      </c>
      <c r="E17" s="20">
        <f>IFERROR(1/C17,"")</f>
        <v/>
      </c>
    </row>
    <row r="18">
      <c r="A18" s="31" t="n">
        <v>44804</v>
      </c>
      <c r="B18" s="24" t="n">
        <v>39536.75</v>
      </c>
      <c r="C18" s="25" t="n">
        <v>18.2</v>
      </c>
      <c r="D18" s="32">
        <f>IFERROR(B18/C18,"")</f>
        <v/>
      </c>
      <c r="E18" s="20">
        <f>IFERROR(1/C18,"")</f>
        <v/>
      </c>
    </row>
    <row r="19">
      <c r="A19" s="31" t="n">
        <v>44834</v>
      </c>
      <c r="B19" s="24" t="n">
        <v>38631.95</v>
      </c>
      <c r="C19" s="25" t="n">
        <v>17.97</v>
      </c>
      <c r="D19" s="32">
        <f>IFERROR(B19/C19,"")</f>
        <v/>
      </c>
      <c r="E19" s="20">
        <f>IFERROR(1/C19,"")</f>
        <v/>
      </c>
    </row>
    <row r="20">
      <c r="A20" s="31" t="n">
        <v>44865</v>
      </c>
      <c r="B20" s="24" t="n">
        <v>41307.9</v>
      </c>
      <c r="C20" s="25" t="n">
        <v>18.07</v>
      </c>
      <c r="D20" s="32">
        <f>IFERROR(B20/C20,"")</f>
        <v/>
      </c>
      <c r="E20" s="20">
        <f>IFERROR(1/C20,"")</f>
        <v/>
      </c>
    </row>
    <row r="21">
      <c r="A21" s="31" t="n">
        <v>44895</v>
      </c>
      <c r="B21" s="24" t="n">
        <v>43231</v>
      </c>
      <c r="C21" s="25" t="n">
        <v>18.06</v>
      </c>
      <c r="D21" s="32">
        <f>IFERROR(B21/C21,"")</f>
        <v/>
      </c>
      <c r="E21" s="20">
        <f>IFERROR(1/C21,"")</f>
        <v/>
      </c>
    </row>
    <row r="22">
      <c r="A22" s="31" t="n">
        <v>44926</v>
      </c>
      <c r="B22" s="24" t="n">
        <v>42986.45</v>
      </c>
      <c r="C22" s="25" t="n">
        <v>18.08</v>
      </c>
      <c r="D22" s="32">
        <f>IFERROR(B22/C22,"")</f>
        <v/>
      </c>
      <c r="E22" s="20">
        <f>IFERROR(1/C22,"")</f>
        <v/>
      </c>
    </row>
    <row r="23">
      <c r="A23" s="31" t="n">
        <v>44957</v>
      </c>
      <c r="B23" s="24" t="n">
        <v>40655.05</v>
      </c>
      <c r="C23" s="25" t="n">
        <v>16.21</v>
      </c>
      <c r="D23" s="32">
        <f>IFERROR(B23/C23,"")</f>
        <v/>
      </c>
      <c r="E23" s="20">
        <f>IFERROR(1/C23,"")</f>
        <v/>
      </c>
    </row>
    <row r="24">
      <c r="A24" s="31" t="n">
        <v>44985</v>
      </c>
      <c r="B24" s="24" t="n">
        <v>40269.05</v>
      </c>
      <c r="C24" s="25" t="n">
        <v>15.62</v>
      </c>
      <c r="D24" s="32">
        <f>IFERROR(B24/C24,"")</f>
        <v/>
      </c>
      <c r="E24" s="20">
        <f>IFERROR(1/C24,"")</f>
        <v/>
      </c>
    </row>
    <row r="25">
      <c r="A25" s="31" t="n">
        <v>45016</v>
      </c>
      <c r="B25" s="24" t="n">
        <v>40608.65</v>
      </c>
      <c r="C25" s="25" t="n">
        <v>15.56</v>
      </c>
      <c r="D25" s="32">
        <f>IFERROR(B25/C25,"")</f>
        <v/>
      </c>
      <c r="E25" s="20">
        <f>IFERROR(1/C25,"")</f>
        <v/>
      </c>
    </row>
    <row r="26">
      <c r="A26" s="31" t="n">
        <v>45046</v>
      </c>
      <c r="B26" s="24" t="n">
        <v>43233.9</v>
      </c>
      <c r="C26" s="25" t="n">
        <v>16.07</v>
      </c>
      <c r="D26" s="32">
        <f>IFERROR(B26/C26,"")</f>
        <v/>
      </c>
      <c r="E26" s="20">
        <f>IFERROR(1/C26,"")</f>
        <v/>
      </c>
    </row>
    <row r="27">
      <c r="A27" s="31" t="n">
        <v>45077</v>
      </c>
      <c r="B27" s="24" t="n">
        <v>44128.15</v>
      </c>
      <c r="C27" s="25" t="n">
        <v>16.46</v>
      </c>
      <c r="D27" s="32">
        <f>IFERROR(B27/C27,"")</f>
        <v/>
      </c>
      <c r="E27" s="20">
        <f>IFERROR(1/C27,"")</f>
        <v/>
      </c>
    </row>
    <row r="28">
      <c r="A28" s="31" t="n">
        <v>45107</v>
      </c>
      <c r="B28" s="24" t="n">
        <v>44747.35</v>
      </c>
      <c r="C28" s="25" t="n">
        <v>16.81</v>
      </c>
      <c r="D28" s="32">
        <f>IFERROR(B28/C28,"")</f>
        <v/>
      </c>
      <c r="E28" s="20">
        <f>IFERROR(1/C28,"")</f>
        <v/>
      </c>
    </row>
    <row r="29">
      <c r="A29" s="31" t="n">
        <v>45138</v>
      </c>
      <c r="B29" s="24" t="n">
        <v>45651.1</v>
      </c>
      <c r="C29" s="25" t="n">
        <v>17.37</v>
      </c>
      <c r="D29" s="32">
        <f>IFERROR(B29/C29,"")</f>
        <v/>
      </c>
      <c r="E29" s="20">
        <f>IFERROR(1/C29,"")</f>
        <v/>
      </c>
    </row>
    <row r="30">
      <c r="A30" s="31" t="n">
        <v>45169</v>
      </c>
      <c r="B30" s="24" t="n">
        <v>43989.15</v>
      </c>
      <c r="C30" s="25" t="n">
        <v>15.97</v>
      </c>
      <c r="D30" s="32">
        <f>IFERROR(B30/C30,"")</f>
        <v/>
      </c>
      <c r="E30" s="20">
        <f>IFERROR(1/C30,"")</f>
        <v/>
      </c>
    </row>
    <row r="31">
      <c r="A31" s="31" t="n">
        <v>45199</v>
      </c>
      <c r="B31" s="24" t="n">
        <v>44584.55</v>
      </c>
      <c r="C31" s="25" t="n">
        <v>16.39</v>
      </c>
      <c r="D31" s="32">
        <f>IFERROR(B31/C31,"")</f>
        <v/>
      </c>
      <c r="E31" s="20">
        <f>IFERROR(1/C31,"")</f>
        <v/>
      </c>
    </row>
    <row r="32">
      <c r="A32" s="31" t="n">
        <v>45230</v>
      </c>
      <c r="B32" s="24" t="n">
        <v>42845.95</v>
      </c>
      <c r="C32" s="25" t="n">
        <v>14.8</v>
      </c>
      <c r="D32" s="32">
        <f>IFERROR(B32/C32,"")</f>
        <v/>
      </c>
      <c r="E32" s="20">
        <f>IFERROR(1/C32,"")</f>
        <v/>
      </c>
    </row>
    <row r="33">
      <c r="A33" s="31" t="n">
        <v>45260</v>
      </c>
      <c r="B33" s="24" t="n">
        <v>44481.75</v>
      </c>
      <c r="C33" s="25" t="n">
        <v>15.25</v>
      </c>
      <c r="D33" s="32">
        <f>IFERROR(B33/C33,"")</f>
        <v/>
      </c>
      <c r="E33" s="20">
        <f>IFERROR(1/C33,"")</f>
        <v/>
      </c>
    </row>
    <row r="34">
      <c r="A34" s="31" t="n">
        <v>45291</v>
      </c>
      <c r="B34" s="24" t="n">
        <v>48292.25</v>
      </c>
      <c r="C34" s="25" t="n">
        <v>16.6</v>
      </c>
      <c r="D34" s="32">
        <f>IFERROR(B34/C34,"")</f>
        <v/>
      </c>
      <c r="E34" s="20">
        <f>IFERROR(1/C34,"")</f>
        <v/>
      </c>
    </row>
    <row r="35">
      <c r="A35" s="31" t="n">
        <v>45322</v>
      </c>
      <c r="B35" s="24" t="n">
        <v>45996.8</v>
      </c>
      <c r="C35" s="25" t="n">
        <v>15.15</v>
      </c>
      <c r="D35" s="32">
        <f>IFERROR(B35/C35,"")</f>
        <v/>
      </c>
      <c r="E35" s="20">
        <f>IFERROR(1/C35,"")</f>
        <v/>
      </c>
    </row>
    <row r="36">
      <c r="A36" s="31" t="n">
        <v>45351</v>
      </c>
      <c r="B36" s="24" t="n">
        <v>46120.9</v>
      </c>
      <c r="C36" s="25" t="n">
        <v>15.31</v>
      </c>
      <c r="D36" s="32">
        <f>IFERROR(B36/C36,"")</f>
        <v/>
      </c>
      <c r="E36" s="20">
        <f>IFERROR(1/C36,"")</f>
        <v/>
      </c>
    </row>
    <row r="37">
      <c r="A37" s="31" t="n">
        <v>45382</v>
      </c>
      <c r="B37" s="24" t="n">
        <v>47124.6</v>
      </c>
      <c r="C37" s="25" t="n">
        <v>15.84</v>
      </c>
      <c r="D37" s="32">
        <f>IFERROR(B37/C37,"")</f>
        <v/>
      </c>
      <c r="E37" s="20">
        <f>IFERROR(1/C37,"")</f>
        <v/>
      </c>
    </row>
    <row r="38">
      <c r="A38" s="31" t="n">
        <v>45412</v>
      </c>
      <c r="B38" s="24" t="n">
        <v>49396.75</v>
      </c>
      <c r="C38" s="25" t="n">
        <v>15.2</v>
      </c>
      <c r="D38" s="32">
        <f>IFERROR(B38/C38,"")</f>
        <v/>
      </c>
      <c r="E38" s="20">
        <f>IFERROR(1/C38,"")</f>
        <v/>
      </c>
    </row>
    <row r="39">
      <c r="A39" s="31" t="n">
        <v>45443</v>
      </c>
      <c r="B39" s="24" t="n">
        <v>48983.95</v>
      </c>
      <c r="C39" s="25" t="n">
        <v>14.97</v>
      </c>
      <c r="D39" s="32">
        <f>IFERROR(B39/C39,"")</f>
        <v/>
      </c>
      <c r="E39" s="20">
        <f>IFERROR(1/C39,"")</f>
        <v/>
      </c>
    </row>
    <row r="40">
      <c r="A40" s="31" t="n">
        <v>45473</v>
      </c>
      <c r="B40" s="24" t="n">
        <v>52342.25</v>
      </c>
      <c r="C40" s="25" t="n">
        <v>15.97</v>
      </c>
      <c r="D40" s="32">
        <f>IFERROR(B40/C40,"")</f>
        <v/>
      </c>
      <c r="E40" s="20">
        <f>IFERROR(1/C40,"")</f>
        <v/>
      </c>
    </row>
    <row r="41">
      <c r="A41" s="31" t="n">
        <v>45504</v>
      </c>
      <c r="B41" s="24" t="n">
        <v>51553.4</v>
      </c>
      <c r="C41" s="25" t="n">
        <v>15.01</v>
      </c>
      <c r="D41" s="32">
        <f>IFERROR(B41/C41,"")</f>
        <v/>
      </c>
      <c r="E41" s="20">
        <f>IFERROR(1/C41,"")</f>
        <v/>
      </c>
    </row>
    <row r="42">
      <c r="A42" s="31" t="n">
        <v>45535</v>
      </c>
      <c r="B42" s="24" t="n">
        <v>51351</v>
      </c>
      <c r="C42" s="25" t="n">
        <v>14.9</v>
      </c>
      <c r="D42" s="32">
        <f>IFERROR(B42/C42,"")</f>
        <v/>
      </c>
      <c r="E42" s="20">
        <f>IFERROR(1/C42,"")</f>
        <v/>
      </c>
    </row>
    <row r="43">
      <c r="A43" s="31" t="n">
        <v>45565</v>
      </c>
      <c r="B43" s="24" t="n">
        <v>52978.1</v>
      </c>
      <c r="C43" s="25" t="n">
        <v>14.84</v>
      </c>
      <c r="D43" s="32">
        <f>IFERROR(B43/C43,"")</f>
        <v/>
      </c>
      <c r="E43" s="20">
        <f>IFERROR(1/C43,"")</f>
        <v/>
      </c>
    </row>
    <row r="44">
      <c r="A44" s="31" t="n">
        <v>45596</v>
      </c>
      <c r="B44" s="24" t="n">
        <v>51475.35</v>
      </c>
      <c r="C44" s="25" t="n">
        <v>14.14</v>
      </c>
      <c r="D44" s="32">
        <f>IFERROR(B44/C44,"")</f>
        <v/>
      </c>
      <c r="E44" s="20">
        <f>IFERROR(1/C44,"")</f>
        <v/>
      </c>
    </row>
    <row r="45">
      <c r="A45" s="31" t="n">
        <v>45626</v>
      </c>
      <c r="B45" s="24" t="n">
        <v>52055.6</v>
      </c>
      <c r="C45" s="25" t="n">
        <v>14.18</v>
      </c>
      <c r="D45" s="32">
        <f>IFERROR(B45/C45,"")</f>
        <v/>
      </c>
      <c r="E45" s="20">
        <f>IFERROR(1/C45,"")</f>
        <v/>
      </c>
    </row>
    <row r="46">
      <c r="A46" s="31" t="n">
        <v>45657</v>
      </c>
      <c r="B46" s="24" t="n">
        <v>50860.2</v>
      </c>
      <c r="C46" s="25" t="n">
        <v>13.68</v>
      </c>
      <c r="D46" s="32">
        <f>IFERROR(B46/C46,"")</f>
        <v/>
      </c>
      <c r="E46" s="20">
        <f>IFERROR(1/C46,"")</f>
        <v/>
      </c>
    </row>
    <row r="47">
      <c r="A47" s="31" t="n">
        <v>45688</v>
      </c>
      <c r="B47" s="24" t="n">
        <v>49587.2</v>
      </c>
      <c r="C47" s="25" t="n">
        <v>13.15</v>
      </c>
      <c r="D47" s="32">
        <f>IFERROR(B47/C47,"")</f>
        <v/>
      </c>
      <c r="E47" s="20">
        <f>IFERROR(1/C47,"")</f>
        <v/>
      </c>
    </row>
    <row r="48">
      <c r="A48" s="31" t="n">
        <v>45716</v>
      </c>
      <c r="B48" s="24" t="n">
        <v>48344.7</v>
      </c>
      <c r="C48" s="25" t="n">
        <v>12.68</v>
      </c>
      <c r="D48" s="32">
        <f>IFERROR(B48/C48,"")</f>
        <v/>
      </c>
      <c r="E48" s="20">
        <f>IFERROR(1/C48,"")</f>
        <v/>
      </c>
    </row>
    <row r="49">
      <c r="A49" s="31" t="n">
        <v>45747</v>
      </c>
      <c r="B49" s="24" t="n">
        <v>51564.85</v>
      </c>
      <c r="C49" s="25" t="n">
        <v>13.18</v>
      </c>
      <c r="D49" s="32">
        <f>IFERROR(B49/C49,"")</f>
        <v/>
      </c>
      <c r="E49" s="20">
        <f>IFERROR(1/C49,"")</f>
        <v/>
      </c>
    </row>
    <row r="50">
      <c r="A50" s="31" t="n">
        <v>45777</v>
      </c>
      <c r="B50" s="24" t="n">
        <v>55087.15</v>
      </c>
      <c r="C50" s="25" t="n">
        <v>13.97</v>
      </c>
      <c r="D50" s="32">
        <f>IFERROR(B50/C50,"")</f>
        <v/>
      </c>
      <c r="E50" s="20">
        <f>IFERROR(1/C50,"")</f>
        <v/>
      </c>
    </row>
    <row r="51">
      <c r="A51" s="31" t="n">
        <v>45808</v>
      </c>
      <c r="B51" s="24" t="n">
        <v>55749.7</v>
      </c>
      <c r="C51" s="25" t="n">
        <v>14.63</v>
      </c>
      <c r="D51" s="32">
        <f>IFERROR(B51/C51,"")</f>
        <v/>
      </c>
      <c r="E51" s="20">
        <f>IFERROR(1/C51,"")</f>
        <v/>
      </c>
    </row>
    <row r="52">
      <c r="A52" s="31" t="n">
        <v>45838</v>
      </c>
      <c r="B52" s="24" t="n">
        <v>57312.75</v>
      </c>
      <c r="C52" s="25" t="n">
        <v>15.19</v>
      </c>
      <c r="D52" s="32">
        <f>IFERROR(B52/C52,"")</f>
        <v/>
      </c>
      <c r="E52" s="20">
        <f>IFERROR(1/C52,"")</f>
        <v/>
      </c>
    </row>
    <row r="53">
      <c r="A53" s="31" t="n">
        <v>45869</v>
      </c>
      <c r="B53" s="24" t="n">
        <v>55961.95</v>
      </c>
      <c r="C53" s="25" t="n">
        <v>15.2</v>
      </c>
      <c r="D53" s="32">
        <f>IFERROR(B53/C53,"")</f>
        <v/>
      </c>
      <c r="E53" s="20">
        <f>IFERROR(1/C53,"")</f>
        <v/>
      </c>
    </row>
    <row r="54">
      <c r="A54" s="31" t="n">
        <v>45900</v>
      </c>
      <c r="B54" s="24" t="n">
        <v>53655.65</v>
      </c>
      <c r="C54" s="25" t="n">
        <v>14.61</v>
      </c>
      <c r="D54" s="32">
        <f>IFERROR(B54/C54,"")</f>
        <v/>
      </c>
      <c r="E54" s="20">
        <f>IFERROR(1/C54,"")</f>
        <v/>
      </c>
    </row>
    <row r="55">
      <c r="A55" s="31" t="n">
        <v>45930</v>
      </c>
      <c r="B55" s="24" t="n">
        <v>54635.85</v>
      </c>
      <c r="C55" s="25" t="n">
        <v>15.09</v>
      </c>
      <c r="D55" s="32">
        <f>IFERROR(B55/C55,"")</f>
        <v/>
      </c>
      <c r="E55" s="20">
        <f>IFERROR(1/C55,"")</f>
        <v/>
      </c>
    </row>
    <row r="56">
      <c r="A56" s="31" t="n">
        <v>45961</v>
      </c>
      <c r="B56" s="24" t="n">
        <v>57776.35</v>
      </c>
      <c r="C56" s="25" t="n">
        <v>16.17</v>
      </c>
      <c r="D56" s="32">
        <f>IFERROR(B56/C56,"")</f>
        <v/>
      </c>
      <c r="E56" s="20">
        <f>IFERROR(1/C56,"")</f>
        <v/>
      </c>
    </row>
    <row r="57">
      <c r="A57" s="31" t="n">
        <v>45991</v>
      </c>
      <c r="B57" s="24" t="n">
        <v>59752.7</v>
      </c>
      <c r="C57" s="25" t="n">
        <v>16.7</v>
      </c>
      <c r="D57" s="32">
        <f>IFERROR(B57/C57,"")</f>
        <v/>
      </c>
      <c r="E57" s="20">
        <f>IFERROR(1/C57,"")</f>
        <v/>
      </c>
    </row>
    <row r="58">
      <c r="A58" s="31" t="n">
        <v>46022</v>
      </c>
      <c r="B58" s="24" t="n">
        <v>59581.85</v>
      </c>
      <c r="C58" s="25" t="n">
        <v>16.4</v>
      </c>
      <c r="D58" s="32">
        <f>IFERROR(B58/C58,"")</f>
        <v/>
      </c>
      <c r="E58" s="20">
        <f>IFERROR(1/C58,"")</f>
        <v/>
      </c>
    </row>
    <row r="59">
      <c r="A59" s="31" t="n">
        <v>46053</v>
      </c>
      <c r="B59" s="24" t="n">
        <v>59610.45</v>
      </c>
      <c r="C59" s="25" t="n">
        <v>16.22</v>
      </c>
      <c r="D59" s="32">
        <f>IFERROR(B59/C59,"")</f>
        <v/>
      </c>
      <c r="E59" s="20">
        <f>IFERROR(1/C59,"")</f>
        <v/>
      </c>
    </row>
    <row r="60">
      <c r="A60" s="31" t="n">
        <v>46081</v>
      </c>
      <c r="B60" s="24" t="n">
        <v>60529</v>
      </c>
      <c r="C60" s="25" t="n">
        <v>16.21</v>
      </c>
      <c r="D60" s="32">
        <f>IFERROR(B60/C60,"")</f>
        <v/>
      </c>
      <c r="E60" s="20">
        <f>IFERROR(1/C60,"")</f>
        <v/>
      </c>
    </row>
    <row r="61">
      <c r="A61" s="31" t="n">
        <v>46112</v>
      </c>
      <c r="B61" s="24" t="n">
        <v>50275.35</v>
      </c>
      <c r="C61" s="25" t="n">
        <v>13.38</v>
      </c>
      <c r="D61" s="32">
        <f>IFERROR(B61/C61,"")</f>
        <v/>
      </c>
      <c r="E61" s="20">
        <f>IFERROR(1/C61,"")</f>
        <v/>
      </c>
    </row>
    <row r="62">
      <c r="A62" s="31" t="n">
        <v>46142</v>
      </c>
      <c r="B62" s="24" t="n">
        <v>54863.35</v>
      </c>
      <c r="C62" s="25" t="n">
        <v>13.95</v>
      </c>
      <c r="D62" s="32">
        <f>IFERROR(B62/C62,"")</f>
        <v/>
      </c>
      <c r="E62" s="20">
        <f>IFERROR(1/C62,"")</f>
        <v/>
      </c>
    </row>
    <row r="63">
      <c r="A63" s="31" t="n">
        <v>46173</v>
      </c>
      <c r="B63" s="24" t="n">
        <v>54239.2</v>
      </c>
      <c r="C63" s="25" t="n">
        <v>13.69</v>
      </c>
      <c r="D63" s="32">
        <f>IFERROR(B63/C63,"")</f>
        <v/>
      </c>
      <c r="E63" s="20">
        <f>IFERROR(1/C63,"")</f>
        <v/>
      </c>
    </row>
    <row r="64">
      <c r="A64" s="31" t="n">
        <v>46203</v>
      </c>
      <c r="B64" s="24" t="n">
        <v>57542.9</v>
      </c>
      <c r="C64" s="25" t="n">
        <v>14.46</v>
      </c>
      <c r="D64" s="32">
        <f>IFERROR(B64/C64,"")</f>
        <v/>
      </c>
      <c r="E64" s="20">
        <f>IFERROR(1/C64,"")</f>
        <v/>
      </c>
    </row>
    <row r="65">
      <c r="A65" s="31" t="n">
        <v>46234</v>
      </c>
      <c r="B65" s="24" t="n">
        <v>57264.85</v>
      </c>
      <c r="C65" s="25" t="n">
        <v>13.61</v>
      </c>
      <c r="D65" s="32">
        <f>IFERROR(B65/C65,"")</f>
        <v/>
      </c>
      <c r="E65" s="20">
        <f>IFERROR(1/C65,"")</f>
        <v/>
      </c>
    </row>
    <row r="66">
      <c r="A66" s="31" t="n">
        <v>46265</v>
      </c>
      <c r="B66" s="24" t="n">
        <v>58024.95</v>
      </c>
      <c r="C66" s="25" t="n">
        <v>13.73</v>
      </c>
      <c r="D66" s="32">
        <f>IFERROR(B66/C66,"")</f>
        <v/>
      </c>
      <c r="E66" s="20">
        <f>IFERROR(1/C66,"")</f>
        <v/>
      </c>
    </row>
    <row r="67">
      <c r="A67" s="31" t="n">
        <v>46295</v>
      </c>
      <c r="B67" s="24" t="n">
        <v>54633.05</v>
      </c>
      <c r="C67" s="25" t="n">
        <v>12.95</v>
      </c>
      <c r="D67" s="32">
        <f>IFERROR(B67/C67,"")</f>
        <v/>
      </c>
      <c r="E67" s="20">
        <f>IFERROR(1/C67,"")</f>
        <v/>
      </c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4" customWidth="1" min="4" max="4"/>
    <col width="22" customWidth="1" min="5" max="5"/>
    <col width="34" customWidth="1" min="6" max="6"/>
    <col width="34" customWidth="1" min="7" max="7"/>
    <col width="34" customWidth="1" min="8" max="8"/>
    <col width="24" customWidth="1" min="9" max="9"/>
    <col width="32" customWidth="1" min="10" max="10"/>
    <col width="32" customWidth="1" min="11" max="11"/>
    <col width="32" customWidth="1" min="12" max="12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Regime</t>
        </is>
      </c>
      <c r="E1" s="13" t="inlineStr">
        <is>
          <t>Implied EPS</t>
        </is>
      </c>
      <c r="F1" s="13" t="inlineStr">
        <is>
          <t>YoY EPS Growth</t>
        </is>
      </c>
      <c r="G1" s="13" t="inlineStr">
        <is>
          <t>P/E Percentile</t>
        </is>
      </c>
      <c r="H1" s="13" t="inlineStr">
        <is>
          <t>Valuation Quintile</t>
        </is>
      </c>
      <c r="I1" s="13" t="inlineStr">
        <is>
          <t>Fwd 1Y</t>
        </is>
      </c>
      <c r="J1" s="13" t="inlineStr">
        <is>
          <t>Fwd 3Y CAGR</t>
        </is>
      </c>
      <c r="K1" s="13" t="inlineStr">
        <is>
          <t>Fwd 5Y CAGR</t>
        </is>
      </c>
      <c r="L1" s="13" t="inlineStr">
        <is>
          <t>Fwd 10Y CAGR</t>
        </is>
      </c>
    </row>
    <row r="2">
      <c r="A2" s="31" t="n">
        <v>42369</v>
      </c>
      <c r="B2" s="24" t="n">
        <v>16922.2</v>
      </c>
      <c r="C2" s="25" t="n">
        <v>17.69</v>
      </c>
      <c r="D2" s="2" t="inlineStr">
        <is>
          <t>Standalone</t>
        </is>
      </c>
      <c r="E2" s="33">
        <f>IFERROR(B2/C2,"")</f>
        <v/>
      </c>
      <c r="F2" s="30" t="n"/>
      <c r="G2" s="30">
        <f>IF(C2="","",(COUNTIFS($D$2:$D$45,D2,$C$2:$C$45,"&gt;0",$C$2:$C$45,"&lt;"&amp;C2)+(COUNTIFS($D$2:$D$45,D2,$C$2:$C$45,C2)+1)/2)/COUNTIFS($D$2:$D$45,D2,$C$2:$C$45,"&gt;0"))</f>
        <v/>
      </c>
      <c r="H2">
        <f>IF(G2="","",IF(G2&lt;=20%,"Q1 Cheapest",IF(G2&lt;=40%,"Q2",IF(G2&lt;=60%,"Q3",IF(G2&lt;=80%,"Q4","Q5 Most Expensive")))))</f>
        <v/>
      </c>
      <c r="I2" s="30">
        <f>IFERROR(B6/B2-1,"")</f>
        <v/>
      </c>
      <c r="J2" s="30">
        <f>IFERROR((B14/B2)^(1/3)-1,"")</f>
        <v/>
      </c>
      <c r="K2" s="30">
        <f>IFERROR((B22/B2)^(1/5)-1,"")</f>
        <v/>
      </c>
      <c r="L2" s="30">
        <f>IFERROR((B42/B2)^(1/10)-1,"")</f>
        <v/>
      </c>
    </row>
    <row r="3">
      <c r="A3" s="31" t="n">
        <v>42460</v>
      </c>
      <c r="B3" s="24" t="n">
        <v>16141.65</v>
      </c>
      <c r="C3" s="25" t="n">
        <v>17.94</v>
      </c>
      <c r="D3" s="2" t="inlineStr">
        <is>
          <t>Standalone</t>
        </is>
      </c>
      <c r="E3" s="33">
        <f>IFERROR(B3/C3,"")</f>
        <v/>
      </c>
      <c r="F3" s="30" t="n"/>
      <c r="G3" s="30">
        <f>IF(C3="","",(COUNTIFS($D$2:$D$45,D3,$C$2:$C$45,"&gt;0",$C$2:$C$45,"&lt;"&amp;C3)+(COUNTIFS($D$2:$D$45,D3,$C$2:$C$45,C3)+1)/2)/COUNTIFS($D$2:$D$45,D3,$C$2:$C$45,"&gt;0"))</f>
        <v/>
      </c>
      <c r="H3">
        <f>IF(G3="","",IF(G3&lt;=20%,"Q1 Cheapest",IF(G3&lt;=40%,"Q2",IF(G3&lt;=60%,"Q3",IF(G3&lt;=80%,"Q4","Q5 Most Expensive")))))</f>
        <v/>
      </c>
      <c r="I3" s="30">
        <f>IFERROR(B7/B3-1,"")</f>
        <v/>
      </c>
      <c r="J3" s="30">
        <f>IFERROR((B15/B3)^(1/3)-1,"")</f>
        <v/>
      </c>
      <c r="K3" s="30">
        <f>IFERROR((B23/B3)^(1/5)-1,"")</f>
        <v/>
      </c>
      <c r="L3" s="30">
        <f>IFERROR((B43/B3)^(1/10)-1,"")</f>
        <v/>
      </c>
    </row>
    <row r="4">
      <c r="A4" s="31" t="n">
        <v>42551</v>
      </c>
      <c r="B4" s="24" t="n">
        <v>17935.4</v>
      </c>
      <c r="C4" s="25" t="n">
        <v>25.8</v>
      </c>
      <c r="D4" s="2" t="inlineStr">
        <is>
          <t>Standalone</t>
        </is>
      </c>
      <c r="E4" s="33">
        <f>IFERROR(B4/C4,"")</f>
        <v/>
      </c>
      <c r="F4" s="30" t="n"/>
      <c r="G4" s="30">
        <f>IF(C4="","",(COUNTIFS($D$2:$D$45,D4,$C$2:$C$45,"&gt;0",$C$2:$C$45,"&lt;"&amp;C4)+(COUNTIFS($D$2:$D$45,D4,$C$2:$C$45,C4)+1)/2)/COUNTIFS($D$2:$D$45,D4,$C$2:$C$45,"&gt;0"))</f>
        <v/>
      </c>
      <c r="H4">
        <f>IF(G4="","",IF(G4&lt;=20%,"Q1 Cheapest",IF(G4&lt;=40%,"Q2",IF(G4&lt;=60%,"Q3",IF(G4&lt;=80%,"Q4","Q5 Most Expensive")))))</f>
        <v/>
      </c>
      <c r="I4" s="30">
        <f>IFERROR(B8/B4-1,"")</f>
        <v/>
      </c>
      <c r="J4" s="30">
        <f>IFERROR((B16/B4)^(1/3)-1,"")</f>
        <v/>
      </c>
      <c r="K4" s="30">
        <f>IFERROR((B24/B4)^(1/5)-1,"")</f>
        <v/>
      </c>
      <c r="L4" s="30">
        <f>IFERROR((B44/B4)^(1/10)-1,"")</f>
        <v/>
      </c>
    </row>
    <row r="5">
      <c r="A5" s="31" t="n">
        <v>42643</v>
      </c>
      <c r="B5" s="24" t="n">
        <v>19285.7</v>
      </c>
      <c r="C5" s="25" t="n">
        <v>28.95</v>
      </c>
      <c r="D5" s="2" t="inlineStr">
        <is>
          <t>Standalone</t>
        </is>
      </c>
      <c r="E5" s="33">
        <f>IFERROR(B5/C5,"")</f>
        <v/>
      </c>
      <c r="F5" s="30" t="n"/>
      <c r="G5" s="30">
        <f>IF(C5="","",(COUNTIFS($D$2:$D$45,D5,$C$2:$C$45,"&gt;0",$C$2:$C$45,"&lt;"&amp;C5)+(COUNTIFS($D$2:$D$45,D5,$C$2:$C$45,C5)+1)/2)/COUNTIFS($D$2:$D$45,D5,$C$2:$C$45,"&gt;0"))</f>
        <v/>
      </c>
      <c r="H5">
        <f>IF(G5="","",IF(G5&lt;=20%,"Q1 Cheapest",IF(G5&lt;=40%,"Q2",IF(G5&lt;=60%,"Q3",IF(G5&lt;=80%,"Q4","Q5 Most Expensive")))))</f>
        <v/>
      </c>
      <c r="I5" s="30">
        <f>IFERROR(B9/B5-1,"")</f>
        <v/>
      </c>
      <c r="J5" s="30">
        <f>IFERROR((B17/B5)^(1/3)-1,"")</f>
        <v/>
      </c>
      <c r="K5" s="30">
        <f>IFERROR((B25/B5)^(1/5)-1,"")</f>
        <v/>
      </c>
      <c r="L5" s="30">
        <f>IFERROR((B45/B5)^(1/10)-1,"")</f>
        <v/>
      </c>
    </row>
    <row r="6">
      <c r="A6" s="31" t="n">
        <v>42735</v>
      </c>
      <c r="B6" s="24" t="n">
        <v>18177.2</v>
      </c>
      <c r="C6" s="25" t="n">
        <v>27.29</v>
      </c>
      <c r="D6" s="2" t="inlineStr">
        <is>
          <t>Standalone</t>
        </is>
      </c>
      <c r="E6" s="33">
        <f>IFERROR(B6/C6,"")</f>
        <v/>
      </c>
      <c r="F6" s="30">
        <f>IF(AND(D6=D2,E2&lt;&gt;""),E6/E2-1,"")</f>
        <v/>
      </c>
      <c r="G6" s="30">
        <f>IF(C6="","",(COUNTIFS($D$2:$D$45,D6,$C$2:$C$45,"&gt;0",$C$2:$C$45,"&lt;"&amp;C6)+(COUNTIFS($D$2:$D$45,D6,$C$2:$C$45,C6)+1)/2)/COUNTIFS($D$2:$D$45,D6,$C$2:$C$45,"&gt;0"))</f>
        <v/>
      </c>
      <c r="H6">
        <f>IF(G6="","",IF(G6&lt;=20%,"Q1 Cheapest",IF(G6&lt;=40%,"Q2",IF(G6&lt;=60%,"Q3",IF(G6&lt;=80%,"Q4","Q5 Most Expensive")))))</f>
        <v/>
      </c>
      <c r="I6" s="30">
        <f>IFERROR(B10/B6-1,"")</f>
        <v/>
      </c>
      <c r="J6" s="30">
        <f>IFERROR((B18/B6)^(1/3)-1,"")</f>
        <v/>
      </c>
      <c r="K6" s="30">
        <f>IFERROR((B26/B6)^(1/5)-1,"")</f>
        <v/>
      </c>
      <c r="L6" s="30" t="n"/>
    </row>
    <row r="7">
      <c r="A7" s="31" t="n">
        <v>42825</v>
      </c>
      <c r="B7" s="24" t="n">
        <v>21444.15</v>
      </c>
      <c r="C7" s="25" t="n">
        <v>29.32</v>
      </c>
      <c r="D7" s="2" t="inlineStr">
        <is>
          <t>Standalone</t>
        </is>
      </c>
      <c r="E7" s="33">
        <f>IFERROR(B7/C7,"")</f>
        <v/>
      </c>
      <c r="F7" s="30">
        <f>IF(AND(D7=D3,E3&lt;&gt;""),E7/E3-1,"")</f>
        <v/>
      </c>
      <c r="G7" s="30">
        <f>IF(C7="","",(COUNTIFS($D$2:$D$45,D7,$C$2:$C$45,"&gt;0",$C$2:$C$45,"&lt;"&amp;C7)+(COUNTIFS($D$2:$D$45,D7,$C$2:$C$45,C7)+1)/2)/COUNTIFS($D$2:$D$45,D7,$C$2:$C$45,"&gt;0"))</f>
        <v/>
      </c>
      <c r="H7">
        <f>IF(G7="","",IF(G7&lt;=20%,"Q1 Cheapest",IF(G7&lt;=40%,"Q2",IF(G7&lt;=60%,"Q3",IF(G7&lt;=80%,"Q4","Q5 Most Expensive")))))</f>
        <v/>
      </c>
      <c r="I7" s="30">
        <f>IFERROR(B11/B7-1,"")</f>
        <v/>
      </c>
      <c r="J7" s="30">
        <f>IFERROR((B19/B7)^(1/3)-1,"")</f>
        <v/>
      </c>
      <c r="K7" s="30">
        <f>IFERROR((B27/B7)^(1/5)-1,"")</f>
        <v/>
      </c>
      <c r="L7" s="30" t="n"/>
    </row>
    <row r="8">
      <c r="A8" s="31" t="n">
        <v>42916</v>
      </c>
      <c r="B8" s="24" t="n">
        <v>23211.2</v>
      </c>
      <c r="C8" s="25" t="n">
        <v>26.1</v>
      </c>
      <c r="D8" s="2" t="inlineStr">
        <is>
          <t>Standalone</t>
        </is>
      </c>
      <c r="E8" s="33">
        <f>IFERROR(B8/C8,"")</f>
        <v/>
      </c>
      <c r="F8" s="30">
        <f>IF(AND(D8=D4,E4&lt;&gt;""),E8/E4-1,"")</f>
        <v/>
      </c>
      <c r="G8" s="30">
        <f>IF(C8="","",(COUNTIFS($D$2:$D$45,D8,$C$2:$C$45,"&gt;0",$C$2:$C$45,"&lt;"&amp;C8)+(COUNTIFS($D$2:$D$45,D8,$C$2:$C$45,C8)+1)/2)/COUNTIFS($D$2:$D$45,D8,$C$2:$C$45,"&gt;0"))</f>
        <v/>
      </c>
      <c r="H8">
        <f>IF(G8="","",IF(G8&lt;=20%,"Q1 Cheapest",IF(G8&lt;=40%,"Q2",IF(G8&lt;=60%,"Q3",IF(G8&lt;=80%,"Q4","Q5 Most Expensive")))))</f>
        <v/>
      </c>
      <c r="I8" s="30">
        <f>IFERROR(B12/B8-1,"")</f>
        <v/>
      </c>
      <c r="J8" s="30">
        <f>IFERROR((B20/B8)^(1/3)-1,"")</f>
        <v/>
      </c>
      <c r="K8" s="30">
        <f>IFERROR((B28/B8)^(1/5)-1,"")</f>
        <v/>
      </c>
      <c r="L8" s="30" t="n"/>
    </row>
    <row r="9">
      <c r="A9" s="31" t="n">
        <v>43008</v>
      </c>
      <c r="B9" s="24" t="n">
        <v>24053</v>
      </c>
      <c r="C9" s="25" t="n">
        <v>27.41</v>
      </c>
      <c r="D9" s="2" t="inlineStr">
        <is>
          <t>Standalone</t>
        </is>
      </c>
      <c r="E9" s="33">
        <f>IFERROR(B9/C9,"")</f>
        <v/>
      </c>
      <c r="F9" s="30">
        <f>IF(AND(D9=D5,E5&lt;&gt;""),E9/E5-1,"")</f>
        <v/>
      </c>
      <c r="G9" s="30">
        <f>IF(C9="","",(COUNTIFS($D$2:$D$45,D9,$C$2:$C$45,"&gt;0",$C$2:$C$45,"&lt;"&amp;C9)+(COUNTIFS($D$2:$D$45,D9,$C$2:$C$45,C9)+1)/2)/COUNTIFS($D$2:$D$45,D9,$C$2:$C$45,"&gt;0"))</f>
        <v/>
      </c>
      <c r="H9">
        <f>IF(G9="","",IF(G9&lt;=20%,"Q1 Cheapest",IF(G9&lt;=40%,"Q2",IF(G9&lt;=60%,"Q3",IF(G9&lt;=80%,"Q4","Q5 Most Expensive")))))</f>
        <v/>
      </c>
      <c r="I9" s="30">
        <f>IFERROR(B13/B9-1,"")</f>
        <v/>
      </c>
      <c r="J9" s="30">
        <f>IFERROR((B21/B9)^(1/3)-1,"")</f>
        <v/>
      </c>
      <c r="K9" s="30">
        <f>IFERROR((B29/B9)^(1/5)-1,"")</f>
        <v/>
      </c>
      <c r="L9" s="30" t="n"/>
    </row>
    <row r="10">
      <c r="A10" s="31" t="n">
        <v>43100</v>
      </c>
      <c r="B10" s="24" t="n">
        <v>25539.45</v>
      </c>
      <c r="C10" s="25" t="n">
        <v>29.57</v>
      </c>
      <c r="D10" s="2" t="inlineStr">
        <is>
          <t>Standalone</t>
        </is>
      </c>
      <c r="E10" s="33">
        <f>IFERROR(B10/C10,"")</f>
        <v/>
      </c>
      <c r="F10" s="30">
        <f>IF(AND(D10=D6,E6&lt;&gt;""),E10/E6-1,"")</f>
        <v/>
      </c>
      <c r="G10" s="30">
        <f>IF(C10="","",(COUNTIFS($D$2:$D$45,D10,$C$2:$C$45,"&gt;0",$C$2:$C$45,"&lt;"&amp;C10)+(COUNTIFS($D$2:$D$45,D10,$C$2:$C$45,C10)+1)/2)/COUNTIFS($D$2:$D$45,D10,$C$2:$C$45,"&gt;0"))</f>
        <v/>
      </c>
      <c r="H10">
        <f>IF(G10="","",IF(G10&lt;=20%,"Q1 Cheapest",IF(G10&lt;=40%,"Q2",IF(G10&lt;=60%,"Q3",IF(G10&lt;=80%,"Q4","Q5 Most Expensive")))))</f>
        <v/>
      </c>
      <c r="I10" s="30">
        <f>IFERROR(B14/B10-1,"")</f>
        <v/>
      </c>
      <c r="J10" s="30">
        <f>IFERROR((B22/B10)^(1/3)-1,"")</f>
        <v/>
      </c>
      <c r="K10" s="30">
        <f>IFERROR((B30/B10)^(1/5)-1,"")</f>
        <v/>
      </c>
      <c r="L10" s="30" t="n"/>
    </row>
    <row r="11">
      <c r="A11" s="31" t="n">
        <v>43190</v>
      </c>
      <c r="B11" s="24" t="n">
        <v>24263.35</v>
      </c>
      <c r="C11" s="25" t="n">
        <v>29.59</v>
      </c>
      <c r="D11" s="2" t="inlineStr">
        <is>
          <t>Standalone</t>
        </is>
      </c>
      <c r="E11" s="33">
        <f>IFERROR(B11/C11,"")</f>
        <v/>
      </c>
      <c r="F11" s="30">
        <f>IF(AND(D11=D7,E7&lt;&gt;""),E11/E7-1,"")</f>
        <v/>
      </c>
      <c r="G11" s="30">
        <f>IF(C11="","",(COUNTIFS($D$2:$D$45,D11,$C$2:$C$45,"&gt;0",$C$2:$C$45,"&lt;"&amp;C11)+(COUNTIFS($D$2:$D$45,D11,$C$2:$C$45,C11)+1)/2)/COUNTIFS($D$2:$D$45,D11,$C$2:$C$45,"&gt;0"))</f>
        <v/>
      </c>
      <c r="H11">
        <f>IF(G11="","",IF(G11&lt;=20%,"Q1 Cheapest",IF(G11&lt;=40%,"Q2",IF(G11&lt;=60%,"Q3",IF(G11&lt;=80%,"Q4","Q5 Most Expensive")))))</f>
        <v/>
      </c>
      <c r="I11" s="30">
        <f>IFERROR(B15/B11-1,"")</f>
        <v/>
      </c>
      <c r="J11" s="30">
        <f>IFERROR((B23/B11)^(1/3)-1,"")</f>
        <v/>
      </c>
      <c r="K11" s="30">
        <f>IFERROR((B31/B11)^(1/5)-1,"")</f>
        <v/>
      </c>
      <c r="L11" s="30" t="n"/>
    </row>
    <row r="12">
      <c r="A12" s="31" t="n">
        <v>43281</v>
      </c>
      <c r="B12" s="24" t="n">
        <v>26364.2</v>
      </c>
      <c r="C12" s="25" t="n">
        <v>40.77</v>
      </c>
      <c r="D12" s="2" t="inlineStr">
        <is>
          <t>Standalone</t>
        </is>
      </c>
      <c r="E12" s="33">
        <f>IFERROR(B12/C12,"")</f>
        <v/>
      </c>
      <c r="F12" s="30">
        <f>IF(AND(D12=D8,E8&lt;&gt;""),E12/E8-1,"")</f>
        <v/>
      </c>
      <c r="G12" s="30">
        <f>IF(C12="","",(COUNTIFS($D$2:$D$45,D12,$C$2:$C$45,"&gt;0",$C$2:$C$45,"&lt;"&amp;C12)+(COUNTIFS($D$2:$D$45,D12,$C$2:$C$45,C12)+1)/2)/COUNTIFS($D$2:$D$45,D12,$C$2:$C$45,"&gt;0"))</f>
        <v/>
      </c>
      <c r="H12">
        <f>IF(G12="","",IF(G12&lt;=20%,"Q1 Cheapest",IF(G12&lt;=40%,"Q2",IF(G12&lt;=60%,"Q3",IF(G12&lt;=80%,"Q4","Q5 Most Expensive")))))</f>
        <v/>
      </c>
      <c r="I12" s="30">
        <f>IFERROR(B16/B12-1,"")</f>
        <v/>
      </c>
      <c r="J12" s="30">
        <f>IFERROR((B24/B12)^(1/3)-1,"")</f>
        <v/>
      </c>
      <c r="K12" s="30">
        <f>IFERROR((B32/B12)^(1/5)-1,"")</f>
        <v/>
      </c>
      <c r="L12" s="30" t="n"/>
    </row>
    <row r="13">
      <c r="A13" s="31" t="n">
        <v>43373</v>
      </c>
      <c r="B13" s="24" t="n">
        <v>25119.85</v>
      </c>
      <c r="C13" s="25" t="n">
        <v>53.65</v>
      </c>
      <c r="D13" s="2" t="inlineStr">
        <is>
          <t>Standalone</t>
        </is>
      </c>
      <c r="E13" s="33">
        <f>IFERROR(B13/C13,"")</f>
        <v/>
      </c>
      <c r="F13" s="30">
        <f>IF(AND(D13=D9,E9&lt;&gt;""),E13/E9-1,"")</f>
        <v/>
      </c>
      <c r="G13" s="30">
        <f>IF(C13="","",(COUNTIFS($D$2:$D$45,D13,$C$2:$C$45,"&gt;0",$C$2:$C$45,"&lt;"&amp;C13)+(COUNTIFS($D$2:$D$45,D13,$C$2:$C$45,C13)+1)/2)/COUNTIFS($D$2:$D$45,D13,$C$2:$C$45,"&gt;0"))</f>
        <v/>
      </c>
      <c r="H13">
        <f>IF(G13="","",IF(G13&lt;=20%,"Q1 Cheapest",IF(G13&lt;=40%,"Q2",IF(G13&lt;=60%,"Q3",IF(G13&lt;=80%,"Q4","Q5 Most Expensive")))))</f>
        <v/>
      </c>
      <c r="I13" s="30">
        <f>IFERROR(B17/B13-1,"")</f>
        <v/>
      </c>
      <c r="J13" s="30">
        <f>IFERROR((B25/B13)^(1/3)-1,"")</f>
        <v/>
      </c>
      <c r="K13" s="30">
        <f>IFERROR((B33/B13)^(1/5)-1,"")</f>
        <v/>
      </c>
      <c r="L13" s="30" t="n"/>
    </row>
    <row r="14">
      <c r="A14" s="31" t="n">
        <v>43465</v>
      </c>
      <c r="B14" s="24" t="n">
        <v>27160.2</v>
      </c>
      <c r="C14" s="25" t="n">
        <v>54.61</v>
      </c>
      <c r="D14" s="2" t="inlineStr">
        <is>
          <t>Standalone</t>
        </is>
      </c>
      <c r="E14" s="33">
        <f>IFERROR(B14/C14,"")</f>
        <v/>
      </c>
      <c r="F14" s="30">
        <f>IF(AND(D14=D10,E10&lt;&gt;""),E14/E10-1,"")</f>
        <v/>
      </c>
      <c r="G14" s="30">
        <f>IF(C14="","",(COUNTIFS($D$2:$D$45,D14,$C$2:$C$45,"&gt;0",$C$2:$C$45,"&lt;"&amp;C14)+(COUNTIFS($D$2:$D$45,D14,$C$2:$C$45,C14)+1)/2)/COUNTIFS($D$2:$D$45,D14,$C$2:$C$45,"&gt;0"))</f>
        <v/>
      </c>
      <c r="H14">
        <f>IF(G14="","",IF(G14&lt;=20%,"Q1 Cheapest",IF(G14&lt;=40%,"Q2",IF(G14&lt;=60%,"Q3",IF(G14&lt;=80%,"Q4","Q5 Most Expensive")))))</f>
        <v/>
      </c>
      <c r="I14" s="30">
        <f>IFERROR(B18/B14-1,"")</f>
        <v/>
      </c>
      <c r="J14" s="30">
        <f>IFERROR((B26/B14)^(1/3)-1,"")</f>
        <v/>
      </c>
      <c r="K14" s="30">
        <f>IFERROR((B34/B14)^(1/5)-1,"")</f>
        <v/>
      </c>
      <c r="L14" s="30" t="n"/>
    </row>
    <row r="15">
      <c r="A15" s="31" t="n">
        <v>43555</v>
      </c>
      <c r="B15" s="24" t="n">
        <v>30426.8</v>
      </c>
      <c r="C15" s="25" t="n">
        <v>64.81999999999999</v>
      </c>
      <c r="D15" s="2" t="inlineStr">
        <is>
          <t>Standalone</t>
        </is>
      </c>
      <c r="E15" s="33">
        <f>IFERROR(B15/C15,"")</f>
        <v/>
      </c>
      <c r="F15" s="30">
        <f>IF(AND(D15=D11,E11&lt;&gt;""),E15/E11-1,"")</f>
        <v/>
      </c>
      <c r="G15" s="30">
        <f>IF(C15="","",(COUNTIFS($D$2:$D$45,D15,$C$2:$C$45,"&gt;0",$C$2:$C$45,"&lt;"&amp;C15)+(COUNTIFS($D$2:$D$45,D15,$C$2:$C$45,C15)+1)/2)/COUNTIFS($D$2:$D$45,D15,$C$2:$C$45,"&gt;0"))</f>
        <v/>
      </c>
      <c r="H15">
        <f>IF(G15="","",IF(G15&lt;=20%,"Q1 Cheapest",IF(G15&lt;=40%,"Q2",IF(G15&lt;=60%,"Q3",IF(G15&lt;=80%,"Q4","Q5 Most Expensive")))))</f>
        <v/>
      </c>
      <c r="I15" s="30">
        <f>IFERROR(B19/B15-1,"")</f>
        <v/>
      </c>
      <c r="J15" s="30">
        <f>IFERROR((B27/B15)^(1/3)-1,"")</f>
        <v/>
      </c>
      <c r="K15" s="30">
        <f>IFERROR((B35/B15)^(1/5)-1,"")</f>
        <v/>
      </c>
      <c r="L15" s="30" t="n"/>
    </row>
    <row r="16">
      <c r="A16" s="31" t="n">
        <v>43646</v>
      </c>
      <c r="B16" s="24" t="n">
        <v>31105.2</v>
      </c>
      <c r="C16" s="25" t="n">
        <v>67.29000000000001</v>
      </c>
      <c r="D16" s="2" t="inlineStr">
        <is>
          <t>Standalone</t>
        </is>
      </c>
      <c r="E16" s="33">
        <f>IFERROR(B16/C16,"")</f>
        <v/>
      </c>
      <c r="F16" s="30">
        <f>IF(AND(D16=D12,E12&lt;&gt;""),E16/E12-1,"")</f>
        <v/>
      </c>
      <c r="G16" s="30">
        <f>IF(C16="","",(COUNTIFS($D$2:$D$45,D16,$C$2:$C$45,"&gt;0",$C$2:$C$45,"&lt;"&amp;C16)+(COUNTIFS($D$2:$D$45,D16,$C$2:$C$45,C16)+1)/2)/COUNTIFS($D$2:$D$45,D16,$C$2:$C$45,"&gt;0"))</f>
        <v/>
      </c>
      <c r="H16">
        <f>IF(G16="","",IF(G16&lt;=20%,"Q1 Cheapest",IF(G16&lt;=40%,"Q2",IF(G16&lt;=60%,"Q3",IF(G16&lt;=80%,"Q4","Q5 Most Expensive")))))</f>
        <v/>
      </c>
      <c r="I16" s="30">
        <f>IFERROR(B20/B16-1,"")</f>
        <v/>
      </c>
      <c r="J16" s="30">
        <f>IFERROR((B28/B16)^(1/3)-1,"")</f>
        <v/>
      </c>
      <c r="K16" s="30">
        <f>IFERROR((B36/B16)^(1/5)-1,"")</f>
        <v/>
      </c>
      <c r="L16" s="30" t="n"/>
    </row>
    <row r="17">
      <c r="A17" s="31" t="n">
        <v>43738</v>
      </c>
      <c r="B17" s="24" t="n">
        <v>29103.15</v>
      </c>
      <c r="C17" s="25" t="n">
        <v>38.87</v>
      </c>
      <c r="D17" s="2" t="inlineStr">
        <is>
          <t>Standalone</t>
        </is>
      </c>
      <c r="E17" s="33">
        <f>IFERROR(B17/C17,"")</f>
        <v/>
      </c>
      <c r="F17" s="30">
        <f>IF(AND(D17=D13,E13&lt;&gt;""),E17/E13-1,"")</f>
        <v/>
      </c>
      <c r="G17" s="30">
        <f>IF(C17="","",(COUNTIFS($D$2:$D$45,D17,$C$2:$C$45,"&gt;0",$C$2:$C$45,"&lt;"&amp;C17)+(COUNTIFS($D$2:$D$45,D17,$C$2:$C$45,C17)+1)/2)/COUNTIFS($D$2:$D$45,D17,$C$2:$C$45,"&gt;0"))</f>
        <v/>
      </c>
      <c r="H17">
        <f>IF(G17="","",IF(G17&lt;=20%,"Q1 Cheapest",IF(G17&lt;=40%,"Q2",IF(G17&lt;=60%,"Q3",IF(G17&lt;=80%,"Q4","Q5 Most Expensive")))))</f>
        <v/>
      </c>
      <c r="I17" s="30">
        <f>IFERROR(B21/B17-1,"")</f>
        <v/>
      </c>
      <c r="J17" s="30">
        <f>IFERROR((B29/B17)^(1/3)-1,"")</f>
        <v/>
      </c>
      <c r="K17" s="30">
        <f>IFERROR((B37/B17)^(1/5)-1,"")</f>
        <v/>
      </c>
      <c r="L17" s="30" t="n"/>
    </row>
    <row r="18">
      <c r="A18" s="31" t="n">
        <v>43830</v>
      </c>
      <c r="B18" s="24" t="n">
        <v>32161.65</v>
      </c>
      <c r="C18" s="25" t="n">
        <v>40.8</v>
      </c>
      <c r="D18" s="2" t="inlineStr">
        <is>
          <t>Standalone</t>
        </is>
      </c>
      <c r="E18" s="33">
        <f>IFERROR(B18/C18,"")</f>
        <v/>
      </c>
      <c r="F18" s="30">
        <f>IF(AND(D18=D14,E14&lt;&gt;""),E18/E14-1,"")</f>
        <v/>
      </c>
      <c r="G18" s="30">
        <f>IF(C18="","",(COUNTIFS($D$2:$D$45,D18,$C$2:$C$45,"&gt;0",$C$2:$C$45,"&lt;"&amp;C18)+(COUNTIFS($D$2:$D$45,D18,$C$2:$C$45,C18)+1)/2)/COUNTIFS($D$2:$D$45,D18,$C$2:$C$45,"&gt;0"))</f>
        <v/>
      </c>
      <c r="H18">
        <f>IF(G18="","",IF(G18&lt;=20%,"Q1 Cheapest",IF(G18&lt;=40%,"Q2",IF(G18&lt;=60%,"Q3",IF(G18&lt;=80%,"Q4","Q5 Most Expensive")))))</f>
        <v/>
      </c>
      <c r="I18" s="30">
        <f>IFERROR(B22/B18-1,"")</f>
        <v/>
      </c>
      <c r="J18" s="30">
        <f>IFERROR((B30/B18)^(1/3)-1,"")</f>
        <v/>
      </c>
      <c r="K18" s="30">
        <f>IFERROR((B38/B18)^(1/5)-1,"")</f>
        <v/>
      </c>
      <c r="L18" s="30" t="n"/>
    </row>
    <row r="19">
      <c r="A19" s="31" t="n">
        <v>43921</v>
      </c>
      <c r="B19" s="24" t="n">
        <v>19144</v>
      </c>
      <c r="C19" s="25" t="n">
        <v>20.68</v>
      </c>
      <c r="D19" s="2" t="inlineStr">
        <is>
          <t>Standalone</t>
        </is>
      </c>
      <c r="E19" s="33">
        <f>IFERROR(B19/C19,"")</f>
        <v/>
      </c>
      <c r="F19" s="30">
        <f>IF(AND(D19=D15,E15&lt;&gt;""),E19/E15-1,"")</f>
        <v/>
      </c>
      <c r="G19" s="30">
        <f>IF(C19="","",(COUNTIFS($D$2:$D$45,D19,$C$2:$C$45,"&gt;0",$C$2:$C$45,"&lt;"&amp;C19)+(COUNTIFS($D$2:$D$45,D19,$C$2:$C$45,C19)+1)/2)/COUNTIFS($D$2:$D$45,D19,$C$2:$C$45,"&gt;0"))</f>
        <v/>
      </c>
      <c r="H19">
        <f>IF(G19="","",IF(G19&lt;=20%,"Q1 Cheapest",IF(G19&lt;=40%,"Q2",IF(G19&lt;=60%,"Q3",IF(G19&lt;=80%,"Q4","Q5 Most Expensive")))))</f>
        <v/>
      </c>
      <c r="I19" s="30">
        <f>IFERROR(B23/B19-1,"")</f>
        <v/>
      </c>
      <c r="J19" s="30">
        <f>IFERROR((B31/B19)^(1/3)-1,"")</f>
        <v/>
      </c>
      <c r="K19" s="30">
        <f>IFERROR((B39/B19)^(1/5)-1,"")</f>
        <v/>
      </c>
      <c r="L19" s="30" t="n"/>
    </row>
    <row r="20">
      <c r="A20" s="31" t="n">
        <v>44012</v>
      </c>
      <c r="B20" s="24" t="n">
        <v>21370.15</v>
      </c>
      <c r="C20" s="25" t="n">
        <v>22.95</v>
      </c>
      <c r="D20" s="2" t="inlineStr">
        <is>
          <t>Standalone</t>
        </is>
      </c>
      <c r="E20" s="33">
        <f>IFERROR(B20/C20,"")</f>
        <v/>
      </c>
      <c r="F20" s="30">
        <f>IF(AND(D20=D16,E16&lt;&gt;""),E20/E16-1,"")</f>
        <v/>
      </c>
      <c r="G20" s="30">
        <f>IF(C20="","",(COUNTIFS($D$2:$D$45,D20,$C$2:$C$45,"&gt;0",$C$2:$C$45,"&lt;"&amp;C20)+(COUNTIFS($D$2:$D$45,D20,$C$2:$C$45,C20)+1)/2)/COUNTIFS($D$2:$D$45,D20,$C$2:$C$45,"&gt;0"))</f>
        <v/>
      </c>
      <c r="H20">
        <f>IF(G20="","",IF(G20&lt;=20%,"Q1 Cheapest",IF(G20&lt;=40%,"Q2",IF(G20&lt;=60%,"Q3",IF(G20&lt;=80%,"Q4","Q5 Most Expensive")))))</f>
        <v/>
      </c>
      <c r="I20" s="30">
        <f>IFERROR(B24/B20-1,"")</f>
        <v/>
      </c>
      <c r="J20" s="30">
        <f>IFERROR((B32/B20)^(1/3)-1,"")</f>
        <v/>
      </c>
      <c r="K20" s="30">
        <f>IFERROR((B40/B20)^(1/5)-1,"")</f>
        <v/>
      </c>
      <c r="L20" s="30" t="n"/>
    </row>
    <row r="21">
      <c r="A21" s="31" t="n">
        <v>44104</v>
      </c>
      <c r="B21" s="24" t="n">
        <v>21451.8</v>
      </c>
      <c r="C21" s="25" t="n">
        <v>23.73</v>
      </c>
      <c r="D21" s="2" t="inlineStr">
        <is>
          <t>Standalone</t>
        </is>
      </c>
      <c r="E21" s="33">
        <f>IFERROR(B21/C21,"")</f>
        <v/>
      </c>
      <c r="F21" s="30">
        <f>IF(AND(D21=D17,E17&lt;&gt;""),E21/E17-1,"")</f>
        <v/>
      </c>
      <c r="G21" s="30">
        <f>IF(C21="","",(COUNTIFS($D$2:$D$45,D21,$C$2:$C$45,"&gt;0",$C$2:$C$45,"&lt;"&amp;C21)+(COUNTIFS($D$2:$D$45,D21,$C$2:$C$45,C21)+1)/2)/COUNTIFS($D$2:$D$45,D21,$C$2:$C$45,"&gt;0"))</f>
        <v/>
      </c>
      <c r="H21">
        <f>IF(G21="","",IF(G21&lt;=20%,"Q1 Cheapest",IF(G21&lt;=40%,"Q2",IF(G21&lt;=60%,"Q3",IF(G21&lt;=80%,"Q4","Q5 Most Expensive")))))</f>
        <v/>
      </c>
      <c r="I21" s="30">
        <f>IFERROR(B25/B21-1,"")</f>
        <v/>
      </c>
      <c r="J21" s="30">
        <f>IFERROR((B33/B21)^(1/3)-1,"")</f>
        <v/>
      </c>
      <c r="K21" s="30">
        <f>IFERROR((B41/B21)^(1/5)-1,"")</f>
        <v/>
      </c>
      <c r="L21" s="30" t="n"/>
    </row>
    <row r="22">
      <c r="A22" s="31" t="n">
        <v>44196</v>
      </c>
      <c r="B22" s="24" t="n">
        <v>31264.05</v>
      </c>
      <c r="C22" s="25" t="n">
        <v>30.09</v>
      </c>
      <c r="D22" s="2" t="inlineStr">
        <is>
          <t>Standalone</t>
        </is>
      </c>
      <c r="E22" s="33">
        <f>IFERROR(B22/C22,"")</f>
        <v/>
      </c>
      <c r="F22" s="30">
        <f>IF(AND(D22=D18,E18&lt;&gt;""),E22/E18-1,"")</f>
        <v/>
      </c>
      <c r="G22" s="30">
        <f>IF(C22="","",(COUNTIFS($D$2:$D$45,D22,$C$2:$C$45,"&gt;0",$C$2:$C$45,"&lt;"&amp;C22)+(COUNTIFS($D$2:$D$45,D22,$C$2:$C$45,C22)+1)/2)/COUNTIFS($D$2:$D$45,D22,$C$2:$C$45,"&gt;0"))</f>
        <v/>
      </c>
      <c r="H22">
        <f>IF(G22="","",IF(G22&lt;=20%,"Q1 Cheapest",IF(G22&lt;=40%,"Q2",IF(G22&lt;=60%,"Q3",IF(G22&lt;=80%,"Q4","Q5 Most Expensive")))))</f>
        <v/>
      </c>
      <c r="I22" s="30">
        <f>IFERROR(B26/B22-1,"")</f>
        <v/>
      </c>
      <c r="J22" s="30">
        <f>IFERROR((B34/B22)^(1/3)-1,"")</f>
        <v/>
      </c>
      <c r="K22" s="30">
        <f>IFERROR((B42/B22)^(1/5)-1,"")</f>
        <v/>
      </c>
      <c r="L22" s="30" t="n"/>
    </row>
    <row r="23">
      <c r="A23" s="31" t="n">
        <v>44286</v>
      </c>
      <c r="B23" s="24" t="n">
        <v>33303.9</v>
      </c>
      <c r="C23" s="25" t="n">
        <v>25.87</v>
      </c>
      <c r="D23" s="2" t="inlineStr">
        <is>
          <t>Consolidated</t>
        </is>
      </c>
      <c r="E23" s="33">
        <f>IFERROR(B23/C23,"")</f>
        <v/>
      </c>
      <c r="F23" s="30">
        <f>IF(AND(D23=D19,E19&lt;&gt;""),E23/E19-1,"")</f>
        <v/>
      </c>
      <c r="G23" s="30">
        <f>IF(C23="","",(COUNTIFS($D$2:$D$45,D23,$C$2:$C$45,"&gt;0",$C$2:$C$45,"&lt;"&amp;C23)+(COUNTIFS($D$2:$D$45,D23,$C$2:$C$45,C23)+1)/2)/COUNTIFS($D$2:$D$45,D23,$C$2:$C$45,"&gt;0"))</f>
        <v/>
      </c>
      <c r="H23">
        <f>IF(G23="","",IF(G23&lt;=20%,"Q1 Cheapest",IF(G23&lt;=40%,"Q2",IF(G23&lt;=60%,"Q3",IF(G23&lt;=80%,"Q4","Q5 Most Expensive")))))</f>
        <v/>
      </c>
      <c r="I23" s="30">
        <f>IFERROR(B27/B23-1,"")</f>
        <v/>
      </c>
      <c r="J23" s="30">
        <f>IFERROR((B35/B23)^(1/3)-1,"")</f>
        <v/>
      </c>
      <c r="K23" s="30">
        <f>IFERROR((B43/B23)^(1/5)-1,"")</f>
        <v/>
      </c>
      <c r="L23" s="30" t="n"/>
    </row>
    <row r="24">
      <c r="A24" s="31" t="n">
        <v>44377</v>
      </c>
      <c r="B24" s="24" t="n">
        <v>34772.2</v>
      </c>
      <c r="C24" s="25" t="n">
        <v>23.75</v>
      </c>
      <c r="D24" s="2" t="inlineStr">
        <is>
          <t>Consolidated</t>
        </is>
      </c>
      <c r="E24" s="33">
        <f>IFERROR(B24/C24,"")</f>
        <v/>
      </c>
      <c r="F24" s="30">
        <f>IF(AND(D24=D20,E20&lt;&gt;""),E24/E20-1,"")</f>
        <v/>
      </c>
      <c r="G24" s="30">
        <f>IF(C24="","",(COUNTIFS($D$2:$D$45,D24,$C$2:$C$45,"&gt;0",$C$2:$C$45,"&lt;"&amp;C24)+(COUNTIFS($D$2:$D$45,D24,$C$2:$C$45,C24)+1)/2)/COUNTIFS($D$2:$D$45,D24,$C$2:$C$45,"&gt;0"))</f>
        <v/>
      </c>
      <c r="H24">
        <f>IF(G24="","",IF(G24&lt;=20%,"Q1 Cheapest",IF(G24&lt;=40%,"Q2",IF(G24&lt;=60%,"Q3",IF(G24&lt;=80%,"Q4","Q5 Most Expensive")))))</f>
        <v/>
      </c>
      <c r="I24" s="30">
        <f>IFERROR(B28/B24-1,"")</f>
        <v/>
      </c>
      <c r="J24" s="30">
        <f>IFERROR((B36/B24)^(1/3)-1,"")</f>
        <v/>
      </c>
      <c r="K24" s="30">
        <f>IFERROR((B44/B24)^(1/5)-1,"")</f>
        <v/>
      </c>
      <c r="L24" s="30" t="n"/>
    </row>
    <row r="25">
      <c r="A25" s="31" t="n">
        <v>44469</v>
      </c>
      <c r="B25" s="24" t="n">
        <v>37425.1</v>
      </c>
      <c r="C25" s="25" t="n">
        <v>24.32</v>
      </c>
      <c r="D25" s="2" t="inlineStr">
        <is>
          <t>Consolidated</t>
        </is>
      </c>
      <c r="E25" s="33">
        <f>IFERROR(B25/C25,"")</f>
        <v/>
      </c>
      <c r="F25" s="30">
        <f>IF(AND(D25=D21,E21&lt;&gt;""),E25/E21-1,"")</f>
        <v/>
      </c>
      <c r="G25" s="30">
        <f>IF(C25="","",(COUNTIFS($D$2:$D$45,D25,$C$2:$C$45,"&gt;0",$C$2:$C$45,"&lt;"&amp;C25)+(COUNTIFS($D$2:$D$45,D25,$C$2:$C$45,C25)+1)/2)/COUNTIFS($D$2:$D$45,D25,$C$2:$C$45,"&gt;0"))</f>
        <v/>
      </c>
      <c r="H25">
        <f>IF(G25="","",IF(G25&lt;=20%,"Q1 Cheapest",IF(G25&lt;=40%,"Q2",IF(G25&lt;=60%,"Q3",IF(G25&lt;=80%,"Q4","Q5 Most Expensive")))))</f>
        <v/>
      </c>
      <c r="I25" s="30">
        <f>IFERROR(B29/B25-1,"")</f>
        <v/>
      </c>
      <c r="J25" s="30">
        <f>IFERROR((B37/B25)^(1/3)-1,"")</f>
        <v/>
      </c>
      <c r="K25" s="30">
        <f>IFERROR((B45/B25)^(1/5)-1,"")</f>
        <v/>
      </c>
      <c r="L25" s="30" t="n"/>
    </row>
    <row r="26">
      <c r="A26" s="31" t="n">
        <v>44561</v>
      </c>
      <c r="B26" s="24" t="n">
        <v>35481.7</v>
      </c>
      <c r="C26" s="25" t="n">
        <v>22.33</v>
      </c>
      <c r="D26" s="2" t="inlineStr">
        <is>
          <t>Consolidated</t>
        </is>
      </c>
      <c r="E26" s="33">
        <f>IFERROR(B26/C26,"")</f>
        <v/>
      </c>
      <c r="F26" s="30">
        <f>IF(AND(D26=D22,E22&lt;&gt;""),E26/E22-1,"")</f>
        <v/>
      </c>
      <c r="G26" s="30">
        <f>IF(C26="","",(COUNTIFS($D$2:$D$45,D26,$C$2:$C$45,"&gt;0",$C$2:$C$45,"&lt;"&amp;C26)+(COUNTIFS($D$2:$D$45,D26,$C$2:$C$45,C26)+1)/2)/COUNTIFS($D$2:$D$45,D26,$C$2:$C$45,"&gt;0"))</f>
        <v/>
      </c>
      <c r="H26">
        <f>IF(G26="","",IF(G26&lt;=20%,"Q1 Cheapest",IF(G26&lt;=40%,"Q2",IF(G26&lt;=60%,"Q3",IF(G26&lt;=80%,"Q4","Q5 Most Expensive")))))</f>
        <v/>
      </c>
      <c r="I26" s="30">
        <f>IFERROR(B30/B26-1,"")</f>
        <v/>
      </c>
      <c r="J26" s="30">
        <f>IFERROR((B38/B26)^(1/3)-1,"")</f>
        <v/>
      </c>
      <c r="K26" s="30" t="n"/>
      <c r="L26" s="30" t="n"/>
    </row>
    <row r="27">
      <c r="A27" s="31" t="n">
        <v>44651</v>
      </c>
      <c r="B27" s="24" t="n">
        <v>36373.6</v>
      </c>
      <c r="C27" s="25" t="n">
        <v>20.51</v>
      </c>
      <c r="D27" s="2" t="inlineStr">
        <is>
          <t>Consolidated</t>
        </is>
      </c>
      <c r="E27" s="33">
        <f>IFERROR(B27/C27,"")</f>
        <v/>
      </c>
      <c r="F27" s="30">
        <f>IF(AND(D27=D23,E23&lt;&gt;""),E27/E23-1,"")</f>
        <v/>
      </c>
      <c r="G27" s="30">
        <f>IF(C27="","",(COUNTIFS($D$2:$D$45,D27,$C$2:$C$45,"&gt;0",$C$2:$C$45,"&lt;"&amp;C27)+(COUNTIFS($D$2:$D$45,D27,$C$2:$C$45,C27)+1)/2)/COUNTIFS($D$2:$D$45,D27,$C$2:$C$45,"&gt;0"))</f>
        <v/>
      </c>
      <c r="H27">
        <f>IF(G27="","",IF(G27&lt;=20%,"Q1 Cheapest",IF(G27&lt;=40%,"Q2",IF(G27&lt;=60%,"Q3",IF(G27&lt;=80%,"Q4","Q5 Most Expensive")))))</f>
        <v/>
      </c>
      <c r="I27" s="30">
        <f>IFERROR(B31/B27-1,"")</f>
        <v/>
      </c>
      <c r="J27" s="30">
        <f>IFERROR((B39/B27)^(1/3)-1,"")</f>
        <v/>
      </c>
      <c r="K27" s="30" t="n"/>
      <c r="L27" s="30" t="n"/>
    </row>
    <row r="28">
      <c r="A28" s="31" t="n">
        <v>44742</v>
      </c>
      <c r="B28" s="24" t="n">
        <v>33425.1</v>
      </c>
      <c r="C28" s="25" t="n">
        <v>16.65</v>
      </c>
      <c r="D28" s="2" t="inlineStr">
        <is>
          <t>Consolidated</t>
        </is>
      </c>
      <c r="E28" s="33">
        <f>IFERROR(B28/C28,"")</f>
        <v/>
      </c>
      <c r="F28" s="30">
        <f>IF(AND(D28=D24,E24&lt;&gt;""),E28/E24-1,"")</f>
        <v/>
      </c>
      <c r="G28" s="30">
        <f>IF(C28="","",(COUNTIFS($D$2:$D$45,D28,$C$2:$C$45,"&gt;0",$C$2:$C$45,"&lt;"&amp;C28)+(COUNTIFS($D$2:$D$45,D28,$C$2:$C$45,C28)+1)/2)/COUNTIFS($D$2:$D$45,D28,$C$2:$C$45,"&gt;0"))</f>
        <v/>
      </c>
      <c r="H28">
        <f>IF(G28="","",IF(G28&lt;=20%,"Q1 Cheapest",IF(G28&lt;=40%,"Q2",IF(G28&lt;=60%,"Q3",IF(G28&lt;=80%,"Q4","Q5 Most Expensive")))))</f>
        <v/>
      </c>
      <c r="I28" s="30">
        <f>IFERROR(B32/B28-1,"")</f>
        <v/>
      </c>
      <c r="J28" s="30">
        <f>IFERROR((B40/B28)^(1/3)-1,"")</f>
        <v/>
      </c>
      <c r="K28" s="30" t="n"/>
      <c r="L28" s="30" t="n"/>
    </row>
    <row r="29">
      <c r="A29" s="31" t="n">
        <v>44834</v>
      </c>
      <c r="B29" s="24" t="n">
        <v>38631.95</v>
      </c>
      <c r="C29" s="25" t="n">
        <v>17.97</v>
      </c>
      <c r="D29" s="2" t="inlineStr">
        <is>
          <t>Consolidated</t>
        </is>
      </c>
      <c r="E29" s="33">
        <f>IFERROR(B29/C29,"")</f>
        <v/>
      </c>
      <c r="F29" s="30">
        <f>IF(AND(D29=D25,E25&lt;&gt;""),E29/E25-1,"")</f>
        <v/>
      </c>
      <c r="G29" s="30">
        <f>IF(C29="","",(COUNTIFS($D$2:$D$45,D29,$C$2:$C$45,"&gt;0",$C$2:$C$45,"&lt;"&amp;C29)+(COUNTIFS($D$2:$D$45,D29,$C$2:$C$45,C29)+1)/2)/COUNTIFS($D$2:$D$45,D29,$C$2:$C$45,"&gt;0"))</f>
        <v/>
      </c>
      <c r="H29">
        <f>IF(G29="","",IF(G29&lt;=20%,"Q1 Cheapest",IF(G29&lt;=40%,"Q2",IF(G29&lt;=60%,"Q3",IF(G29&lt;=80%,"Q4","Q5 Most Expensive")))))</f>
        <v/>
      </c>
      <c r="I29" s="30">
        <f>IFERROR(B33/B29-1,"")</f>
        <v/>
      </c>
      <c r="J29" s="30">
        <f>IFERROR((B41/B29)^(1/3)-1,"")</f>
        <v/>
      </c>
      <c r="K29" s="30" t="n"/>
      <c r="L29" s="30" t="n"/>
    </row>
    <row r="30">
      <c r="A30" s="31" t="n">
        <v>44926</v>
      </c>
      <c r="B30" s="24" t="n">
        <v>42986.45</v>
      </c>
      <c r="C30" s="25" t="n">
        <v>18.08</v>
      </c>
      <c r="D30" s="2" t="inlineStr">
        <is>
          <t>Consolidated</t>
        </is>
      </c>
      <c r="E30" s="33">
        <f>IFERROR(B30/C30,"")</f>
        <v/>
      </c>
      <c r="F30" s="30">
        <f>IF(AND(D30=D26,E26&lt;&gt;""),E30/E26-1,"")</f>
        <v/>
      </c>
      <c r="G30" s="30">
        <f>IF(C30="","",(COUNTIFS($D$2:$D$45,D30,$C$2:$C$45,"&gt;0",$C$2:$C$45,"&lt;"&amp;C30)+(COUNTIFS($D$2:$D$45,D30,$C$2:$C$45,C30)+1)/2)/COUNTIFS($D$2:$D$45,D30,$C$2:$C$45,"&gt;0"))</f>
        <v/>
      </c>
      <c r="H30">
        <f>IF(G30="","",IF(G30&lt;=20%,"Q1 Cheapest",IF(G30&lt;=40%,"Q2",IF(G30&lt;=60%,"Q3",IF(G30&lt;=80%,"Q4","Q5 Most Expensive")))))</f>
        <v/>
      </c>
      <c r="I30" s="30">
        <f>IFERROR(B34/B30-1,"")</f>
        <v/>
      </c>
      <c r="J30" s="30">
        <f>IFERROR((B42/B30)^(1/3)-1,"")</f>
        <v/>
      </c>
      <c r="K30" s="30" t="n"/>
      <c r="L30" s="30" t="n"/>
    </row>
    <row r="31">
      <c r="A31" s="31" t="n">
        <v>45016</v>
      </c>
      <c r="B31" s="24" t="n">
        <v>40608.65</v>
      </c>
      <c r="C31" s="25" t="n">
        <v>15.56</v>
      </c>
      <c r="D31" s="2" t="inlineStr">
        <is>
          <t>Consolidated</t>
        </is>
      </c>
      <c r="E31" s="33">
        <f>IFERROR(B31/C31,"")</f>
        <v/>
      </c>
      <c r="F31" s="30">
        <f>IF(AND(D31=D27,E27&lt;&gt;""),E31/E27-1,"")</f>
        <v/>
      </c>
      <c r="G31" s="30">
        <f>IF(C31="","",(COUNTIFS($D$2:$D$45,D31,$C$2:$C$45,"&gt;0",$C$2:$C$45,"&lt;"&amp;C31)+(COUNTIFS($D$2:$D$45,D31,$C$2:$C$45,C31)+1)/2)/COUNTIFS($D$2:$D$45,D31,$C$2:$C$45,"&gt;0"))</f>
        <v/>
      </c>
      <c r="H31">
        <f>IF(G31="","",IF(G31&lt;=20%,"Q1 Cheapest",IF(G31&lt;=40%,"Q2",IF(G31&lt;=60%,"Q3",IF(G31&lt;=80%,"Q4","Q5 Most Expensive")))))</f>
        <v/>
      </c>
      <c r="I31" s="30">
        <f>IFERROR(B35/B31-1,"")</f>
        <v/>
      </c>
      <c r="J31" s="30">
        <f>IFERROR((B43/B31)^(1/3)-1,"")</f>
        <v/>
      </c>
      <c r="K31" s="30" t="n"/>
      <c r="L31" s="30" t="n"/>
    </row>
    <row r="32">
      <c r="A32" s="31" t="n">
        <v>45107</v>
      </c>
      <c r="B32" s="24" t="n">
        <v>44747.35</v>
      </c>
      <c r="C32" s="25" t="n">
        <v>16.81</v>
      </c>
      <c r="D32" s="2" t="inlineStr">
        <is>
          <t>Consolidated</t>
        </is>
      </c>
      <c r="E32" s="33">
        <f>IFERROR(B32/C32,"")</f>
        <v/>
      </c>
      <c r="F32" s="30">
        <f>IF(AND(D32=D28,E28&lt;&gt;""),E32/E28-1,"")</f>
        <v/>
      </c>
      <c r="G32" s="30">
        <f>IF(C32="","",(COUNTIFS($D$2:$D$45,D32,$C$2:$C$45,"&gt;0",$C$2:$C$45,"&lt;"&amp;C32)+(COUNTIFS($D$2:$D$45,D32,$C$2:$C$45,C32)+1)/2)/COUNTIFS($D$2:$D$45,D32,$C$2:$C$45,"&gt;0"))</f>
        <v/>
      </c>
      <c r="H32">
        <f>IF(G32="","",IF(G32&lt;=20%,"Q1 Cheapest",IF(G32&lt;=40%,"Q2",IF(G32&lt;=60%,"Q3",IF(G32&lt;=80%,"Q4","Q5 Most Expensive")))))</f>
        <v/>
      </c>
      <c r="I32" s="30">
        <f>IFERROR(B36/B32-1,"")</f>
        <v/>
      </c>
      <c r="J32" s="30">
        <f>IFERROR((B44/B32)^(1/3)-1,"")</f>
        <v/>
      </c>
      <c r="K32" s="30" t="n"/>
      <c r="L32" s="30" t="n"/>
    </row>
    <row r="33">
      <c r="A33" s="31" t="n">
        <v>45199</v>
      </c>
      <c r="B33" s="24" t="n">
        <v>44584.55</v>
      </c>
      <c r="C33" s="25" t="n">
        <v>16.39</v>
      </c>
      <c r="D33" s="2" t="inlineStr">
        <is>
          <t>Consolidated</t>
        </is>
      </c>
      <c r="E33" s="33">
        <f>IFERROR(B33/C33,"")</f>
        <v/>
      </c>
      <c r="F33" s="30">
        <f>IF(AND(D33=D29,E29&lt;&gt;""),E33/E29-1,"")</f>
        <v/>
      </c>
      <c r="G33" s="30">
        <f>IF(C33="","",(COUNTIFS($D$2:$D$45,D33,$C$2:$C$45,"&gt;0",$C$2:$C$45,"&lt;"&amp;C33)+(COUNTIFS($D$2:$D$45,D33,$C$2:$C$45,C33)+1)/2)/COUNTIFS($D$2:$D$45,D33,$C$2:$C$45,"&gt;0"))</f>
        <v/>
      </c>
      <c r="H33">
        <f>IF(G33="","",IF(G33&lt;=20%,"Q1 Cheapest",IF(G33&lt;=40%,"Q2",IF(G33&lt;=60%,"Q3",IF(G33&lt;=80%,"Q4","Q5 Most Expensive")))))</f>
        <v/>
      </c>
      <c r="I33" s="30">
        <f>IFERROR(B37/B33-1,"")</f>
        <v/>
      </c>
      <c r="J33" s="30">
        <f>IFERROR((B45/B33)^(1/3)-1,"")</f>
        <v/>
      </c>
      <c r="K33" s="30" t="n"/>
      <c r="L33" s="30" t="n"/>
    </row>
    <row r="34">
      <c r="A34" s="31" t="n">
        <v>45291</v>
      </c>
      <c r="B34" s="24" t="n">
        <v>48292.25</v>
      </c>
      <c r="C34" s="25" t="n">
        <v>16.6</v>
      </c>
      <c r="D34" s="2" t="inlineStr">
        <is>
          <t>Consolidated</t>
        </is>
      </c>
      <c r="E34" s="33">
        <f>IFERROR(B34/C34,"")</f>
        <v/>
      </c>
      <c r="F34" s="30">
        <f>IF(AND(D34=D30,E30&lt;&gt;""),E34/E30-1,"")</f>
        <v/>
      </c>
      <c r="G34" s="30">
        <f>IF(C34="","",(COUNTIFS($D$2:$D$45,D34,$C$2:$C$45,"&gt;0",$C$2:$C$45,"&lt;"&amp;C34)+(COUNTIFS($D$2:$D$45,D34,$C$2:$C$45,C34)+1)/2)/COUNTIFS($D$2:$D$45,D34,$C$2:$C$45,"&gt;0"))</f>
        <v/>
      </c>
      <c r="H34">
        <f>IF(G34="","",IF(G34&lt;=20%,"Q1 Cheapest",IF(G34&lt;=40%,"Q2",IF(G34&lt;=60%,"Q3",IF(G34&lt;=80%,"Q4","Q5 Most Expensive")))))</f>
        <v/>
      </c>
      <c r="I34" s="30">
        <f>IFERROR(B38/B34-1,"")</f>
        <v/>
      </c>
      <c r="J34" s="30" t="n"/>
      <c r="K34" s="30" t="n"/>
      <c r="L34" s="30" t="n"/>
    </row>
    <row r="35">
      <c r="A35" s="31" t="n">
        <v>45382</v>
      </c>
      <c r="B35" s="24" t="n">
        <v>47124.6</v>
      </c>
      <c r="C35" s="25" t="n">
        <v>15.84</v>
      </c>
      <c r="D35" s="2" t="inlineStr">
        <is>
          <t>Consolidated</t>
        </is>
      </c>
      <c r="E35" s="33">
        <f>IFERROR(B35/C35,"")</f>
        <v/>
      </c>
      <c r="F35" s="30">
        <f>IF(AND(D35=D31,E31&lt;&gt;""),E35/E31-1,"")</f>
        <v/>
      </c>
      <c r="G35" s="30">
        <f>IF(C35="","",(COUNTIFS($D$2:$D$45,D35,$C$2:$C$45,"&gt;0",$C$2:$C$45,"&lt;"&amp;C35)+(COUNTIFS($D$2:$D$45,D35,$C$2:$C$45,C35)+1)/2)/COUNTIFS($D$2:$D$45,D35,$C$2:$C$45,"&gt;0"))</f>
        <v/>
      </c>
      <c r="H35">
        <f>IF(G35="","",IF(G35&lt;=20%,"Q1 Cheapest",IF(G35&lt;=40%,"Q2",IF(G35&lt;=60%,"Q3",IF(G35&lt;=80%,"Q4","Q5 Most Expensive")))))</f>
        <v/>
      </c>
      <c r="I35" s="30">
        <f>IFERROR(B39/B35-1,"")</f>
        <v/>
      </c>
      <c r="J35" s="30" t="n"/>
      <c r="K35" s="30" t="n"/>
      <c r="L35" s="30" t="n"/>
    </row>
    <row r="36">
      <c r="A36" s="31" t="n">
        <v>45473</v>
      </c>
      <c r="B36" s="24" t="n">
        <v>52342.25</v>
      </c>
      <c r="C36" s="25" t="n">
        <v>15.97</v>
      </c>
      <c r="D36" s="2" t="inlineStr">
        <is>
          <t>Consolidated</t>
        </is>
      </c>
      <c r="E36" s="33">
        <f>IFERROR(B36/C36,"")</f>
        <v/>
      </c>
      <c r="F36" s="30">
        <f>IF(AND(D36=D32,E32&lt;&gt;""),E36/E32-1,"")</f>
        <v/>
      </c>
      <c r="G36" s="30">
        <f>IF(C36="","",(COUNTIFS($D$2:$D$45,D36,$C$2:$C$45,"&gt;0",$C$2:$C$45,"&lt;"&amp;C36)+(COUNTIFS($D$2:$D$45,D36,$C$2:$C$45,C36)+1)/2)/COUNTIFS($D$2:$D$45,D36,$C$2:$C$45,"&gt;0"))</f>
        <v/>
      </c>
      <c r="H36">
        <f>IF(G36="","",IF(G36&lt;=20%,"Q1 Cheapest",IF(G36&lt;=40%,"Q2",IF(G36&lt;=60%,"Q3",IF(G36&lt;=80%,"Q4","Q5 Most Expensive")))))</f>
        <v/>
      </c>
      <c r="I36" s="30">
        <f>IFERROR(B40/B36-1,"")</f>
        <v/>
      </c>
      <c r="J36" s="30" t="n"/>
      <c r="K36" s="30" t="n"/>
      <c r="L36" s="30" t="n"/>
    </row>
    <row r="37">
      <c r="A37" s="31" t="n">
        <v>45565</v>
      </c>
      <c r="B37" s="24" t="n">
        <v>52978.1</v>
      </c>
      <c r="C37" s="25" t="n">
        <v>14.84</v>
      </c>
      <c r="D37" s="2" t="inlineStr">
        <is>
          <t>Consolidated</t>
        </is>
      </c>
      <c r="E37" s="33">
        <f>IFERROR(B37/C37,"")</f>
        <v/>
      </c>
      <c r="F37" s="30">
        <f>IF(AND(D37=D33,E33&lt;&gt;""),E37/E33-1,"")</f>
        <v/>
      </c>
      <c r="G37" s="30">
        <f>IF(C37="","",(COUNTIFS($D$2:$D$45,D37,$C$2:$C$45,"&gt;0",$C$2:$C$45,"&lt;"&amp;C37)+(COUNTIFS($D$2:$D$45,D37,$C$2:$C$45,C37)+1)/2)/COUNTIFS($D$2:$D$45,D37,$C$2:$C$45,"&gt;0"))</f>
        <v/>
      </c>
      <c r="H37">
        <f>IF(G37="","",IF(G37&lt;=20%,"Q1 Cheapest",IF(G37&lt;=40%,"Q2",IF(G37&lt;=60%,"Q3",IF(G37&lt;=80%,"Q4","Q5 Most Expensive")))))</f>
        <v/>
      </c>
      <c r="I37" s="30">
        <f>IFERROR(B41/B37-1,"")</f>
        <v/>
      </c>
      <c r="J37" s="30" t="n"/>
      <c r="K37" s="30" t="n"/>
      <c r="L37" s="30" t="n"/>
    </row>
    <row r="38">
      <c r="A38" s="31" t="n">
        <v>45657</v>
      </c>
      <c r="B38" s="24" t="n">
        <v>50860.2</v>
      </c>
      <c r="C38" s="25" t="n">
        <v>13.68</v>
      </c>
      <c r="D38" s="2" t="inlineStr">
        <is>
          <t>Consolidated</t>
        </is>
      </c>
      <c r="E38" s="33">
        <f>IFERROR(B38/C38,"")</f>
        <v/>
      </c>
      <c r="F38" s="30">
        <f>IF(AND(D38=D34,E34&lt;&gt;""),E38/E34-1,"")</f>
        <v/>
      </c>
      <c r="G38" s="30">
        <f>IF(C38="","",(COUNTIFS($D$2:$D$45,D38,$C$2:$C$45,"&gt;0",$C$2:$C$45,"&lt;"&amp;C38)+(COUNTIFS($D$2:$D$45,D38,$C$2:$C$45,C38)+1)/2)/COUNTIFS($D$2:$D$45,D38,$C$2:$C$45,"&gt;0"))</f>
        <v/>
      </c>
      <c r="H38">
        <f>IF(G38="","",IF(G38&lt;=20%,"Q1 Cheapest",IF(G38&lt;=40%,"Q2",IF(G38&lt;=60%,"Q3",IF(G38&lt;=80%,"Q4","Q5 Most Expensive")))))</f>
        <v/>
      </c>
      <c r="I38" s="30">
        <f>IFERROR(B42/B38-1,"")</f>
        <v/>
      </c>
      <c r="J38" s="30" t="n"/>
      <c r="K38" s="30" t="n"/>
      <c r="L38" s="30" t="n"/>
    </row>
    <row r="39">
      <c r="A39" s="31" t="n">
        <v>45747</v>
      </c>
      <c r="B39" s="24" t="n">
        <v>51564.85</v>
      </c>
      <c r="C39" s="25" t="n">
        <v>13.18</v>
      </c>
      <c r="D39" s="2" t="inlineStr">
        <is>
          <t>Consolidated</t>
        </is>
      </c>
      <c r="E39" s="33">
        <f>IFERROR(B39/C39,"")</f>
        <v/>
      </c>
      <c r="F39" s="30">
        <f>IF(AND(D39=D35,E35&lt;&gt;""),E39/E35-1,"")</f>
        <v/>
      </c>
      <c r="G39" s="30">
        <f>IF(C39="","",(COUNTIFS($D$2:$D$45,D39,$C$2:$C$45,"&gt;0",$C$2:$C$45,"&lt;"&amp;C39)+(COUNTIFS($D$2:$D$45,D39,$C$2:$C$45,C39)+1)/2)/COUNTIFS($D$2:$D$45,D39,$C$2:$C$45,"&gt;0"))</f>
        <v/>
      </c>
      <c r="H39">
        <f>IF(G39="","",IF(G39&lt;=20%,"Q1 Cheapest",IF(G39&lt;=40%,"Q2",IF(G39&lt;=60%,"Q3",IF(G39&lt;=80%,"Q4","Q5 Most Expensive")))))</f>
        <v/>
      </c>
      <c r="I39" s="30">
        <f>IFERROR(B43/B39-1,"")</f>
        <v/>
      </c>
      <c r="J39" s="30" t="n"/>
      <c r="K39" s="30" t="n"/>
      <c r="L39" s="30" t="n"/>
    </row>
    <row r="40">
      <c r="A40" s="31" t="n">
        <v>45838</v>
      </c>
      <c r="B40" s="24" t="n">
        <v>57312.75</v>
      </c>
      <c r="C40" s="25" t="n">
        <v>15.19</v>
      </c>
      <c r="D40" s="2" t="inlineStr">
        <is>
          <t>Consolidated</t>
        </is>
      </c>
      <c r="E40" s="33">
        <f>IFERROR(B40/C40,"")</f>
        <v/>
      </c>
      <c r="F40" s="30">
        <f>IF(AND(D40=D36,E36&lt;&gt;""),E40/E36-1,"")</f>
        <v/>
      </c>
      <c r="G40" s="30">
        <f>IF(C40="","",(COUNTIFS($D$2:$D$45,D40,$C$2:$C$45,"&gt;0",$C$2:$C$45,"&lt;"&amp;C40)+(COUNTIFS($D$2:$D$45,D40,$C$2:$C$45,C40)+1)/2)/COUNTIFS($D$2:$D$45,D40,$C$2:$C$45,"&gt;0"))</f>
        <v/>
      </c>
      <c r="H40">
        <f>IF(G40="","",IF(G40&lt;=20%,"Q1 Cheapest",IF(G40&lt;=40%,"Q2",IF(G40&lt;=60%,"Q3",IF(G40&lt;=80%,"Q4","Q5 Most Expensive")))))</f>
        <v/>
      </c>
      <c r="I40" s="30">
        <f>IFERROR(B44/B40-1,"")</f>
        <v/>
      </c>
      <c r="J40" s="30" t="n"/>
      <c r="K40" s="30" t="n"/>
      <c r="L40" s="30" t="n"/>
    </row>
    <row r="41">
      <c r="A41" s="31" t="n">
        <v>45930</v>
      </c>
      <c r="B41" s="24" t="n">
        <v>54635.85</v>
      </c>
      <c r="C41" s="25" t="n">
        <v>15.09</v>
      </c>
      <c r="D41" s="2" t="inlineStr">
        <is>
          <t>Consolidated</t>
        </is>
      </c>
      <c r="E41" s="33">
        <f>IFERROR(B41/C41,"")</f>
        <v/>
      </c>
      <c r="F41" s="30">
        <f>IF(AND(D41=D37,E37&lt;&gt;""),E41/E37-1,"")</f>
        <v/>
      </c>
      <c r="G41" s="30">
        <f>IF(C41="","",(COUNTIFS($D$2:$D$45,D41,$C$2:$C$45,"&gt;0",$C$2:$C$45,"&lt;"&amp;C41)+(COUNTIFS($D$2:$D$45,D41,$C$2:$C$45,C41)+1)/2)/COUNTIFS($D$2:$D$45,D41,$C$2:$C$45,"&gt;0"))</f>
        <v/>
      </c>
      <c r="H41">
        <f>IF(G41="","",IF(G41&lt;=20%,"Q1 Cheapest",IF(G41&lt;=40%,"Q2",IF(G41&lt;=60%,"Q3",IF(G41&lt;=80%,"Q4","Q5 Most Expensive")))))</f>
        <v/>
      </c>
      <c r="I41" s="30">
        <f>IFERROR(B45/B41-1,"")</f>
        <v/>
      </c>
      <c r="J41" s="30" t="n"/>
      <c r="K41" s="30" t="n"/>
      <c r="L41" s="30" t="n"/>
    </row>
    <row r="42">
      <c r="A42" s="31" t="n">
        <v>46022</v>
      </c>
      <c r="B42" s="24" t="n">
        <v>59581.85</v>
      </c>
      <c r="C42" s="25" t="n">
        <v>16.4</v>
      </c>
      <c r="D42" s="2" t="inlineStr">
        <is>
          <t>Consolidated</t>
        </is>
      </c>
      <c r="E42" s="33">
        <f>IFERROR(B42/C42,"")</f>
        <v/>
      </c>
      <c r="F42" s="30">
        <f>IF(AND(D42=D38,E38&lt;&gt;""),E42/E38-1,"")</f>
        <v/>
      </c>
      <c r="G42" s="30">
        <f>IF(C42="","",(COUNTIFS($D$2:$D$45,D42,$C$2:$C$45,"&gt;0",$C$2:$C$45,"&lt;"&amp;C42)+(COUNTIFS($D$2:$D$45,D42,$C$2:$C$45,C42)+1)/2)/COUNTIFS($D$2:$D$45,D42,$C$2:$C$45,"&gt;0"))</f>
        <v/>
      </c>
      <c r="H42">
        <f>IF(G42="","",IF(G42&lt;=20%,"Q1 Cheapest",IF(G42&lt;=40%,"Q2",IF(G42&lt;=60%,"Q3",IF(G42&lt;=80%,"Q4","Q5 Most Expensive")))))</f>
        <v/>
      </c>
      <c r="I42" s="30" t="n"/>
      <c r="J42" s="30" t="n"/>
      <c r="K42" s="30" t="n"/>
      <c r="L42" s="30" t="n"/>
    </row>
    <row r="43">
      <c r="A43" s="31" t="n">
        <v>46112</v>
      </c>
      <c r="B43" s="24" t="n">
        <v>50275.35</v>
      </c>
      <c r="C43" s="25" t="n">
        <v>13.38</v>
      </c>
      <c r="D43" s="2" t="inlineStr">
        <is>
          <t>Consolidated</t>
        </is>
      </c>
      <c r="E43" s="33">
        <f>IFERROR(B43/C43,"")</f>
        <v/>
      </c>
      <c r="F43" s="30">
        <f>IF(AND(D43=D39,E39&lt;&gt;""),E43/E39-1,"")</f>
        <v/>
      </c>
      <c r="G43" s="30">
        <f>IF(C43="","",(COUNTIFS($D$2:$D$45,D43,$C$2:$C$45,"&gt;0",$C$2:$C$45,"&lt;"&amp;C43)+(COUNTIFS($D$2:$D$45,D43,$C$2:$C$45,C43)+1)/2)/COUNTIFS($D$2:$D$45,D43,$C$2:$C$45,"&gt;0"))</f>
        <v/>
      </c>
      <c r="H43">
        <f>IF(G43="","",IF(G43&lt;=20%,"Q1 Cheapest",IF(G43&lt;=40%,"Q2",IF(G43&lt;=60%,"Q3",IF(G43&lt;=80%,"Q4","Q5 Most Expensive")))))</f>
        <v/>
      </c>
      <c r="I43" s="30" t="n"/>
      <c r="J43" s="30" t="n"/>
      <c r="K43" s="30" t="n"/>
      <c r="L43" s="30" t="n"/>
    </row>
    <row r="44">
      <c r="A44" s="31" t="n">
        <v>46203</v>
      </c>
      <c r="B44" s="24" t="n">
        <v>57542.9</v>
      </c>
      <c r="C44" s="25" t="n">
        <v>14.46</v>
      </c>
      <c r="D44" s="2" t="inlineStr">
        <is>
          <t>Consolidated</t>
        </is>
      </c>
      <c r="E44" s="33">
        <f>IFERROR(B44/C44,"")</f>
        <v/>
      </c>
      <c r="F44" s="30">
        <f>IF(AND(D44=D40,E40&lt;&gt;""),E44/E40-1,"")</f>
        <v/>
      </c>
      <c r="G44" s="30">
        <f>IF(C44="","",(COUNTIFS($D$2:$D$45,D44,$C$2:$C$45,"&gt;0",$C$2:$C$45,"&lt;"&amp;C44)+(COUNTIFS($D$2:$D$45,D44,$C$2:$C$45,C44)+1)/2)/COUNTIFS($D$2:$D$45,D44,$C$2:$C$45,"&gt;0"))</f>
        <v/>
      </c>
      <c r="H44">
        <f>IF(G44="","",IF(G44&lt;=20%,"Q1 Cheapest",IF(G44&lt;=40%,"Q2",IF(G44&lt;=60%,"Q3",IF(G44&lt;=80%,"Q4","Q5 Most Expensive")))))</f>
        <v/>
      </c>
      <c r="I44" s="30" t="n"/>
      <c r="J44" s="30" t="n"/>
      <c r="K44" s="30" t="n"/>
      <c r="L44" s="30" t="n"/>
    </row>
    <row r="45">
      <c r="A45" s="31" t="n">
        <v>46295</v>
      </c>
      <c r="B45" s="24" t="n">
        <v>54633.05</v>
      </c>
      <c r="C45" s="25" t="n">
        <v>12.95</v>
      </c>
      <c r="D45" s="2" t="inlineStr">
        <is>
          <t>Consolidated</t>
        </is>
      </c>
      <c r="E45" s="33">
        <f>IFERROR(B45/C45,"")</f>
        <v/>
      </c>
      <c r="F45" s="30">
        <f>IF(AND(D45=D41,E41&lt;&gt;""),E45/E41-1,"")</f>
        <v/>
      </c>
      <c r="G45" s="30">
        <f>IF(C45="","",(COUNTIFS($D$2:$D$45,D45,$C$2:$C$45,"&gt;0",$C$2:$C$45,"&lt;"&amp;C45)+(COUNTIFS($D$2:$D$45,D45,$C$2:$C$45,C45)+1)/2)/COUNTIFS($D$2:$D$45,D45,$C$2:$C$45,"&gt;0"))</f>
        <v/>
      </c>
      <c r="H45">
        <f>IF(G45="","",IF(G45&lt;=20%,"Q1 Cheapest",IF(G45&lt;=40%,"Q2",IF(G45&lt;=60%,"Q3",IF(G45&lt;=80%,"Q4","Q5 Most Expensive")))))</f>
        <v/>
      </c>
      <c r="I45" s="30" t="n"/>
      <c r="J45" s="30" t="n"/>
      <c r="K45" s="30" t="n"/>
      <c r="L45" s="30" t="n"/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8" customWidth="1" min="4" max="4"/>
    <col width="16" customWidth="1" min="5" max="5"/>
    <col width="28" customWidth="1" min="6" max="6"/>
    <col width="34" customWidth="1" min="7" max="7"/>
    <col width="34" customWidth="1" min="8" max="8"/>
    <col width="34" customWidth="1" min="9" max="9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P/E Percentile</t>
        </is>
      </c>
      <c r="E1" s="13" t="inlineStr">
        <is>
          <t>YoY EPS Growth</t>
        </is>
      </c>
      <c r="F1" s="13" t="inlineStr">
        <is>
          <t>Valuation Score</t>
        </is>
      </c>
      <c r="G1" s="13" t="inlineStr">
        <is>
          <t>Growth Score</t>
        </is>
      </c>
      <c r="H1" s="13" t="inlineStr">
        <is>
          <t>Composite Score</t>
        </is>
      </c>
      <c r="I1" s="13" t="inlineStr">
        <is>
          <t>Signal</t>
        </is>
      </c>
    </row>
    <row r="2">
      <c r="A2" s="31" t="n">
        <v>46283</v>
      </c>
      <c r="B2" s="24" t="n">
        <v>56358.7</v>
      </c>
      <c r="C2" s="25" t="n">
        <v>13.33</v>
      </c>
      <c r="D2" s="26" t="n">
        <v>0.0530303030303</v>
      </c>
      <c r="E2" s="26" t="n">
        <v>0.151684224853</v>
      </c>
      <c r="F2" s="34">
        <f>IF(D2="","",100*(1-D2))</f>
        <v/>
      </c>
      <c r="G2" s="34">
        <f>IF(E2="","",IF(E2&lt;=0,20,IF(E2&lt;5%,20+400*E2,IF(E2&lt;10%,40+400*(E2-5%),IF(E2&lt;15%,60+400*(E2-10%),IF(E2&lt;25%,80+200*(E2-15%),100))))))</f>
        <v/>
      </c>
      <c r="H2" s="34">
        <f>IF(OR(F2="",G2=""),"",70%*F2+30%*G2)</f>
        <v/>
      </c>
      <c r="I2">
        <f>IF(H2="","",IF(H2&gt;=70,"BUY",IF(H2&gt;=40,"HOLD","SELL")))</f>
        <v/>
      </c>
    </row>
    <row r="3">
      <c r="A3" s="31" t="n">
        <v>46286</v>
      </c>
      <c r="B3" s="24" t="n">
        <v>56470.65</v>
      </c>
      <c r="C3" s="25" t="n">
        <v>13.36</v>
      </c>
      <c r="D3" s="26" t="n">
        <v>0.0530303030303</v>
      </c>
      <c r="E3" s="26" t="n">
        <v>0.151621947711</v>
      </c>
      <c r="F3" s="34">
        <f>IF(D3="","",100*(1-D3))</f>
        <v/>
      </c>
      <c r="G3" s="34">
        <f>IF(E3="","",IF(E3&lt;=0,20,IF(E3&lt;5%,20+400*E3,IF(E3&lt;10%,40+400*(E3-5%),IF(E3&lt;15%,60+400*(E3-10%),IF(E3&lt;25%,80+200*(E3-15%),100))))))</f>
        <v/>
      </c>
      <c r="H3" s="34">
        <f>IF(OR(F3="",G3=""),"",70%*F3+30%*G3)</f>
        <v/>
      </c>
      <c r="I3">
        <f>IF(H3="","",IF(H3&gt;=70,"BUY",IF(H3&gt;=40,"HOLD","SELL")))</f>
        <v/>
      </c>
    </row>
    <row r="4">
      <c r="A4" s="31" t="n">
        <v>46287</v>
      </c>
      <c r="B4" s="24" t="n">
        <v>56215.55</v>
      </c>
      <c r="C4" s="25" t="n">
        <v>13.3</v>
      </c>
      <c r="D4" s="26" t="n">
        <v>0.0530303030303</v>
      </c>
      <c r="E4" s="26" t="n">
        <v>0.151395280354</v>
      </c>
      <c r="F4" s="34">
        <f>IF(D4="","",100*(1-D4))</f>
        <v/>
      </c>
      <c r="G4" s="34">
        <f>IF(E4="","",IF(E4&lt;=0,20,IF(E4&lt;5%,20+400*E4,IF(E4&lt;10%,40+400*(E4-5%),IF(E4&lt;15%,60+400*(E4-10%),IF(E4&lt;25%,80+200*(E4-15%),100))))))</f>
        <v/>
      </c>
      <c r="H4" s="34">
        <f>IF(OR(F4="",G4=""),"",70%*F4+30%*G4)</f>
        <v/>
      </c>
      <c r="I4">
        <f>IF(H4="","",IF(H4&gt;=70,"BUY",IF(H4&gt;=40,"HOLD","SELL")))</f>
        <v/>
      </c>
    </row>
    <row r="5">
      <c r="A5" s="31" t="n">
        <v>46288</v>
      </c>
      <c r="B5" s="24" t="n">
        <v>56548.9</v>
      </c>
      <c r="C5" s="25" t="n">
        <v>13.38</v>
      </c>
      <c r="D5" s="26" t="n">
        <v>0.0606060606061</v>
      </c>
      <c r="E5" s="26" t="n">
        <v>0.151199434786</v>
      </c>
      <c r="F5" s="34">
        <f>IF(D5="","",100*(1-D5))</f>
        <v/>
      </c>
      <c r="G5" s="34">
        <f>IF(E5="","",IF(E5&lt;=0,20,IF(E5&lt;5%,20+400*E5,IF(E5&lt;10%,40+400*(E5-5%),IF(E5&lt;15%,60+400*(E5-10%),IF(E5&lt;25%,80+200*(E5-15%),100))))))</f>
        <v/>
      </c>
      <c r="H5" s="34">
        <f>IF(OR(F5="",G5=""),"",70%*F5+30%*G5)</f>
        <v/>
      </c>
      <c r="I5">
        <f>IF(H5="","",IF(H5&gt;=70,"BUY",IF(H5&gt;=40,"HOLD","SELL")))</f>
        <v/>
      </c>
    </row>
    <row r="6">
      <c r="A6" s="31" t="n">
        <v>46289</v>
      </c>
      <c r="B6" s="24" t="n">
        <v>55438.5</v>
      </c>
      <c r="C6" s="25" t="n">
        <v>13.12</v>
      </c>
      <c r="D6" s="26" t="n">
        <v>0.0227272727273</v>
      </c>
      <c r="E6" s="26" t="n">
        <v>0.150634259893</v>
      </c>
      <c r="F6" s="34">
        <f>IF(D6="","",100*(1-D6))</f>
        <v/>
      </c>
      <c r="G6" s="34">
        <f>IF(E6="","",IF(E6&lt;=0,20,IF(E6&lt;5%,20+400*E6,IF(E6&lt;10%,40+400*(E6-5%),IF(E6&lt;15%,60+400*(E6-10%),IF(E6&lt;25%,80+200*(E6-15%),100))))))</f>
        <v/>
      </c>
      <c r="H6" s="34">
        <f>IF(OR(F6="",G6=""),"",70%*F6+30%*G6)</f>
        <v/>
      </c>
      <c r="I6">
        <f>IF(H6="","",IF(H6&gt;=70,"BUY",IF(H6&gt;=40,"HOLD","SELL")))</f>
        <v/>
      </c>
    </row>
    <row r="7">
      <c r="A7" s="31" t="n">
        <v>46290</v>
      </c>
      <c r="B7" s="24" t="n">
        <v>55580.4</v>
      </c>
      <c r="C7" s="25" t="n">
        <v>13.15</v>
      </c>
      <c r="D7" s="26" t="n">
        <v>0.030303030303</v>
      </c>
      <c r="E7" s="26" t="n">
        <v>0.150914330671</v>
      </c>
      <c r="F7" s="34">
        <f>IF(D7="","",100*(1-D7))</f>
        <v/>
      </c>
      <c r="G7" s="34">
        <f>IF(E7="","",IF(E7&lt;=0,20,IF(E7&lt;5%,20+400*E7,IF(E7&lt;10%,40+400*(E7-5%),IF(E7&lt;15%,60+400*(E7-10%),IF(E7&lt;25%,80+200*(E7-15%),100))))))</f>
        <v/>
      </c>
      <c r="H7" s="34">
        <f>IF(OR(F7="",G7=""),"",70%*F7+30%*G7)</f>
        <v/>
      </c>
      <c r="I7">
        <f>IF(H7="","",IF(H7&gt;=70,"BUY",IF(H7&gt;=40,"HOLD","SELL")))</f>
        <v/>
      </c>
    </row>
    <row r="8">
      <c r="A8" s="31" t="n">
        <v>46293</v>
      </c>
      <c r="B8" s="24" t="n">
        <v>54471.65</v>
      </c>
      <c r="C8" s="25" t="n">
        <v>12.89</v>
      </c>
      <c r="D8" s="26" t="n">
        <v>0.0227272727273</v>
      </c>
      <c r="E8" s="26" t="n">
        <v>0.150691230186</v>
      </c>
      <c r="F8" s="34">
        <f>IF(D8="","",100*(1-D8))</f>
        <v/>
      </c>
      <c r="G8" s="34">
        <f>IF(E8="","",IF(E8&lt;=0,20,IF(E8&lt;5%,20+400*E8,IF(E8&lt;10%,40+400*(E8-5%),IF(E8&lt;15%,60+400*(E8-10%),IF(E8&lt;25%,80+200*(E8-15%),100))))))</f>
        <v/>
      </c>
      <c r="H8" s="34">
        <f>IF(OR(F8="",G8=""),"",70%*F8+30%*G8)</f>
        <v/>
      </c>
      <c r="I8">
        <f>IF(H8="","",IF(H8&gt;=70,"BUY",IF(H8&gt;=40,"HOLD","SELL")))</f>
        <v/>
      </c>
    </row>
    <row r="9">
      <c r="A9" s="31" t="n">
        <v>46294</v>
      </c>
      <c r="B9" s="24" t="n">
        <v>54259.95</v>
      </c>
      <c r="C9" s="25" t="n">
        <v>12.84</v>
      </c>
      <c r="D9" s="26" t="n">
        <v>0.0227272727273</v>
      </c>
      <c r="E9" s="26" t="n">
        <v>0.150720645589</v>
      </c>
      <c r="F9" s="34">
        <f>IF(D9="","",100*(1-D9))</f>
        <v/>
      </c>
      <c r="G9" s="34">
        <f>IF(E9="","",IF(E9&lt;=0,20,IF(E9&lt;5%,20+400*E9,IF(E9&lt;10%,40+400*(E9-5%),IF(E9&lt;15%,60+400*(E9-10%),IF(E9&lt;25%,80+200*(E9-15%),100))))))</f>
        <v/>
      </c>
      <c r="H9" s="34">
        <f>IF(OR(F9="",G9=""),"",70%*F9+30%*G9)</f>
        <v/>
      </c>
      <c r="I9">
        <f>IF(H9="","",IF(H9&gt;=70,"BUY",IF(H9&gt;=40,"HOLD","SELL")))</f>
        <v/>
      </c>
    </row>
    <row r="10">
      <c r="A10" s="31" t="n">
        <v>46295</v>
      </c>
      <c r="B10" s="24" t="n">
        <v>54633.05</v>
      </c>
      <c r="C10" s="25" t="n">
        <v>12.95</v>
      </c>
      <c r="D10" s="26" t="n">
        <v>0.0298507462687</v>
      </c>
      <c r="E10" s="26" t="n">
        <v>0.165191248001</v>
      </c>
      <c r="F10" s="34">
        <f>IF(D10="","",100*(1-D10))</f>
        <v/>
      </c>
      <c r="G10" s="34">
        <f>IF(E10="","",IF(E10&lt;=0,20,IF(E10&lt;5%,20+400*E10,IF(E10&lt;10%,40+400*(E10-5%),IF(E10&lt;15%,60+400*(E10-10%),IF(E10&lt;25%,80+200*(E10-15%),100))))))</f>
        <v/>
      </c>
      <c r="H10" s="34">
        <f>IF(OR(F10="",G10=""),"",70%*F10+30%*G10)</f>
        <v/>
      </c>
      <c r="I10">
        <f>IF(H10="","",IF(H10&gt;=70,"BUY",IF(H10&gt;=40,"HOLD","SELL")))</f>
        <v/>
      </c>
    </row>
    <row r="11">
      <c r="A11" s="31" t="n">
        <v>46296</v>
      </c>
      <c r="B11" s="24" t="n">
        <v>54450.75</v>
      </c>
      <c r="C11" s="25" t="n">
        <v>12.91</v>
      </c>
      <c r="D11" s="26" t="n">
        <v>0.0223880597015</v>
      </c>
      <c r="E11" s="26" t="n">
        <v>0.164392603694</v>
      </c>
      <c r="F11" s="34">
        <f>IF(D11="","",100*(1-D11))</f>
        <v/>
      </c>
      <c r="G11" s="34">
        <f>IF(E11="","",IF(E11&lt;=0,20,IF(E11&lt;5%,20+400*E11,IF(E11&lt;10%,40+400*(E11-5%),IF(E11&lt;15%,60+400*(E11-10%),IF(E11&lt;25%,80+200*(E11-15%),100))))))</f>
        <v/>
      </c>
      <c r="H11" s="34">
        <f>IF(OR(F11="",G11=""),"",70%*F11+30%*G11)</f>
        <v/>
      </c>
      <c r="I11">
        <f>IF(H11="","",IF(H11&gt;=70,"BUY",IF(H11&gt;=40,"HOLD","SELL")))</f>
        <v/>
      </c>
    </row>
    <row r="12">
      <c r="A12" s="31" t="n">
        <v>46300</v>
      </c>
      <c r="B12" s="24" t="n">
        <v>54714.1</v>
      </c>
      <c r="C12" s="25" t="n">
        <v>12.97</v>
      </c>
      <c r="D12" s="26" t="n">
        <v>0.0373134328358</v>
      </c>
      <c r="E12" s="26" t="n">
        <v>0.164868359306</v>
      </c>
      <c r="F12" s="34">
        <f>IF(D12="","",100*(1-D12))</f>
        <v/>
      </c>
      <c r="G12" s="34">
        <f>IF(E12="","",IF(E12&lt;=0,20,IF(E12&lt;5%,20+400*E12,IF(E12&lt;10%,40+400*(E12-5%),IF(E12&lt;15%,60+400*(E12-10%),IF(E12&lt;25%,80+200*(E12-15%),100))))))</f>
        <v/>
      </c>
      <c r="H12" s="34">
        <f>IF(OR(F12="",G12=""),"",70%*F12+30%*G12)</f>
        <v/>
      </c>
      <c r="I12">
        <f>IF(H12="","",IF(H12&gt;=70,"BUY",IF(H12&gt;=40,"HOLD","SELL")))</f>
        <v/>
      </c>
    </row>
    <row r="13">
      <c r="A13" s="31" t="n">
        <v>46301</v>
      </c>
      <c r="B13" s="24" t="n">
        <v>55128.4</v>
      </c>
      <c r="C13" s="25" t="n">
        <v>13.07</v>
      </c>
      <c r="D13" s="26" t="n">
        <v>0.0373134328358</v>
      </c>
      <c r="E13" s="26" t="n">
        <v>0.164530352815</v>
      </c>
      <c r="F13" s="34">
        <f>IF(D13="","",100*(1-D13))</f>
        <v/>
      </c>
      <c r="G13" s="34">
        <f>IF(E13="","",IF(E13&lt;=0,20,IF(E13&lt;5%,20+400*E13,IF(E13&lt;10%,40+400*(E13-5%),IF(E13&lt;15%,60+400*(E13-10%),IF(E13&lt;25%,80+200*(E13-15%),100))))))</f>
        <v/>
      </c>
      <c r="H13" s="34">
        <f>IF(OR(F13="",G13=""),"",70%*F13+30%*G13)</f>
        <v/>
      </c>
      <c r="I13">
        <f>IF(H13="","",IF(H13&gt;=70,"BUY",IF(H13&gt;=40,"HOLD","SELL")))</f>
        <v/>
      </c>
    </row>
    <row r="14">
      <c r="A14" s="31" t="n">
        <v>46302</v>
      </c>
      <c r="B14" s="24" t="n">
        <v>55055.55</v>
      </c>
      <c r="C14" s="25" t="n">
        <v>13.05</v>
      </c>
      <c r="D14" s="26" t="n">
        <v>0.0373134328358</v>
      </c>
      <c r="E14" s="26" t="n">
        <v>0.16498881847</v>
      </c>
      <c r="F14" s="34">
        <f>IF(D14="","",100*(1-D14))</f>
        <v/>
      </c>
      <c r="G14" s="34">
        <f>IF(E14="","",IF(E14&lt;=0,20,IF(E14&lt;5%,20+400*E14,IF(E14&lt;10%,40+400*(E14-5%),IF(E14&lt;15%,60+400*(E14-10%),IF(E14&lt;25%,80+200*(E14-15%),100))))))</f>
        <v/>
      </c>
      <c r="H14" s="34">
        <f>IF(OR(F14="",G14=""),"",70%*F14+30%*G14)</f>
        <v/>
      </c>
      <c r="I14">
        <f>IF(H14="","",IF(H14&gt;=70,"BUY",IF(H14&gt;=40,"HOLD","SELL")))</f>
        <v/>
      </c>
    </row>
    <row r="15">
      <c r="A15" s="31" t="n">
        <v>46303</v>
      </c>
      <c r="B15" s="24" t="n">
        <v>54515.05</v>
      </c>
      <c r="C15" s="25" t="n">
        <v>12.92</v>
      </c>
      <c r="D15" s="26" t="n">
        <v>0.0223880597015</v>
      </c>
      <c r="E15" s="26" t="n">
        <v>0.16523810262</v>
      </c>
      <c r="F15" s="34">
        <f>IF(D15="","",100*(1-D15))</f>
        <v/>
      </c>
      <c r="G15" s="34">
        <f>IF(E15="","",IF(E15&lt;=0,20,IF(E15&lt;5%,20+400*E15,IF(E15&lt;10%,40+400*(E15-5%),IF(E15&lt;15%,60+400*(E15-10%),IF(E15&lt;25%,80+200*(E15-15%),100))))))</f>
        <v/>
      </c>
      <c r="H15" s="34">
        <f>IF(OR(F15="",G15=""),"",70%*F15+30%*G15)</f>
        <v/>
      </c>
      <c r="I15">
        <f>IF(H15="","",IF(H15&gt;=70,"BUY",IF(H15&gt;=40,"HOLD","SELL")))</f>
        <v/>
      </c>
    </row>
    <row r="16">
      <c r="A16" s="31" t="n">
        <v>46304</v>
      </c>
      <c r="B16" s="24" t="n">
        <v>55256.65</v>
      </c>
      <c r="C16" s="25" t="n">
        <v>13.1</v>
      </c>
      <c r="D16" s="26" t="n">
        <v>0.0373134328358</v>
      </c>
      <c r="E16" s="26" t="n">
        <v>0.165011189713</v>
      </c>
      <c r="F16" s="34">
        <f>IF(D16="","",100*(1-D16))</f>
        <v/>
      </c>
      <c r="G16" s="34">
        <f>IF(E16="","",IF(E16&lt;=0,20,IF(E16&lt;5%,20+400*E16,IF(E16&lt;10%,40+400*(E16-5%),IF(E16&lt;15%,60+400*(E16-10%),IF(E16&lt;25%,80+200*(E16-15%),100))))))</f>
        <v/>
      </c>
      <c r="H16" s="34">
        <f>IF(OR(F16="",G16=""),"",70%*F16+30%*G16)</f>
        <v/>
      </c>
      <c r="I16">
        <f>IF(H16="","",IF(H16&gt;=70,"BUY",IF(H16&gt;=40,"HOLD","SELL")))</f>
        <v/>
      </c>
    </row>
    <row r="17">
      <c r="A17" s="31" t="n">
        <v>46307</v>
      </c>
      <c r="B17" s="24" t="n">
        <v>54918</v>
      </c>
      <c r="C17" s="25" t="n">
        <v>13.02</v>
      </c>
      <c r="D17" s="26" t="n">
        <v>0.0373134328358</v>
      </c>
      <c r="E17" s="26" t="n">
        <v>0.164585744224</v>
      </c>
      <c r="F17" s="34">
        <f>IF(D17="","",100*(1-D17))</f>
        <v/>
      </c>
      <c r="G17" s="34">
        <f>IF(E17="","",IF(E17&lt;=0,20,IF(E17&lt;5%,20+400*E17,IF(E17&lt;10%,40+400*(E17-5%),IF(E17&lt;15%,60+400*(E17-10%),IF(E17&lt;25%,80+200*(E17-15%),100))))))</f>
        <v/>
      </c>
      <c r="H17" s="34">
        <f>IF(OR(F17="",G17=""),"",70%*F17+30%*G17)</f>
        <v/>
      </c>
      <c r="I17">
        <f>IF(H17="","",IF(H17&gt;=70,"BUY",IF(H17&gt;=40,"HOLD","SELL")))</f>
        <v/>
      </c>
    </row>
    <row r="18">
      <c r="A18" s="31" t="n">
        <v>46308</v>
      </c>
      <c r="B18" s="24" t="n">
        <v>55481.05</v>
      </c>
      <c r="C18" s="25" t="n">
        <v>13.15</v>
      </c>
      <c r="D18" s="26" t="n">
        <v>0.044776119403</v>
      </c>
      <c r="E18" s="26" t="n">
        <v>0.164580950319</v>
      </c>
      <c r="F18" s="34">
        <f>IF(D18="","",100*(1-D18))</f>
        <v/>
      </c>
      <c r="G18" s="34">
        <f>IF(E18="","",IF(E18&lt;=0,20,IF(E18&lt;5%,20+400*E18,IF(E18&lt;10%,40+400*(E18-5%),IF(E18&lt;15%,60+400*(E18-10%),IF(E18&lt;25%,80+200*(E18-15%),100))))))</f>
        <v/>
      </c>
      <c r="H18" s="34">
        <f>IF(OR(F18="",G18=""),"",70%*F18+30%*G18)</f>
        <v/>
      </c>
      <c r="I18">
        <f>IF(H18="","",IF(H18&gt;=70,"BUY",IF(H18&gt;=40,"HOLD","SELL")))</f>
        <v/>
      </c>
    </row>
    <row r="19">
      <c r="A19" s="31" t="n">
        <v>46309</v>
      </c>
      <c r="B19" s="24" t="n">
        <v>55316</v>
      </c>
      <c r="C19" s="25" t="n">
        <v>13.11</v>
      </c>
      <c r="D19" s="26" t="n">
        <v>0.0373134328358</v>
      </c>
      <c r="E19" s="26" t="n">
        <v>0.16506864702</v>
      </c>
      <c r="F19" s="34">
        <f>IF(D19="","",100*(1-D19))</f>
        <v/>
      </c>
      <c r="G19" s="34">
        <f>IF(E19="","",IF(E19&lt;=0,20,IF(E19&lt;5%,20+400*E19,IF(E19&lt;10%,40+400*(E19-5%),IF(E19&lt;15%,60+400*(E19-10%),IF(E19&lt;25%,80+200*(E19-15%),100))))))</f>
        <v/>
      </c>
      <c r="H19" s="34">
        <f>IF(OR(F19="",G19=""),"",70%*F19+30%*G19)</f>
        <v/>
      </c>
      <c r="I19">
        <f>IF(H19="","",IF(H19&gt;=70,"BUY",IF(H19&gt;=40,"HOLD","SELL")))</f>
        <v/>
      </c>
    </row>
    <row r="20">
      <c r="A20" s="31" t="n">
        <v>46310</v>
      </c>
      <c r="B20" s="24" t="n">
        <v>55810.5</v>
      </c>
      <c r="C20" s="25" t="n">
        <v>13.2</v>
      </c>
      <c r="D20" s="26" t="n">
        <v>0.0671641791045</v>
      </c>
      <c r="E20" s="26" t="n">
        <v>0.167187074113</v>
      </c>
      <c r="F20" s="34">
        <f>IF(D20="","",100*(1-D20))</f>
        <v/>
      </c>
      <c r="G20" s="34">
        <f>IF(E20="","",IF(E20&lt;=0,20,IF(E20&lt;5%,20+400*E20,IF(E20&lt;10%,40+400*(E20-5%),IF(E20&lt;15%,60+400*(E20-10%),IF(E20&lt;25%,80+200*(E20-15%),100))))))</f>
        <v/>
      </c>
      <c r="H20" s="34">
        <f>IF(OR(F20="",G20=""),"",70%*F20+30%*G20)</f>
        <v/>
      </c>
      <c r="I20">
        <f>IF(H20="","",IF(H20&gt;=70,"BUY",IF(H20&gt;=40,"HOLD","SELL")))</f>
        <v/>
      </c>
    </row>
    <row r="21">
      <c r="A21" s="31" t="n">
        <v>46311</v>
      </c>
      <c r="B21" s="24" t="n">
        <v>55844</v>
      </c>
      <c r="C21" s="25" t="n">
        <v>13.21</v>
      </c>
      <c r="D21" s="26" t="n">
        <v>0.0671641791045</v>
      </c>
      <c r="E21" s="26" t="n">
        <v>0.175698982558</v>
      </c>
      <c r="F21" s="34">
        <f>IF(D21="","",100*(1-D21))</f>
        <v/>
      </c>
      <c r="G21" s="34">
        <f>IF(E21="","",IF(E21&lt;=0,20,IF(E21&lt;5%,20+400*E21,IF(E21&lt;10%,40+400*(E21-5%),IF(E21&lt;15%,60+400*(E21-10%),IF(E21&lt;25%,80+200*(E21-15%),100))))))</f>
        <v/>
      </c>
      <c r="H21" s="34">
        <f>IF(OR(F21="",G21=""),"",70%*F21+30%*G21)</f>
        <v/>
      </c>
      <c r="I21">
        <f>IF(H21="","",IF(H21&gt;=70,"BUY",IF(H21&gt;=40,"HOLD","SELL")))</f>
        <v/>
      </c>
    </row>
    <row r="22">
      <c r="A22" s="31" t="n">
        <v>46314</v>
      </c>
      <c r="B22" s="24" t="n">
        <v>55488.1</v>
      </c>
      <c r="C22" s="25" t="n">
        <v>12.82</v>
      </c>
      <c r="D22" s="26" t="n">
        <v>0.0223880597015</v>
      </c>
      <c r="E22" s="26" t="n">
        <v>0.203678717719</v>
      </c>
      <c r="F22" s="34">
        <f>IF(D22="","",100*(1-D22))</f>
        <v/>
      </c>
      <c r="G22" s="34">
        <f>IF(E22="","",IF(E22&lt;=0,20,IF(E22&lt;5%,20+400*E22,IF(E22&lt;10%,40+400*(E22-5%),IF(E22&lt;15%,60+400*(E22-10%),IF(E22&lt;25%,80+200*(E22-15%),100))))))</f>
        <v/>
      </c>
      <c r="H22" s="34">
        <f>IF(OR(F22="",G22=""),"",70%*F22+30%*G22)</f>
        <v/>
      </c>
      <c r="I22">
        <f>IF(H22="","",IF(H22&gt;=70,"BUY",IF(H22&gt;=40,"HOLD","SELL")))</f>
        <v/>
      </c>
    </row>
    <row r="23">
      <c r="A23" s="31" t="n">
        <v>46316</v>
      </c>
      <c r="B23" s="24" t="n">
        <v>54976.9</v>
      </c>
      <c r="C23" s="25" t="n">
        <v>12.7</v>
      </c>
      <c r="D23" s="26" t="n">
        <v>0.0223880597015</v>
      </c>
      <c r="E23" s="26" t="n">
        <v>0.213431221625</v>
      </c>
      <c r="F23" s="34">
        <f>IF(D23="","",100*(1-D23))</f>
        <v/>
      </c>
      <c r="G23" s="34">
        <f>IF(E23="","",IF(E23&lt;=0,20,IF(E23&lt;5%,20+400*E23,IF(E23&lt;10%,40+400*(E23-5%),IF(E23&lt;15%,60+400*(E23-10%),IF(E23&lt;25%,80+200*(E23-15%),100))))))</f>
        <v/>
      </c>
      <c r="H23" s="34">
        <f>IF(OR(F23="",G23=""),"",70%*F23+30%*G23)</f>
        <v/>
      </c>
      <c r="I23">
        <f>IF(H23="","",IF(H23&gt;=70,"BUY",IF(H23&gt;=40,"HOLD","SELL")))</f>
        <v/>
      </c>
    </row>
    <row r="24">
      <c r="A24" s="31" t="n">
        <v>46317</v>
      </c>
      <c r="B24" s="24" t="n">
        <v>54925.7</v>
      </c>
      <c r="C24" s="25" t="n">
        <v>12.61</v>
      </c>
      <c r="D24" s="26" t="n">
        <v>0.00746268656716</v>
      </c>
      <c r="E24" s="26" t="n">
        <v>0.220953579784</v>
      </c>
      <c r="F24" s="34">
        <f>IF(D24="","",100*(1-D24))</f>
        <v/>
      </c>
      <c r="G24" s="34">
        <f>IF(E24="","",IF(E24&lt;=0,20,IF(E24&lt;5%,20+400*E24,IF(E24&lt;10%,40+400*(E24-5%),IF(E24&lt;15%,60+400*(E24-10%),IF(E24&lt;25%,80+200*(E24-15%),100))))))</f>
        <v/>
      </c>
      <c r="H24" s="34">
        <f>IF(OR(F24="",G24=""),"",70%*F24+30%*G24)</f>
        <v/>
      </c>
      <c r="I24">
        <f>IF(H24="","",IF(H24&gt;=70,"BUY",IF(H24&gt;=40,"HOLD","SELL")))</f>
        <v/>
      </c>
    </row>
  </sheetData>
  <pageMargins left="0.3" right="0.3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12" customWidth="1" min="3" max="3"/>
    <col width="20" customWidth="1" min="4" max="4"/>
    <col width="22" customWidth="1" min="5" max="5"/>
  </cols>
  <sheetData>
    <row r="1">
      <c r="A1" s="35" t="inlineStr">
        <is>
          <t>NIFTY Bank Composition</t>
        </is>
      </c>
    </row>
    <row r="2">
      <c r="A2" s="2" t="inlineStr">
        <is>
          <t>As of</t>
        </is>
      </c>
      <c r="B2" s="4" t="inlineStr">
        <is>
          <t>2026-09-30</t>
        </is>
      </c>
      <c r="D2" s="2" t="inlineStr">
        <is>
          <t>Weight coverage</t>
        </is>
      </c>
      <c r="E2" s="26" t="n">
        <v>1</v>
      </c>
    </row>
    <row r="3">
      <c r="A3" s="2" t="inlineStr">
        <is>
          <t>Source</t>
        </is>
      </c>
      <c r="B3" s="17" t="inlineStr">
        <is>
          <t>NSE Indices — Indices Market Capitalisation &amp; Weightage</t>
        </is>
      </c>
      <c r="D3" s="2" t="inlineStr">
        <is>
          <t>Top 10 weight</t>
        </is>
      </c>
      <c r="E3" s="26" t="n">
        <v>0.8748999999999999</v>
      </c>
    </row>
    <row r="4"/>
    <row r="5">
      <c r="A5" s="36" t="inlineStr">
        <is>
          <t>Rank</t>
        </is>
      </c>
      <c r="B5" s="36" t="inlineStr">
        <is>
          <t>Company</t>
        </is>
      </c>
      <c r="C5" s="36" t="inlineStr">
        <is>
          <t>Symbol</t>
        </is>
      </c>
      <c r="D5" s="36" t="inlineStr">
        <is>
          <t>Sector / Industry</t>
        </is>
      </c>
      <c r="E5" s="36" t="inlineStr">
        <is>
          <t>Weight</t>
        </is>
      </c>
    </row>
    <row r="6">
      <c r="A6" t="n">
        <v>1</v>
      </c>
      <c r="B6" t="inlineStr">
        <is>
          <t>HDFC Bank Ltd.</t>
        </is>
      </c>
      <c r="C6" t="inlineStr">
        <is>
          <t>HDFCBANK</t>
        </is>
      </c>
      <c r="D6" t="inlineStr">
        <is>
          <t>Financial Services</t>
        </is>
      </c>
      <c r="E6" s="37" t="n">
        <v>0.1861</v>
      </c>
    </row>
    <row r="7">
      <c r="A7" t="n">
        <v>2</v>
      </c>
      <c r="B7" t="inlineStr">
        <is>
          <t>ICICI Bank Ltd.</t>
        </is>
      </c>
      <c r="C7" t="inlineStr">
        <is>
          <t>ICICIBANK</t>
        </is>
      </c>
      <c r="D7" t="inlineStr">
        <is>
          <t>Financial Services</t>
        </is>
      </c>
      <c r="E7" s="37" t="n">
        <v>0.1418</v>
      </c>
    </row>
    <row r="8">
      <c r="A8" t="n">
        <v>3</v>
      </c>
      <c r="B8" t="inlineStr">
        <is>
          <t>Kotak Mahindra Bank Ltd.</t>
        </is>
      </c>
      <c r="C8" t="inlineStr">
        <is>
          <t>KOTAKBANK</t>
        </is>
      </c>
      <c r="D8" t="inlineStr">
        <is>
          <t>Financial Services</t>
        </is>
      </c>
      <c r="E8" s="37" t="n">
        <v>0.102</v>
      </c>
    </row>
    <row r="9">
      <c r="A9" t="n">
        <v>4</v>
      </c>
      <c r="B9" t="inlineStr">
        <is>
          <t>Axis Bank Ltd.</t>
        </is>
      </c>
      <c r="C9" t="inlineStr">
        <is>
          <t>AXISBANK</t>
        </is>
      </c>
      <c r="D9" t="inlineStr">
        <is>
          <t>Financial Services</t>
        </is>
      </c>
      <c r="E9" s="37" t="n">
        <v>0.1006</v>
      </c>
    </row>
    <row r="10">
      <c r="A10" t="n">
        <v>5</v>
      </c>
      <c r="B10" t="inlineStr">
        <is>
          <t>State Bank of India</t>
        </is>
      </c>
      <c r="C10" t="inlineStr">
        <is>
          <t>SBIN</t>
        </is>
      </c>
      <c r="D10" t="inlineStr">
        <is>
          <t>Financial Services</t>
        </is>
      </c>
      <c r="E10" s="37" t="n">
        <v>0.0993</v>
      </c>
    </row>
    <row r="11">
      <c r="A11" t="n">
        <v>6</v>
      </c>
      <c r="B11" t="inlineStr">
        <is>
          <t>Federal Bank Ltd.</t>
        </is>
      </c>
      <c r="C11" t="inlineStr">
        <is>
          <t>FEDERALBNK</t>
        </is>
      </c>
      <c r="D11" t="inlineStr">
        <is>
          <t>Financial Services</t>
        </is>
      </c>
      <c r="E11" s="37" t="n">
        <v>0.06559999999999999</v>
      </c>
    </row>
    <row r="12">
      <c r="A12" t="n">
        <v>7</v>
      </c>
      <c r="B12" t="inlineStr">
        <is>
          <t>IndusInd Bank Ltd.</t>
        </is>
      </c>
      <c r="C12" t="inlineStr">
        <is>
          <t>INDUSINDBK</t>
        </is>
      </c>
      <c r="D12" t="inlineStr">
        <is>
          <t>Financial Services</t>
        </is>
      </c>
      <c r="E12" s="37" t="n">
        <v>0.04969999999999999</v>
      </c>
    </row>
    <row r="13">
      <c r="A13" t="n">
        <v>8</v>
      </c>
      <c r="B13" t="inlineStr">
        <is>
          <t>AU Small Finance Bank Ltd.</t>
        </is>
      </c>
      <c r="C13" t="inlineStr">
        <is>
          <t>AUBANK</t>
        </is>
      </c>
      <c r="D13" t="inlineStr">
        <is>
          <t>Financial Services</t>
        </is>
      </c>
      <c r="E13" s="37" t="n">
        <v>0.04849999999999999</v>
      </c>
    </row>
    <row r="14">
      <c r="A14" t="n">
        <v>9</v>
      </c>
      <c r="B14" t="inlineStr">
        <is>
          <t>IDFC First Bank Ltd.</t>
        </is>
      </c>
      <c r="C14" t="inlineStr">
        <is>
          <t>IDFCFIRSTB</t>
        </is>
      </c>
      <c r="D14" t="inlineStr">
        <is>
          <t>Financial Services</t>
        </is>
      </c>
      <c r="E14" s="37" t="n">
        <v>0.0454</v>
      </c>
    </row>
    <row r="15">
      <c r="A15" t="n">
        <v>10</v>
      </c>
      <c r="B15" t="inlineStr">
        <is>
          <t>Bank of Baroda</t>
        </is>
      </c>
      <c r="C15" t="inlineStr">
        <is>
          <t>BANKBARODA</t>
        </is>
      </c>
      <c r="D15" t="inlineStr">
        <is>
          <t>Financial Services</t>
        </is>
      </c>
      <c r="E15" s="37" t="n">
        <v>0.0359</v>
      </c>
    </row>
    <row r="16">
      <c r="A16" t="n">
        <v>11</v>
      </c>
      <c r="B16" t="inlineStr">
        <is>
          <t>Canara Bank</t>
        </is>
      </c>
      <c r="C16" t="inlineStr">
        <is>
          <t>CANBK</t>
        </is>
      </c>
      <c r="D16" t="inlineStr">
        <is>
          <t>Financial Services</t>
        </is>
      </c>
      <c r="E16" s="37" t="n">
        <v>0.0337</v>
      </c>
    </row>
    <row r="17">
      <c r="A17" t="n">
        <v>12</v>
      </c>
      <c r="B17" t="inlineStr">
        <is>
          <t>Punjab National Bank</t>
        </is>
      </c>
      <c r="C17" t="inlineStr">
        <is>
          <t>PNB</t>
        </is>
      </c>
      <c r="D17" t="inlineStr">
        <is>
          <t>Financial Services</t>
        </is>
      </c>
      <c r="E17" s="37" t="n">
        <v>0.0327</v>
      </c>
    </row>
    <row r="18">
      <c r="A18" t="n">
        <v>13</v>
      </c>
      <c r="B18" t="inlineStr">
        <is>
          <t>Yes Bank Ltd.</t>
        </is>
      </c>
      <c r="C18" t="inlineStr">
        <is>
          <t>YESBANK</t>
        </is>
      </c>
      <c r="D18" t="inlineStr">
        <is>
          <t>Financial Services</t>
        </is>
      </c>
      <c r="E18" s="37" t="n">
        <v>0.0301</v>
      </c>
    </row>
    <row r="19">
      <c r="A19" t="n">
        <v>14</v>
      </c>
      <c r="B19" t="inlineStr">
        <is>
          <t>Union Bank of India</t>
        </is>
      </c>
      <c r="C19" t="inlineStr">
        <is>
          <t>UNIONBANK</t>
        </is>
      </c>
      <c r="D19" t="inlineStr">
        <is>
          <t>Financial Services</t>
        </is>
      </c>
      <c r="E19" s="37" t="n">
        <v>0.0286</v>
      </c>
    </row>
  </sheetData>
  <mergeCells count="1">
    <mergeCell ref="A1:E1"/>
  </mergeCells>
  <hyperlinks>
    <hyperlink xmlns:r="http://schemas.openxmlformats.org/officeDocument/2006/relationships" ref="B3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92" customWidth="1" min="1" max="1"/>
    <col width="55" customWidth="1" min="2" max="2"/>
  </cols>
  <sheetData>
    <row r="1">
      <c r="A1" s="5" t="inlineStr">
        <is>
          <t>Sources</t>
        </is>
      </c>
    </row>
    <row r="2">
      <c r="A2" t="inlineStr">
        <is>
          <t>NSE Indices daily archive</t>
        </is>
      </c>
      <c r="B2" s="17" t="inlineStr">
        <is>
          <t>https://www.nseindia.com/all-reports</t>
        </is>
      </c>
    </row>
    <row r="3">
      <c r="A3" t="inlineStr">
        <is>
          <t>NSE index archive files</t>
        </is>
      </c>
      <c r="B3" s="17" t="inlineStr">
        <is>
          <t>https://nsearchives.nseindia.com/content/indices</t>
        </is>
      </c>
    </row>
    <row r="5">
      <c r="A5" s="5" t="inlineStr">
        <is>
          <t>Methodology</t>
        </is>
      </c>
    </row>
    <row r="6">
      <c r="A6" t="inlineStr">
        <is>
          <t>All P/E, implied EPS and return calculations are specific to the selected index.</t>
        </is>
      </c>
    </row>
    <row r="7">
      <c r="A7" t="inlineStr">
        <is>
          <t>Valuation score = 100 × (1 − own-index P/E percentile).</t>
        </is>
      </c>
    </row>
    <row r="8">
      <c r="A8" t="inlineStr">
        <is>
          <t>Growth score is based on YoY change in own-index implied EPS.</t>
        </is>
      </c>
    </row>
    <row r="9">
      <c r="A9" t="inlineStr">
        <is>
          <t>Composite score = 70% valuation score + 30% growth score.</t>
        </is>
      </c>
    </row>
    <row r="10">
      <c r="A10" t="inlineStr">
        <is>
          <t>BUY ≥ 70; HOLD 40 to &lt;70; SELL &lt;40.</t>
        </is>
      </c>
    </row>
    <row r="11">
      <c r="A11" t="inlineStr">
        <is>
          <t>NIFTY 50 uses the canonical long-history quarter-end backtest where available; other indices use the multi-index archive history.</t>
        </is>
      </c>
    </row>
  </sheetData>
  <mergeCells count="2">
    <mergeCell ref="A1:D1"/>
    <mergeCell ref="A5:D5"/>
  </mergeCells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3" right="0.3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2026-10-22T17:38:58Z</dcterms:created>
  <dcterms:modified xsi:type="dcterms:W3CDTF">2026-10-22T17:39:27Z</dcterms:modified>
</cp:coreProperties>
</file>