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Core Housing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14836.9</v>
      </c>
      <c r="D5" s="2" t="inlineStr">
        <is>
          <t>P/E</t>
        </is>
      </c>
      <c r="E5" s="7" t="n">
        <v>30.69</v>
      </c>
    </row>
    <row r="6">
      <c r="A6" s="2" t="inlineStr">
        <is>
          <t>P/E percentile</t>
        </is>
      </c>
      <c r="B6" s="8" t="n">
        <v>0.08536585365853659</v>
      </c>
      <c r="D6" s="2" t="inlineStr">
        <is>
          <t>Implied EPS</t>
        </is>
      </c>
      <c r="E6" s="9" t="n">
        <v>483.4441186054089</v>
      </c>
    </row>
    <row r="7">
      <c r="A7" s="2" t="inlineStr">
        <is>
          <t>YoY implied EPS growth</t>
        </is>
      </c>
      <c r="B7" s="8" t="n">
        <v>0.1270970292216027</v>
      </c>
      <c r="D7" s="2" t="inlineStr">
        <is>
          <t>Earnings yield</t>
        </is>
      </c>
      <c r="E7" s="10" t="n">
        <v>0.03258390355164548</v>
      </c>
    </row>
    <row r="8">
      <c r="A8" s="2" t="inlineStr">
        <is>
          <t>Valuation score</t>
        </is>
      </c>
      <c r="B8" s="11" t="n">
        <v>91.46341463414635</v>
      </c>
      <c r="D8" s="2" t="inlineStr">
        <is>
          <t>Growth score</t>
        </is>
      </c>
      <c r="E8" s="11" t="n">
        <v>70.83881168864109</v>
      </c>
    </row>
    <row r="9">
      <c r="A9" s="2" t="inlineStr">
        <is>
          <t>Composite score</t>
        </is>
      </c>
      <c r="B9" s="11" t="n">
        <v>85.27603375049478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33.77725555473776</v>
      </c>
      <c r="C13" s="15" t="n">
        <v>16329.41554056985</v>
      </c>
      <c r="D13" s="16" t="n">
        <v>0.1005948372348568</v>
      </c>
    </row>
    <row r="14">
      <c r="A14" t="inlineStr">
        <is>
          <t>HOLD → SELL</t>
        </is>
      </c>
      <c r="B14" s="14" t="n">
        <v>37.59026296105477</v>
      </c>
      <c r="C14" s="15" t="n">
        <v>18172.79154535267</v>
      </c>
      <c r="D14" s="16" t="n">
        <v>0.2248375028040002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2</v>
      </c>
      <c r="C18" s="16" t="n">
        <v>0.4614616927891102</v>
      </c>
      <c r="D18" s="16" t="n">
        <v>0.09313330087419724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3</v>
      </c>
      <c r="C19" s="16" t="n">
        <v>0.4426949367712574</v>
      </c>
      <c r="D19" s="16" t="n"/>
      <c r="E19" s="16" t="n"/>
      <c r="F19" s="16" t="n"/>
      <c r="G19" s="16" t="n"/>
    </row>
    <row r="20">
      <c r="A20" t="inlineStr">
        <is>
          <t>Q3</t>
        </is>
      </c>
      <c r="B20" t="n">
        <v>2</v>
      </c>
      <c r="C20" s="16" t="n">
        <v>0.09132913532371945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3</v>
      </c>
      <c r="C21" s="16" t="n">
        <v>-0.09681861379749596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3</v>
      </c>
      <c r="C22" s="16" t="n">
        <v>-0.05388591234729123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40</v>
      </c>
    </row>
    <row r="26">
      <c r="A26" s="2" t="inlineStr">
        <is>
          <t>Quarter-end P/E observations</t>
        </is>
      </c>
      <c r="B26" t="n">
        <v>13</v>
      </c>
    </row>
    <row r="27">
      <c r="A27" s="2" t="inlineStr">
        <is>
          <t>Backtest start</t>
        </is>
      </c>
      <c r="B27" t="inlineStr">
        <is>
          <t>2023-06-30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45077</v>
      </c>
      <c r="B2" s="6" t="n">
        <v>11183.24</v>
      </c>
      <c r="C2" s="7" t="n">
        <v>28.99</v>
      </c>
      <c r="D2" s="19">
        <f>IFERROR(B2/C2,"")</f>
        <v/>
      </c>
      <c r="E2" s="20">
        <f>IFERROR(1/C2,"")</f>
        <v/>
      </c>
    </row>
    <row r="3">
      <c r="A3" s="18" t="n">
        <v>45107</v>
      </c>
      <c r="B3" s="6" t="n">
        <v>11683.44</v>
      </c>
      <c r="C3" s="7" t="n">
        <v>30.05</v>
      </c>
      <c r="D3" s="19">
        <f>IFERROR(B3/C3,"")</f>
        <v/>
      </c>
      <c r="E3" s="20">
        <f>IFERROR(1/C3,"")</f>
        <v/>
      </c>
    </row>
    <row r="4">
      <c r="A4" s="18" t="n">
        <v>45138</v>
      </c>
      <c r="B4" s="6" t="n">
        <v>12094.62</v>
      </c>
      <c r="C4" s="7" t="n">
        <v>33.88</v>
      </c>
      <c r="D4" s="19">
        <f>IFERROR(B4/C4,"")</f>
        <v/>
      </c>
      <c r="E4" s="20">
        <f>IFERROR(1/C4,"")</f>
        <v/>
      </c>
    </row>
    <row r="5">
      <c r="A5" s="18" t="n">
        <v>45169</v>
      </c>
      <c r="B5" s="6" t="n">
        <v>12150.58</v>
      </c>
      <c r="C5" s="7" t="n">
        <v>33.76</v>
      </c>
      <c r="D5" s="19">
        <f>IFERROR(B5/C5,"")</f>
        <v/>
      </c>
      <c r="E5" s="20">
        <f>IFERROR(1/C5,"")</f>
        <v/>
      </c>
    </row>
    <row r="6">
      <c r="A6" s="18" t="n">
        <v>45199</v>
      </c>
      <c r="B6" s="6" t="n">
        <v>12374.91</v>
      </c>
      <c r="C6" s="7" t="n">
        <v>34.62</v>
      </c>
      <c r="D6" s="19">
        <f>IFERROR(B6/C6,"")</f>
        <v/>
      </c>
      <c r="E6" s="20">
        <f>IFERROR(1/C6,"")</f>
        <v/>
      </c>
    </row>
    <row r="7">
      <c r="A7" s="18" t="n">
        <v>45230</v>
      </c>
      <c r="B7" s="6" t="n">
        <v>12108.85</v>
      </c>
      <c r="C7" s="7" t="n">
        <v>32.25</v>
      </c>
      <c r="D7" s="19">
        <f>IFERROR(B7/C7,"")</f>
        <v/>
      </c>
      <c r="E7" s="20">
        <f>IFERROR(1/C7,"")</f>
        <v/>
      </c>
    </row>
    <row r="8">
      <c r="A8" s="18" t="n">
        <v>45260</v>
      </c>
      <c r="B8" s="6" t="n">
        <v>13056.61</v>
      </c>
      <c r="C8" s="7" t="n">
        <v>32.26</v>
      </c>
      <c r="D8" s="19">
        <f>IFERROR(B8/C8,"")</f>
        <v/>
      </c>
      <c r="E8" s="20">
        <f>IFERROR(1/C8,"")</f>
        <v/>
      </c>
    </row>
    <row r="9">
      <c r="A9" s="18" t="n">
        <v>45291</v>
      </c>
      <c r="B9" s="6" t="n">
        <v>14311.64</v>
      </c>
      <c r="C9" s="7" t="n">
        <v>35.69</v>
      </c>
      <c r="D9" s="19">
        <f>IFERROR(B9/C9,"")</f>
        <v/>
      </c>
      <c r="E9" s="20">
        <f>IFERROR(1/C9,"")</f>
        <v/>
      </c>
    </row>
    <row r="10">
      <c r="A10" s="18" t="n">
        <v>45322</v>
      </c>
      <c r="B10" s="6" t="n">
        <v>14310.63</v>
      </c>
      <c r="C10" s="7" t="n">
        <v>34.59</v>
      </c>
      <c r="D10" s="19">
        <f>IFERROR(B10/C10,"")</f>
        <v/>
      </c>
      <c r="E10" s="20">
        <f>IFERROR(1/C10,"")</f>
        <v/>
      </c>
    </row>
    <row r="11">
      <c r="A11" s="18" t="n">
        <v>45351</v>
      </c>
      <c r="B11" s="6" t="n">
        <v>14480.06</v>
      </c>
      <c r="C11" s="7" t="n">
        <v>34.95</v>
      </c>
      <c r="D11" s="19">
        <f>IFERROR(B11/C11,"")</f>
        <v/>
      </c>
      <c r="E11" s="20">
        <f>IFERROR(1/C11,"")</f>
        <v/>
      </c>
    </row>
    <row r="12">
      <c r="A12" s="18" t="n">
        <v>45382</v>
      </c>
      <c r="B12" s="6" t="n">
        <v>14428.62</v>
      </c>
      <c r="C12" s="7" t="n">
        <v>35.05</v>
      </c>
      <c r="D12" s="19">
        <f>IFERROR(B12/C12,"")</f>
        <v/>
      </c>
      <c r="E12" s="20">
        <f>IFERROR(1/C12,"")</f>
        <v/>
      </c>
    </row>
    <row r="13">
      <c r="A13" s="18" t="n">
        <v>45412</v>
      </c>
      <c r="B13" s="6" t="n">
        <v>15256.45</v>
      </c>
      <c r="C13" s="7" t="n">
        <v>36.85</v>
      </c>
      <c r="D13" s="19">
        <f>IFERROR(B13/C13,"")</f>
        <v/>
      </c>
      <c r="E13" s="20">
        <f>IFERROR(1/C13,"")</f>
        <v/>
      </c>
    </row>
    <row r="14">
      <c r="A14" s="18" t="n">
        <v>45443</v>
      </c>
      <c r="B14" s="6" t="n">
        <v>15646.41</v>
      </c>
      <c r="C14" s="7" t="n">
        <v>36.79</v>
      </c>
      <c r="D14" s="19">
        <f>IFERROR(B14/C14,"")</f>
        <v/>
      </c>
      <c r="E14" s="20">
        <f>IFERROR(1/C14,"")</f>
        <v/>
      </c>
    </row>
    <row r="15">
      <c r="A15" s="18" t="n">
        <v>45473</v>
      </c>
      <c r="B15" s="6" t="n">
        <v>17074.9</v>
      </c>
      <c r="C15" s="7" t="n">
        <v>40.02</v>
      </c>
      <c r="D15" s="19">
        <f>IFERROR(B15/C15,"")</f>
        <v/>
      </c>
      <c r="E15" s="20">
        <f>IFERROR(1/C15,"")</f>
        <v/>
      </c>
    </row>
    <row r="16">
      <c r="A16" s="18" t="n">
        <v>45504</v>
      </c>
      <c r="B16" s="6" t="n">
        <v>17405.52</v>
      </c>
      <c r="C16" s="7" t="n">
        <v>41.04</v>
      </c>
      <c r="D16" s="19">
        <f>IFERROR(B16/C16,"")</f>
        <v/>
      </c>
      <c r="E16" s="20">
        <f>IFERROR(1/C16,"")</f>
        <v/>
      </c>
    </row>
    <row r="17">
      <c r="A17" s="18" t="n">
        <v>45535</v>
      </c>
      <c r="B17" s="6" t="n">
        <v>17150.58</v>
      </c>
      <c r="C17" s="7" t="n">
        <v>40.06</v>
      </c>
      <c r="D17" s="19">
        <f>IFERROR(B17/C17,"")</f>
        <v/>
      </c>
      <c r="E17" s="20">
        <f>IFERROR(1/C17,"")</f>
        <v/>
      </c>
    </row>
    <row r="18">
      <c r="A18" s="18" t="n">
        <v>45565</v>
      </c>
      <c r="B18" s="6" t="n">
        <v>17853.22</v>
      </c>
      <c r="C18" s="7" t="n">
        <v>42.24</v>
      </c>
      <c r="D18" s="19">
        <f>IFERROR(B18/C18,"")</f>
        <v/>
      </c>
      <c r="E18" s="20">
        <f>IFERROR(1/C18,"")</f>
        <v/>
      </c>
    </row>
    <row r="19">
      <c r="A19" s="18" t="n">
        <v>45596</v>
      </c>
      <c r="B19" s="6" t="n">
        <v>16402.59</v>
      </c>
      <c r="C19" s="7" t="n">
        <v>38.45</v>
      </c>
      <c r="D19" s="19">
        <f>IFERROR(B19/C19,"")</f>
        <v/>
      </c>
      <c r="E19" s="20">
        <f>IFERROR(1/C19,"")</f>
        <v/>
      </c>
    </row>
    <row r="20">
      <c r="A20" s="18" t="n">
        <v>45626</v>
      </c>
      <c r="B20" s="6" t="n">
        <v>16328.7</v>
      </c>
      <c r="C20" s="7" t="n">
        <v>44.93</v>
      </c>
      <c r="D20" s="19">
        <f>IFERROR(B20/C20,"")</f>
        <v/>
      </c>
      <c r="E20" s="20">
        <f>IFERROR(1/C20,"")</f>
        <v/>
      </c>
    </row>
    <row r="21">
      <c r="A21" s="18" t="n">
        <v>45657</v>
      </c>
      <c r="B21" s="6" t="n">
        <v>16387.4</v>
      </c>
      <c r="C21" s="7" t="n">
        <v>45.39</v>
      </c>
      <c r="D21" s="19">
        <f>IFERROR(B21/C21,"")</f>
        <v/>
      </c>
      <c r="E21" s="20">
        <f>IFERROR(1/C21,"")</f>
        <v/>
      </c>
    </row>
    <row r="22">
      <c r="A22" s="18" t="n">
        <v>45688</v>
      </c>
      <c r="B22" s="6" t="n">
        <v>15243.7</v>
      </c>
      <c r="C22" s="7" t="n">
        <v>40.46</v>
      </c>
      <c r="D22" s="19">
        <f>IFERROR(B22/C22,"")</f>
        <v/>
      </c>
      <c r="E22" s="20">
        <f>IFERROR(1/C22,"")</f>
        <v/>
      </c>
    </row>
    <row r="23">
      <c r="A23" s="18" t="n">
        <v>45716</v>
      </c>
      <c r="B23" s="6" t="n">
        <v>13773.75</v>
      </c>
      <c r="C23" s="7" t="n">
        <v>37.51</v>
      </c>
      <c r="D23" s="19">
        <f>IFERROR(B23/C23,"")</f>
        <v/>
      </c>
      <c r="E23" s="20">
        <f>IFERROR(1/C23,"")</f>
        <v/>
      </c>
    </row>
    <row r="24">
      <c r="A24" s="18" t="n">
        <v>45747</v>
      </c>
      <c r="B24" s="6" t="n">
        <v>14971.4</v>
      </c>
      <c r="C24" s="7" t="n">
        <v>36.84</v>
      </c>
      <c r="D24" s="19">
        <f>IFERROR(B24/C24,"")</f>
        <v/>
      </c>
      <c r="E24" s="20">
        <f>IFERROR(1/C24,"")</f>
        <v/>
      </c>
    </row>
    <row r="25">
      <c r="A25" s="18" t="n">
        <v>45777</v>
      </c>
      <c r="B25" s="6" t="n">
        <v>15430.35</v>
      </c>
      <c r="C25" s="7" t="n">
        <v>37.79</v>
      </c>
      <c r="D25" s="19">
        <f>IFERROR(B25/C25,"")</f>
        <v/>
      </c>
      <c r="E25" s="20">
        <f>IFERROR(1/C25,"")</f>
        <v/>
      </c>
    </row>
    <row r="26">
      <c r="A26" s="18" t="n">
        <v>45808</v>
      </c>
      <c r="B26" s="6" t="n">
        <v>15371.2</v>
      </c>
      <c r="C26" s="7" t="n">
        <v>37.11</v>
      </c>
      <c r="D26" s="19">
        <f>IFERROR(B26/C26,"")</f>
        <v/>
      </c>
      <c r="E26" s="20">
        <f>IFERROR(1/C26,"")</f>
        <v/>
      </c>
    </row>
    <row r="27">
      <c r="A27" s="18" t="n">
        <v>45838</v>
      </c>
      <c r="B27" s="6" t="n">
        <v>16253.2</v>
      </c>
      <c r="C27" s="7" t="n">
        <v>39.32</v>
      </c>
      <c r="D27" s="19">
        <f>IFERROR(B27/C27,"")</f>
        <v/>
      </c>
      <c r="E27" s="20">
        <f>IFERROR(1/C27,"")</f>
        <v/>
      </c>
    </row>
    <row r="28">
      <c r="A28" s="18" t="n">
        <v>45869</v>
      </c>
      <c r="B28" s="6" t="n">
        <v>16063.5</v>
      </c>
      <c r="C28" s="7" t="n">
        <v>38</v>
      </c>
      <c r="D28" s="19">
        <f>IFERROR(B28/C28,"")</f>
        <v/>
      </c>
      <c r="E28" s="20">
        <f>IFERROR(1/C28,"")</f>
        <v/>
      </c>
    </row>
    <row r="29">
      <c r="A29" s="18" t="n">
        <v>45900</v>
      </c>
      <c r="B29" s="6" t="n">
        <v>16025.95</v>
      </c>
      <c r="C29" s="7" t="n">
        <v>37.36</v>
      </c>
      <c r="D29" s="19">
        <f>IFERROR(B29/C29,"")</f>
        <v/>
      </c>
      <c r="E29" s="20">
        <f>IFERROR(1/C29,"")</f>
        <v/>
      </c>
    </row>
    <row r="30">
      <c r="A30" s="18" t="n">
        <v>45930</v>
      </c>
      <c r="B30" s="6" t="n">
        <v>15661.95</v>
      </c>
      <c r="C30" s="7" t="n">
        <v>37.22</v>
      </c>
      <c r="D30" s="19">
        <f>IFERROR(B30/C30,"")</f>
        <v/>
      </c>
      <c r="E30" s="20">
        <f>IFERROR(1/C30,"")</f>
        <v/>
      </c>
    </row>
    <row r="31">
      <c r="A31" s="18" t="n">
        <v>45961</v>
      </c>
      <c r="B31" s="6" t="n">
        <v>16118.7</v>
      </c>
      <c r="C31" s="7" t="n">
        <v>37.14</v>
      </c>
      <c r="D31" s="19">
        <f>IFERROR(B31/C31,"")</f>
        <v/>
      </c>
      <c r="E31" s="20">
        <f>IFERROR(1/C31,"")</f>
        <v/>
      </c>
    </row>
    <row r="32">
      <c r="A32" s="18" t="n">
        <v>45991</v>
      </c>
      <c r="B32" s="6" t="n">
        <v>15779.8</v>
      </c>
      <c r="C32" s="7" t="n">
        <v>34.9</v>
      </c>
      <c r="D32" s="19">
        <f>IFERROR(B32/C32,"")</f>
        <v/>
      </c>
      <c r="E32" s="20">
        <f>IFERROR(1/C32,"")</f>
        <v/>
      </c>
    </row>
    <row r="33">
      <c r="A33" s="18" t="n">
        <v>46022</v>
      </c>
      <c r="B33" s="6" t="n">
        <v>15504.35</v>
      </c>
      <c r="C33" s="7" t="n">
        <v>34.36</v>
      </c>
      <c r="D33" s="19">
        <f>IFERROR(B33/C33,"")</f>
        <v/>
      </c>
      <c r="E33" s="20">
        <f>IFERROR(1/C33,"")</f>
        <v/>
      </c>
    </row>
    <row r="34">
      <c r="A34" s="18" t="n">
        <v>46053</v>
      </c>
      <c r="B34" s="6" t="n">
        <v>14664.65</v>
      </c>
      <c r="C34" s="7" t="n">
        <v>32.35</v>
      </c>
      <c r="D34" s="19">
        <f>IFERROR(B34/C34,"")</f>
        <v/>
      </c>
      <c r="E34" s="20">
        <f>IFERROR(1/C34,"")</f>
        <v/>
      </c>
    </row>
    <row r="35">
      <c r="A35" s="18" t="n">
        <v>46081</v>
      </c>
      <c r="B35" s="6" t="n">
        <v>15084.2</v>
      </c>
      <c r="C35" s="7" t="n">
        <v>33.44</v>
      </c>
      <c r="D35" s="19">
        <f>IFERROR(B35/C35,"")</f>
        <v/>
      </c>
      <c r="E35" s="20">
        <f>IFERROR(1/C35,"")</f>
        <v/>
      </c>
    </row>
    <row r="36">
      <c r="A36" s="18" t="n">
        <v>46112</v>
      </c>
      <c r="B36" s="6" t="n">
        <v>12986.1</v>
      </c>
      <c r="C36" s="7" t="n">
        <v>28.8</v>
      </c>
      <c r="D36" s="19">
        <f>IFERROR(B36/C36,"")</f>
        <v/>
      </c>
      <c r="E36" s="20">
        <f>IFERROR(1/C36,"")</f>
        <v/>
      </c>
    </row>
    <row r="37">
      <c r="A37" s="18" t="n">
        <v>46142</v>
      </c>
      <c r="B37" s="6" t="n">
        <v>14747.25</v>
      </c>
      <c r="C37" s="7" t="n">
        <v>32.21</v>
      </c>
      <c r="D37" s="19">
        <f>IFERROR(B37/C37,"")</f>
        <v/>
      </c>
      <c r="E37" s="20">
        <f>IFERROR(1/C37,"")</f>
        <v/>
      </c>
    </row>
    <row r="38">
      <c r="A38" s="18" t="n">
        <v>46173</v>
      </c>
      <c r="B38" s="6" t="n">
        <v>15037.85</v>
      </c>
      <c r="C38" s="7" t="n">
        <v>32.75</v>
      </c>
      <c r="D38" s="19">
        <f>IFERROR(B38/C38,"")</f>
        <v/>
      </c>
      <c r="E38" s="20">
        <f>IFERROR(1/C38,"")</f>
        <v/>
      </c>
    </row>
    <row r="39">
      <c r="A39" s="18" t="n">
        <v>46203</v>
      </c>
      <c r="B39" s="6" t="n">
        <v>15261.25</v>
      </c>
      <c r="C39" s="7" t="n">
        <v>33.08</v>
      </c>
      <c r="D39" s="19">
        <f>IFERROR(B39/C39,"")</f>
        <v/>
      </c>
      <c r="E39" s="20">
        <f>IFERROR(1/C39,"")</f>
        <v/>
      </c>
    </row>
    <row r="40">
      <c r="A40" s="18" t="n">
        <v>46234</v>
      </c>
      <c r="B40" s="6" t="n">
        <v>15859.55</v>
      </c>
      <c r="C40" s="7" t="n">
        <v>33.93</v>
      </c>
      <c r="D40" s="19">
        <f>IFERROR(B40/C40,"")</f>
        <v/>
      </c>
      <c r="E40" s="20">
        <f>IFERROR(1/C40,"")</f>
        <v/>
      </c>
    </row>
    <row r="41">
      <c r="A41" s="18" t="n">
        <v>46265</v>
      </c>
      <c r="B41" s="6" t="n">
        <v>15834.05</v>
      </c>
      <c r="C41" s="7" t="n">
        <v>32.75</v>
      </c>
      <c r="D41" s="19">
        <f>IFERROR(B41/C41,"")</f>
        <v/>
      </c>
      <c r="E41" s="20">
        <f>IFERROR(1/C41,"")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45107</v>
      </c>
      <c r="B2" s="6" t="n">
        <v>11683.44</v>
      </c>
      <c r="C2" s="7" t="n">
        <v>30.05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IF(C2="","",(COUNTIFS($D$2:$D$14,D2,$C$2:$C$14,"&gt;0",$C$2:$C$14,"&lt;"&amp;C2)+(COUNTIFS($D$2:$D$14,D2,$C$2:$C$14,C2)+1)/2)/COUNTIFS($D$2:$D$14,D2,$C$2:$C$14,"&gt;0"))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45199</v>
      </c>
      <c r="B3" s="6" t="n">
        <v>12374.91</v>
      </c>
      <c r="C3" s="7" t="n">
        <v>34.62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IF(C3="","",(COUNTIFS($D$2:$D$14,D3,$C$2:$C$14,"&gt;0",$C$2:$C$14,"&lt;"&amp;C3)+(COUNTIFS($D$2:$D$14,D3,$C$2:$C$14,C3)+1)/2)/COUNTIFS($D$2:$D$14,D3,$C$2:$C$14,"&gt;0"))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 t="n"/>
      <c r="K3" s="16" t="n"/>
      <c r="L3" s="16" t="n"/>
    </row>
    <row r="4">
      <c r="A4" s="18" t="n">
        <v>45291</v>
      </c>
      <c r="B4" s="6" t="n">
        <v>14311.64</v>
      </c>
      <c r="C4" s="7" t="n">
        <v>35.69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IF(C4="","",(COUNTIFS($D$2:$D$14,D4,$C$2:$C$14,"&gt;0",$C$2:$C$14,"&lt;"&amp;C4)+(COUNTIFS($D$2:$D$14,D4,$C$2:$C$14,C4)+1)/2)/COUNTIFS($D$2:$D$14,D4,$C$2:$C$14,"&gt;0"))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 t="n"/>
      <c r="K4" s="16" t="n"/>
      <c r="L4" s="16" t="n"/>
    </row>
    <row r="5">
      <c r="A5" s="18" t="n">
        <v>45382</v>
      </c>
      <c r="B5" s="6" t="n">
        <v>14428.62</v>
      </c>
      <c r="C5" s="7" t="n">
        <v>35.05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IF(C5="","",(COUNTIFS($D$2:$D$14,D5,$C$2:$C$14,"&gt;0",$C$2:$C$14,"&lt;"&amp;C5)+(COUNTIFS($D$2:$D$14,D5,$C$2:$C$14,C5)+1)/2)/COUNTIFS($D$2:$D$14,D5,$C$2:$C$14,"&gt;0"))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 t="n"/>
      <c r="K5" s="16" t="n"/>
      <c r="L5" s="16" t="n"/>
    </row>
    <row r="6">
      <c r="A6" s="18" t="n">
        <v>45473</v>
      </c>
      <c r="B6" s="6" t="n">
        <v>17074.9</v>
      </c>
      <c r="C6" s="7" t="n">
        <v>40.02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IF(C6="","",(COUNTIFS($D$2:$D$14,D6,$C$2:$C$14,"&gt;0",$C$2:$C$14,"&lt;"&amp;C6)+(COUNTIFS($D$2:$D$14,D6,$C$2:$C$14,C6)+1)/2)/COUNTIFS($D$2:$D$14,D6,$C$2:$C$14,"&gt;0"))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45565</v>
      </c>
      <c r="B7" s="6" t="n">
        <v>17853.22</v>
      </c>
      <c r="C7" s="7" t="n">
        <v>42.24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IF(C7="","",(COUNTIFS($D$2:$D$14,D7,$C$2:$C$14,"&gt;0",$C$2:$C$14,"&lt;"&amp;C7)+(COUNTIFS($D$2:$D$14,D7,$C$2:$C$14,C7)+1)/2)/COUNTIFS($D$2:$D$14,D7,$C$2:$C$14,"&gt;0"))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45657</v>
      </c>
      <c r="B8" s="6" t="n">
        <v>16387.4</v>
      </c>
      <c r="C8" s="7" t="n">
        <v>45.39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IF(C8="","",(COUNTIFS($D$2:$D$14,D8,$C$2:$C$14,"&gt;0",$C$2:$C$14,"&lt;"&amp;C8)+(COUNTIFS($D$2:$D$14,D8,$C$2:$C$14,C8)+1)/2)/COUNTIFS($D$2:$D$14,D8,$C$2:$C$14,"&gt;0"))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45747</v>
      </c>
      <c r="B9" s="6" t="n">
        <v>14971.4</v>
      </c>
      <c r="C9" s="7" t="n">
        <v>36.84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IF(C9="","",(COUNTIFS($D$2:$D$14,D9,$C$2:$C$14,"&gt;0",$C$2:$C$14,"&lt;"&amp;C9)+(COUNTIFS($D$2:$D$14,D9,$C$2:$C$14,C9)+1)/2)/COUNTIFS($D$2:$D$14,D9,$C$2:$C$14,"&gt;0"))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45838</v>
      </c>
      <c r="B10" s="6" t="n">
        <v>16253.2</v>
      </c>
      <c r="C10" s="7" t="n">
        <v>39.32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IF(C10="","",(COUNTIFS($D$2:$D$14,D10,$C$2:$C$14,"&gt;0",$C$2:$C$14,"&lt;"&amp;C10)+(COUNTIFS($D$2:$D$14,D10,$C$2:$C$14,C10)+1)/2)/COUNTIFS($D$2:$D$14,D10,$C$2:$C$14,"&gt;0"))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45930</v>
      </c>
      <c r="B11" s="6" t="n">
        <v>15661.95</v>
      </c>
      <c r="C11" s="7" t="n">
        <v>37.22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IF(C11="","",(COUNTIFS($D$2:$D$14,D11,$C$2:$C$14,"&gt;0",$C$2:$C$14,"&lt;"&amp;C11)+(COUNTIFS($D$2:$D$14,D11,$C$2:$C$14,C11)+1)/2)/COUNTIFS($D$2:$D$14,D11,$C$2:$C$14,"&gt;0"))</f>
        <v/>
      </c>
      <c r="H11">
        <f>IF(G11="","",IF(G11&lt;=20%,"Q1 Cheapest",IF(G11&lt;=40%,"Q2",IF(G11&lt;=60%,"Q3",IF(G11&lt;=80%,"Q4","Q5 Most Expensive")))))</f>
        <v/>
      </c>
      <c r="I11" s="16" t="n"/>
      <c r="J11" s="16" t="n"/>
      <c r="K11" s="16" t="n"/>
      <c r="L11" s="16" t="n"/>
    </row>
    <row r="12">
      <c r="A12" s="18" t="n">
        <v>46022</v>
      </c>
      <c r="B12" s="6" t="n">
        <v>15504.35</v>
      </c>
      <c r="C12" s="7" t="n">
        <v>34.36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IF(C12="","",(COUNTIFS($D$2:$D$14,D12,$C$2:$C$14,"&gt;0",$C$2:$C$14,"&lt;"&amp;C12)+(COUNTIFS($D$2:$D$14,D12,$C$2:$C$14,C12)+1)/2)/COUNTIFS($D$2:$D$14,D12,$C$2:$C$14,"&gt;0"))</f>
        <v/>
      </c>
      <c r="H12">
        <f>IF(G12="","",IF(G12&lt;=20%,"Q1 Cheapest",IF(G12&lt;=40%,"Q2",IF(G12&lt;=60%,"Q3",IF(G12&lt;=80%,"Q4","Q5 Most Expensive")))))</f>
        <v/>
      </c>
      <c r="I12" s="16" t="n"/>
      <c r="J12" s="16" t="n"/>
      <c r="K12" s="16" t="n"/>
      <c r="L12" s="16" t="n"/>
    </row>
    <row r="13">
      <c r="A13" s="18" t="n">
        <v>46112</v>
      </c>
      <c r="B13" s="6" t="n">
        <v>12986.1</v>
      </c>
      <c r="C13" s="7" t="n">
        <v>28.8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IF(C13="","",(COUNTIFS($D$2:$D$14,D13,$C$2:$C$14,"&gt;0",$C$2:$C$14,"&lt;"&amp;C13)+(COUNTIFS($D$2:$D$14,D13,$C$2:$C$14,C13)+1)/2)/COUNTIFS($D$2:$D$14,D13,$C$2:$C$14,"&gt;0"))</f>
        <v/>
      </c>
      <c r="H13">
        <f>IF(G13="","",IF(G13&lt;=20%,"Q1 Cheapest",IF(G13&lt;=40%,"Q2",IF(G13&lt;=60%,"Q3",IF(G13&lt;=80%,"Q4","Q5 Most Expensive")))))</f>
        <v/>
      </c>
      <c r="I13" s="16" t="n"/>
      <c r="J13" s="16" t="n"/>
      <c r="K13" s="16" t="n"/>
      <c r="L13" s="16" t="n"/>
    </row>
    <row r="14">
      <c r="A14" s="18" t="n">
        <v>46203</v>
      </c>
      <c r="B14" s="6" t="n">
        <v>15261.25</v>
      </c>
      <c r="C14" s="7" t="n">
        <v>33.08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IF(C14="","",(COUNTIFS($D$2:$D$14,D14,$C$2:$C$14,"&gt;0",$C$2:$C$14,"&lt;"&amp;C14)+(COUNTIFS($D$2:$D$14,D14,$C$2:$C$14,C14)+1)/2)/COUNTIFS($D$2:$D$14,D14,$C$2:$C$14,"&gt;0"))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14836.9</v>
      </c>
      <c r="C2" s="7" t="n">
        <v>30.69</v>
      </c>
      <c r="D2" s="8" t="n">
        <v>0.0853658536585</v>
      </c>
      <c r="E2" s="8" t="n">
        <v>0.127097029222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2026-09-21T11:26:10Z</dcterms:created>
  <dcterms:modified xsi:type="dcterms:W3CDTF">2026-09-21T11:26:10Z</dcterms:modified>
</cp:coreProperties>
</file>