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 Services Sector Valuation Tracker</t>
        </is>
      </c>
    </row>
    <row r="2">
      <c r="A2" s="2" t="inlineStr">
        <is>
          <t>As of</t>
        </is>
      </c>
      <c r="B2" s="3" t="n">
        <v>46286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30061.5</v>
      </c>
      <c r="D5" s="2" t="inlineStr">
        <is>
          <t>P/E</t>
        </is>
      </c>
      <c r="E5" s="7" t="n">
        <v>18.54</v>
      </c>
    </row>
    <row r="6">
      <c r="A6" s="2" t="inlineStr">
        <is>
          <t>P/E percentile</t>
        </is>
      </c>
      <c r="B6" s="8" t="n">
        <v>0.02272727272727273</v>
      </c>
      <c r="D6" s="2" t="inlineStr">
        <is>
          <t>Implied EPS</t>
        </is>
      </c>
      <c r="E6" s="9" t="n">
        <v>1621.440129449838</v>
      </c>
    </row>
    <row r="7">
      <c r="A7" s="2" t="inlineStr">
        <is>
          <t>YoY implied EPS growth</t>
        </is>
      </c>
      <c r="B7" s="8" t="n">
        <v>0.03869612566483904</v>
      </c>
      <c r="D7" s="2" t="inlineStr">
        <is>
          <t>Earnings yield</t>
        </is>
      </c>
      <c r="E7" s="10" t="n">
        <v>0.05393743257820928</v>
      </c>
    </row>
    <row r="8">
      <c r="A8" s="2" t="inlineStr">
        <is>
          <t>Valuation score</t>
        </is>
      </c>
      <c r="B8" s="11" t="n">
        <v>97.72727272727273</v>
      </c>
      <c r="D8" s="2" t="inlineStr">
        <is>
          <t>Growth score</t>
        </is>
      </c>
      <c r="E8" s="11" t="n">
        <v>35.47845026593562</v>
      </c>
    </row>
    <row r="9">
      <c r="A9" s="2" t="inlineStr">
        <is>
          <t>Composite score</t>
        </is>
      </c>
      <c r="B9" s="11" t="n">
        <v>79.0526259888716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19.62649847722246</v>
      </c>
      <c r="C13" s="15" t="n">
        <v>31823.19223155464</v>
      </c>
      <c r="D13" s="16" t="n">
        <v>0.05860293836151365</v>
      </c>
    </row>
    <row r="14">
      <c r="A14" t="inlineStr">
        <is>
          <t>HOLD → SELL</t>
        </is>
      </c>
      <c r="B14" s="14" t="n">
        <v>21.7548085086245</v>
      </c>
      <c r="C14" s="15" t="n">
        <v>35274.11952438055</v>
      </c>
      <c r="D14" s="16" t="n">
        <v>0.1733985171857875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16" t="n">
        <v>0.200569320636741</v>
      </c>
      <c r="D18" s="16" t="n">
        <v>0.1712900739727695</v>
      </c>
      <c r="E18" s="16" t="n">
        <v>0.1707783956557339</v>
      </c>
      <c r="F18" s="16" t="n">
        <v>0.1179539986096543</v>
      </c>
      <c r="G18" s="16" t="n">
        <v>0</v>
      </c>
    </row>
    <row r="19">
      <c r="A19" t="inlineStr">
        <is>
          <t>Q2</t>
        </is>
      </c>
      <c r="B19" t="n">
        <v>8</v>
      </c>
      <c r="C19" s="16" t="n">
        <v>0.1609956557473289</v>
      </c>
      <c r="D19" s="16" t="n">
        <v>0.08948255822438023</v>
      </c>
      <c r="E19" s="16" t="n">
        <v>0.1540362976316351</v>
      </c>
      <c r="F19" s="16" t="n">
        <v>0.1110075488322457</v>
      </c>
      <c r="G19" s="16" t="n">
        <v>0.1666666666666667</v>
      </c>
    </row>
    <row r="20">
      <c r="A20" t="inlineStr">
        <is>
          <t>Q3</t>
        </is>
      </c>
      <c r="B20" t="n">
        <v>9</v>
      </c>
      <c r="C20" s="16" t="n">
        <v>0.1393185720082201</v>
      </c>
      <c r="D20" s="16" t="n">
        <v>0.1446153358235087</v>
      </c>
      <c r="E20" s="16" t="n">
        <v>0.1196562762571652</v>
      </c>
      <c r="F20" s="16" t="n"/>
      <c r="G20" s="16" t="n">
        <v>0</v>
      </c>
    </row>
    <row r="21">
      <c r="A21" t="inlineStr">
        <is>
          <t>Q4</t>
        </is>
      </c>
      <c r="B21" t="n">
        <v>8</v>
      </c>
      <c r="C21" s="16" t="n">
        <v>0.1129962259861346</v>
      </c>
      <c r="D21" s="16" t="n">
        <v>0.1623123915413816</v>
      </c>
      <c r="E21" s="16" t="n">
        <v>0.1396055027458374</v>
      </c>
      <c r="F21" s="16" t="n"/>
      <c r="G21" s="16" t="n">
        <v>0</v>
      </c>
    </row>
    <row r="22">
      <c r="A22" t="inlineStr">
        <is>
          <t>Q5 Most Expensive</t>
        </is>
      </c>
      <c r="B22" t="n">
        <v>10</v>
      </c>
      <c r="C22" s="16" t="n">
        <v>-0.005628974055318703</v>
      </c>
      <c r="D22" s="16" t="n">
        <v>0.1111906903884047</v>
      </c>
      <c r="E22" s="16" t="n">
        <v>0.1144393539848974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20387.55</v>
      </c>
      <c r="C2" s="7" t="n">
        <v>29.2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21612.85</v>
      </c>
      <c r="C3" s="7" t="n">
        <v>28.75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21889.75</v>
      </c>
      <c r="C4" s="7" t="n">
        <v>28.95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21930.6</v>
      </c>
      <c r="C5" s="7" t="n">
        <v>28.03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24180.65</v>
      </c>
      <c r="C6" s="7" t="n">
        <v>28.64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24619.25</v>
      </c>
      <c r="C7" s="7" t="n">
        <v>29.52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24740.35</v>
      </c>
      <c r="C8" s="7" t="n">
        <v>28.7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23997.3</v>
      </c>
      <c r="C9" s="7" t="n">
        <v>26.71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24396.3</v>
      </c>
      <c r="C10" s="7" t="n">
        <v>27.13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24333.35</v>
      </c>
      <c r="C11" s="7" t="n">
        <v>26.19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23387.15</v>
      </c>
      <c r="C12" s="7" t="n">
        <v>23.8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24210.9</v>
      </c>
      <c r="C13" s="7" t="n">
        <v>24.89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23236.95</v>
      </c>
      <c r="C14" s="7" t="n">
        <v>23.12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22464.4</v>
      </c>
      <c r="C15" s="7" t="n">
        <v>21.49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21243.05</v>
      </c>
      <c r="C16" s="7" t="n">
        <v>20.33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23452.05</v>
      </c>
      <c r="C17" s="7" t="n">
        <v>21.64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24345.35</v>
      </c>
      <c r="C18" s="7" t="n">
        <v>22.32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23379.9</v>
      </c>
      <c r="C19" s="7" t="n">
        <v>21.45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24726.4</v>
      </c>
      <c r="C20" s="7" t="n">
        <v>21.87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25693.45</v>
      </c>
      <c r="C21" s="7" t="n">
        <v>22.72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24842.4</v>
      </c>
      <c r="C22" s="7" t="n">
        <v>21.97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23671.25</v>
      </c>
      <c r="C23" s="7" t="n">
        <v>20.24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22972.9</v>
      </c>
      <c r="C24" s="7" t="n">
        <v>19.48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23037</v>
      </c>
      <c r="C25" s="7" t="n">
        <v>19.47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23733.75</v>
      </c>
      <c r="C26" s="7" t="n">
        <v>19.63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24192.1</v>
      </c>
      <c r="C27" s="7" t="n">
        <v>20.4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24873.15</v>
      </c>
      <c r="C28" s="7" t="n">
        <v>21.06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25294.1</v>
      </c>
      <c r="C29" s="7" t="n">
        <v>22.12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24709.2</v>
      </c>
      <c r="C30" s="7" t="n">
        <v>21.19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25124.9</v>
      </c>
      <c r="C31" s="7" t="n">
        <v>21.62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24331.95</v>
      </c>
      <c r="C32" s="7" t="n">
        <v>19.9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25596.35</v>
      </c>
      <c r="C33" s="7" t="n">
        <v>20.87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27687.8</v>
      </c>
      <c r="C34" s="7" t="n">
        <v>22.57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27385.7</v>
      </c>
      <c r="C35" s="7" t="n">
        <v>21.58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27683.95</v>
      </c>
      <c r="C36" s="7" t="n">
        <v>21.85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27843.65</v>
      </c>
      <c r="C37" s="7" t="n">
        <v>22.61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28503.4</v>
      </c>
      <c r="C38" s="7" t="n">
        <v>21.35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28178.35</v>
      </c>
      <c r="C39" s="7" t="n">
        <v>20.86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30428.05</v>
      </c>
      <c r="C40" s="7" t="n">
        <v>22.59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31458.3</v>
      </c>
      <c r="C41" s="7" t="n">
        <v>22.48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32057.3</v>
      </c>
      <c r="C42" s="7" t="n">
        <v>22.66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33007.5</v>
      </c>
      <c r="C43" s="7" t="n">
        <v>23.35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31547</v>
      </c>
      <c r="C44" s="7" t="n">
        <v>21.76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31964.85</v>
      </c>
      <c r="C45" s="7" t="n">
        <v>21.88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31417.1</v>
      </c>
      <c r="C46" s="7" t="n">
        <v>21.58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30708.1</v>
      </c>
      <c r="C47" s="7" t="n">
        <v>20.66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29406.7</v>
      </c>
      <c r="C48" s="7" t="n">
        <v>19.2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31163.35</v>
      </c>
      <c r="C49" s="7" t="n">
        <v>20.38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32175.6</v>
      </c>
      <c r="C50" s="7" t="n">
        <v>20.84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32629.95</v>
      </c>
      <c r="C51" s="7" t="n">
        <v>20.98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33740.2</v>
      </c>
      <c r="C52" s="7" t="n">
        <v>21.74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32739.2</v>
      </c>
      <c r="C53" s="7" t="n">
        <v>21.11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31771.35</v>
      </c>
      <c r="C54" s="7" t="n">
        <v>20.36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31851.4</v>
      </c>
      <c r="C55" s="7" t="n">
        <v>20.52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33206.35</v>
      </c>
      <c r="C56" s="7" t="n">
        <v>21.45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34003.55</v>
      </c>
      <c r="C57" s="7" t="n">
        <v>21.76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33656.4</v>
      </c>
      <c r="C58" s="7" t="n">
        <v>21.54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33128.45</v>
      </c>
      <c r="C59" s="7" t="n">
        <v>21.28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32325.6</v>
      </c>
      <c r="C60" s="7" t="n">
        <v>20.92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28363.6</v>
      </c>
      <c r="C61" s="7" t="n">
        <v>18.48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30248.4</v>
      </c>
      <c r="C62" s="7" t="n">
        <v>19.32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29685.15</v>
      </c>
      <c r="C63" s="7" t="n">
        <v>18.9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30504.7</v>
      </c>
      <c r="C64" s="7" t="n">
        <v>19.6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31268.65</v>
      </c>
      <c r="C65" s="7" t="n">
        <v>19.55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30836.2</v>
      </c>
      <c r="C66" s="7" t="n">
        <v>19.01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10307.35</v>
      </c>
      <c r="C2" s="7" t="n">
        <v>18.42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9963.4</v>
      </c>
      <c r="C3" s="7" t="n">
        <v>18.1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10646.25</v>
      </c>
      <c r="C4" s="7" t="n">
        <v>20.75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10926.15</v>
      </c>
      <c r="C5" s="7" t="n">
        <v>21.2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10412.9</v>
      </c>
      <c r="C6" s="7" t="n">
        <v>20.04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11881.25</v>
      </c>
      <c r="C7" s="7" t="n">
        <v>22.38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12360.25</v>
      </c>
      <c r="C8" s="7" t="n">
        <v>23.96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12869.25</v>
      </c>
      <c r="C9" s="7" t="n">
        <v>25.77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13739.15</v>
      </c>
      <c r="C10" s="7" t="n">
        <v>27.91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13536.5</v>
      </c>
      <c r="C11" s="7" t="n">
        <v>26.21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14596.95</v>
      </c>
      <c r="C12" s="7" t="n">
        <v>27.88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14471.5</v>
      </c>
      <c r="C13" s="7" t="n">
        <v>29.85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14934.25</v>
      </c>
      <c r="C14" s="7" t="n">
        <v>30.64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16197.35</v>
      </c>
      <c r="C15" s="7" t="n">
        <v>34.24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16846.85</v>
      </c>
      <c r="C16" s="7" t="n">
        <v>35.75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16166.7</v>
      </c>
      <c r="C17" s="7" t="n">
        <v>28.46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17452.85</v>
      </c>
      <c r="C18" s="7" t="n">
        <v>32.39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11876.8</v>
      </c>
      <c r="C19" s="7" t="n">
        <v>19.79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13659.85</v>
      </c>
      <c r="C20" s="7" t="n">
        <v>25.08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14550.45</v>
      </c>
      <c r="C21" s="7" t="n">
        <v>29.59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19625.9</v>
      </c>
      <c r="C22" s="7" t="n">
        <v>34.13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20561.4</v>
      </c>
      <c r="C23" s="7" t="n">
        <v>30.59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21889.75</v>
      </c>
      <c r="C24" s="7" t="n">
        <v>28.95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24619.25</v>
      </c>
      <c r="C25" s="7" t="n">
        <v>29.52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24396.3</v>
      </c>
      <c r="C26" s="7" t="n">
        <v>27.13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24210.9</v>
      </c>
      <c r="C27" s="7" t="n">
        <v>24.89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21243.05</v>
      </c>
      <c r="C28" s="7" t="n">
        <v>20.33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23379.9</v>
      </c>
      <c r="C29" s="7" t="n">
        <v>21.45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24842.4</v>
      </c>
      <c r="C30" s="7" t="n">
        <v>21.97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23037</v>
      </c>
      <c r="C31" s="7" t="n">
        <v>19.47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24873.15</v>
      </c>
      <c r="C32" s="7" t="n">
        <v>21.06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25124.9</v>
      </c>
      <c r="C33" s="7" t="n">
        <v>21.62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27687.8</v>
      </c>
      <c r="C34" s="7" t="n">
        <v>22.57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27843.65</v>
      </c>
      <c r="C35" s="7" t="n">
        <v>22.61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30428.05</v>
      </c>
      <c r="C36" s="7" t="n">
        <v>22.59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33007.5</v>
      </c>
      <c r="C37" s="7" t="n">
        <v>23.35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31417.1</v>
      </c>
      <c r="C38" s="7" t="n">
        <v>21.58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31163.35</v>
      </c>
      <c r="C39" s="7" t="n">
        <v>20.38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33740.2</v>
      </c>
      <c r="C40" s="7" t="n">
        <v>21.74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31851.4</v>
      </c>
      <c r="C41" s="7" t="n">
        <v>20.52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33656.4</v>
      </c>
      <c r="C42" s="7" t="n">
        <v>21.54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28363.6</v>
      </c>
      <c r="C43" s="7" t="n">
        <v>18.48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30504.7</v>
      </c>
      <c r="C44" s="7" t="n">
        <v>19.6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30073.1</v>
      </c>
      <c r="C2" s="7" t="n">
        <v>18.54</v>
      </c>
      <c r="D2" s="8" t="n">
        <v>0.0227272727273</v>
      </c>
      <c r="E2" s="8" t="n">
        <v>0.0389831544512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  <row r="3">
      <c r="A3" s="18" t="n">
        <v>46286</v>
      </c>
      <c r="B3" s="6" t="n">
        <v>30061.5</v>
      </c>
      <c r="C3" s="7" t="n">
        <v>18.54</v>
      </c>
      <c r="D3" s="8" t="n">
        <v>0.0227272727273</v>
      </c>
      <c r="E3" s="8" t="n">
        <v>0.0386961256648</v>
      </c>
      <c r="F3" s="22">
        <f>IF(D3="","",100*(1-D3))</f>
        <v/>
      </c>
      <c r="G3" s="22">
        <f>IF(E3="","",IF(E3&lt;=0,20,IF(E3&lt;5%,20+400*E3,IF(E3&lt;10%,40+400*(E3-5%),IF(E3&lt;15%,60+400*(E3-10%),IF(E3&lt;25%,80+200*(E3-15%),100))))))</f>
        <v/>
      </c>
      <c r="H3" s="22">
        <f>IF(OR(F3="",G3=""),"",70%*F3+30%*G3)</f>
        <v/>
      </c>
      <c r="I3">
        <f>IF(H3="","",IF(H3&gt;=70,"BUY",IF(H3&gt;=40,"HOLD","SELL")))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2026-09-21T18:49:34Z</dcterms:created>
  <dcterms:modified xsi:type="dcterms:W3CDTF">2026-09-21T18:49:34Z</dcterms:modified>
</cp:coreProperties>
</file>