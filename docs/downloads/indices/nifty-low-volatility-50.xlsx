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nifty_low_Volatility50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0" customWidth="1" min="7" max="7"/>
  </cols>
  <sheetData>
    <row r="1" ht="26" customHeight="1">
      <c r="A1" s="1" t="inlineStr">
        <is>
          <t>NIFTY Low Volatility 50 Valuation Tracker</t>
        </is>
      </c>
    </row>
    <row r="2">
      <c r="A2" s="2" t="inlineStr">
        <is>
          <t>As of</t>
        </is>
      </c>
      <c r="B2" s="23" t="n">
        <v>46287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23790.7</v>
      </c>
      <c r="D5" s="2" t="inlineStr">
        <is>
          <t>P/E</t>
        </is>
      </c>
      <c r="E5" s="25" t="n">
        <v>25.28</v>
      </c>
    </row>
    <row r="6">
      <c r="A6" s="2" t="inlineStr">
        <is>
          <t>P/E percentile</t>
        </is>
      </c>
      <c r="B6" s="26" t="n">
        <v>0.09848484848484848</v>
      </c>
      <c r="D6" s="2" t="inlineStr">
        <is>
          <t>Implied EPS</t>
        </is>
      </c>
      <c r="E6" s="27" t="n">
        <v>941.0878164556962</v>
      </c>
    </row>
    <row r="7">
      <c r="A7" s="2" t="inlineStr">
        <is>
          <t>YoY implied EPS growth</t>
        </is>
      </c>
      <c r="B7" s="26" t="n">
        <v>0.2618194901278241</v>
      </c>
      <c r="D7" s="2" t="inlineStr">
        <is>
          <t>Earnings yield</t>
        </is>
      </c>
      <c r="E7" s="10" t="n">
        <v>0.03955696202531645</v>
      </c>
    </row>
    <row r="8">
      <c r="A8" s="2" t="inlineStr">
        <is>
          <t>Valuation score</t>
        </is>
      </c>
      <c r="B8" s="28" t="n">
        <v>90.15151515151516</v>
      </c>
      <c r="D8" s="2" t="inlineStr">
        <is>
          <t>Growth score</t>
        </is>
      </c>
      <c r="E8" s="28" t="n">
        <v>100</v>
      </c>
    </row>
    <row r="9">
      <c r="A9" s="2" t="inlineStr">
        <is>
          <t>Composite score</t>
        </is>
      </c>
      <c r="B9" s="28" t="n">
        <v>93.10606060606059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28.27571428571429</v>
      </c>
      <c r="C13" s="15" t="n">
        <v>26609.93021586799</v>
      </c>
      <c r="D13" s="30" t="n">
        <v>0.1185013562386981</v>
      </c>
    </row>
    <row r="14">
      <c r="A14" t="inlineStr">
        <is>
          <t>HOLD → SELL</t>
        </is>
      </c>
      <c r="B14" s="29" t="n">
        <v>33.64428571428572</v>
      </c>
      <c r="C14" s="15" t="n">
        <v>31662.22737906871</v>
      </c>
      <c r="D14" s="30" t="n">
        <v>0.3308657323688968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0.218855498309952</v>
      </c>
      <c r="D18" s="30" t="n">
        <v>0.1463701118425471</v>
      </c>
      <c r="E18" s="30" t="n">
        <v>0.1825776644607492</v>
      </c>
      <c r="F18" s="30" t="n">
        <v>0.1208770170571605</v>
      </c>
      <c r="G18" s="30" t="n">
        <v>0</v>
      </c>
    </row>
    <row r="19">
      <c r="A19" t="inlineStr">
        <is>
          <t>Q2</t>
        </is>
      </c>
      <c r="B19" t="n">
        <v>8</v>
      </c>
      <c r="C19" s="30" t="n">
        <v>0.1243344997343012</v>
      </c>
      <c r="D19" s="30" t="n">
        <v>0.15245932820649</v>
      </c>
      <c r="E19" s="30" t="n">
        <v>0.1785081032571778</v>
      </c>
      <c r="F19" s="30" t="n">
        <v>0.1171198842073442</v>
      </c>
      <c r="G19" s="30" t="n">
        <v>0</v>
      </c>
    </row>
    <row r="20">
      <c r="A20" t="inlineStr">
        <is>
          <t>Q3</t>
        </is>
      </c>
      <c r="B20" t="n">
        <v>9</v>
      </c>
      <c r="C20" s="30" t="n">
        <v>0.111652889184817</v>
      </c>
      <c r="D20" s="30" t="n">
        <v>0.1419265398225793</v>
      </c>
      <c r="E20" s="30" t="n">
        <v>0.1463009130875816</v>
      </c>
      <c r="F20" s="30" t="n"/>
      <c r="G20" s="30" t="n">
        <v>0.1111111111111111</v>
      </c>
    </row>
    <row r="21">
      <c r="A21" t="inlineStr">
        <is>
          <t>Q4</t>
        </is>
      </c>
      <c r="B21" t="n">
        <v>8</v>
      </c>
      <c r="C21" s="30" t="n">
        <v>0.07269742099130849</v>
      </c>
      <c r="D21" s="30" t="n">
        <v>0.1711200220152822</v>
      </c>
      <c r="E21" s="30" t="n">
        <v>0.1182425537751224</v>
      </c>
      <c r="F21" s="30" t="n">
        <v>0.1313046060711542</v>
      </c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0.05080328048427174</v>
      </c>
      <c r="D22" s="30" t="n">
        <v>0.1273194898895045</v>
      </c>
      <c r="E22" s="30" t="n">
        <v>0.1118414665109817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65</v>
      </c>
    </row>
    <row r="26">
      <c r="A26" s="2" t="inlineStr">
        <is>
          <t>Quarter-end P/E observations</t>
        </is>
      </c>
      <c r="B26" t="n">
        <v>43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13745.82</v>
      </c>
      <c r="C2" s="25" t="n">
        <v>29.73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14713.05</v>
      </c>
      <c r="C3" s="25" t="n">
        <v>27.14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15169.2</v>
      </c>
      <c r="C4" s="25" t="n">
        <v>29.27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15594.26</v>
      </c>
      <c r="C5" s="25" t="n">
        <v>28.98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16313.93</v>
      </c>
      <c r="C6" s="25" t="n">
        <v>28.3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16467.75</v>
      </c>
      <c r="C7" s="25" t="n">
        <v>26.43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16015.22</v>
      </c>
      <c r="C8" s="25" t="n">
        <v>25.06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15680.57</v>
      </c>
      <c r="C9" s="25" t="n">
        <v>25.19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16022.97</v>
      </c>
      <c r="C10" s="25" t="n">
        <v>25.82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15655.42</v>
      </c>
      <c r="C11" s="25" t="n">
        <v>25.28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14998.39</v>
      </c>
      <c r="C12" s="25" t="n">
        <v>24.05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15243.32</v>
      </c>
      <c r="C13" s="25" t="n">
        <v>26.43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15516.07</v>
      </c>
      <c r="C14" s="25" t="n">
        <v>26.77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15247.96</v>
      </c>
      <c r="C15" s="25" t="n">
        <v>27.13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14458.17</v>
      </c>
      <c r="C16" s="25" t="n">
        <v>25.28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15680.63</v>
      </c>
      <c r="C17" s="25" t="n">
        <v>27.31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16120.08</v>
      </c>
      <c r="C18" s="25" t="n">
        <v>28.68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15715.37</v>
      </c>
      <c r="C19" s="25" t="n">
        <v>27.74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16105.74</v>
      </c>
      <c r="C20" s="25" t="n">
        <v>28.76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16635.52</v>
      </c>
      <c r="C21" s="25" t="n">
        <v>29.58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16004.77</v>
      </c>
      <c r="C22" s="25" t="n">
        <v>28.42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15789.56</v>
      </c>
      <c r="C23" s="25" t="n">
        <v>27.68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15431.88</v>
      </c>
      <c r="C24" s="25" t="n">
        <v>27.78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15567.29</v>
      </c>
      <c r="C25" s="25" t="n">
        <v>28.47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16180.39</v>
      </c>
      <c r="C26" s="25" t="n">
        <v>29.32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16853.79</v>
      </c>
      <c r="C27" s="25" t="n">
        <v>29.01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17622.42</v>
      </c>
      <c r="C28" s="25" t="n">
        <v>28.57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18363.11</v>
      </c>
      <c r="C29" s="25" t="n">
        <v>29.33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18074.74</v>
      </c>
      <c r="C30" s="25" t="n">
        <v>26.44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18396.83</v>
      </c>
      <c r="C31" s="25" t="n">
        <v>25.62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18137.11</v>
      </c>
      <c r="C32" s="25" t="n">
        <v>24.71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19425.73</v>
      </c>
      <c r="C33" s="25" t="n">
        <v>23.84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20885.12</v>
      </c>
      <c r="C34" s="25" t="n">
        <v>26.68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21319.36</v>
      </c>
      <c r="C35" s="25" t="n">
        <v>26.4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21844.81</v>
      </c>
      <c r="C36" s="25" t="n">
        <v>26.8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21963.09</v>
      </c>
      <c r="C37" s="25" t="n">
        <v>30.87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22262.48</v>
      </c>
      <c r="C38" s="25" t="n">
        <v>30.27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22093.62</v>
      </c>
      <c r="C39" s="25" t="n">
        <v>29.78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23710.09</v>
      </c>
      <c r="C40" s="25" t="n">
        <v>31.75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25190.86</v>
      </c>
      <c r="C41" s="25" t="n">
        <v>33.28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25625.86</v>
      </c>
      <c r="C42" s="25" t="n">
        <v>33.79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26377.43</v>
      </c>
      <c r="C43" s="25" t="n">
        <v>38.32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24347.06</v>
      </c>
      <c r="C44" s="25" t="n">
        <v>35.1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24008.85</v>
      </c>
      <c r="C45" s="25" t="n">
        <v>34.95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23621.15</v>
      </c>
      <c r="C46" s="25" t="n">
        <v>34.51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23796.4</v>
      </c>
      <c r="C47" s="25" t="n">
        <v>34.53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22217.3</v>
      </c>
      <c r="C48" s="25" t="n">
        <v>31.93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23559.75</v>
      </c>
      <c r="C49" s="25" t="n">
        <v>33.24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24615.7</v>
      </c>
      <c r="C50" s="25" t="n">
        <v>34.52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24694.15</v>
      </c>
      <c r="C51" s="25" t="n">
        <v>33.98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25380.55</v>
      </c>
      <c r="C52" s="25" t="n">
        <v>35.03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24797.1</v>
      </c>
      <c r="C53" s="25" t="n">
        <v>33.81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24793</v>
      </c>
      <c r="C54" s="25" t="n">
        <v>33.24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24555.3</v>
      </c>
      <c r="C55" s="25" t="n">
        <v>32.22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25391.45</v>
      </c>
      <c r="C56" s="25" t="n">
        <v>33.09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25678</v>
      </c>
      <c r="C57" s="25" t="n">
        <v>32.92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25703.45</v>
      </c>
      <c r="C58" s="25" t="n">
        <v>31.56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24904.9</v>
      </c>
      <c r="C59" s="25" t="n">
        <v>30.51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25153.25</v>
      </c>
      <c r="C60" s="25" t="n">
        <v>30.42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22582</v>
      </c>
      <c r="C61" s="25" t="n">
        <v>27.63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24173.95</v>
      </c>
      <c r="C62" s="25" t="n">
        <v>29.38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24083.4</v>
      </c>
      <c r="C63" s="25" t="n">
        <v>28.13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24151.5</v>
      </c>
      <c r="C64" s="25" t="n">
        <v>26.26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25081.25</v>
      </c>
      <c r="C65" s="25" t="n">
        <v>26.96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24651.4</v>
      </c>
      <c r="C66" s="25" t="n">
        <v>26.19</v>
      </c>
      <c r="D66" s="32">
        <f>IFERROR(B66/C66,"")</f>
        <v/>
      </c>
      <c r="E66" s="20">
        <f>IFERROR(1/C66,"")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7485.07</v>
      </c>
      <c r="C2" s="25" t="n">
        <v>24.71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IF(C2="","",(COUNTIFS($D$2:$D$44,D2,$C$2:$C$44,"&gt;0",$C$2:$C$44,"&lt;"&amp;C2)+(COUNTIFS($D$2:$D$44,D2,$C$2:$C$44,C2)+1)/2)/COUNTIFS($D$2:$D$44,D2,$C$2:$C$44,"&gt;0"))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7214.11</v>
      </c>
      <c r="C3" s="25" t="n">
        <v>22.52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IF(C3="","",(COUNTIFS($D$2:$D$44,D3,$C$2:$C$44,"&gt;0",$C$2:$C$44,"&lt;"&amp;C3)+(COUNTIFS($D$2:$D$44,D3,$C$2:$C$44,C3)+1)/2)/COUNTIFS($D$2:$D$44,D3,$C$2:$C$44,"&gt;0"))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7978.96</v>
      </c>
      <c r="C4" s="25" t="n">
        <v>24.24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IF(C4="","",(COUNTIFS($D$2:$D$44,D4,$C$2:$C$44,"&gt;0",$C$2:$C$44,"&lt;"&amp;C4)+(COUNTIFS($D$2:$D$44,D4,$C$2:$C$44,C4)+1)/2)/COUNTIFS($D$2:$D$44,D4,$C$2:$C$44,"&gt;0"))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8320.34</v>
      </c>
      <c r="C5" s="25" t="n">
        <v>24.63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IF(C5="","",(COUNTIFS($D$2:$D$44,D5,$C$2:$C$44,"&gt;0",$C$2:$C$44,"&lt;"&amp;C5)+(COUNTIFS($D$2:$D$44,D5,$C$2:$C$44,C5)+1)/2)/COUNTIFS($D$2:$D$44,D5,$C$2:$C$44,"&gt;0"))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42735</v>
      </c>
      <c r="B6" s="24" t="n">
        <v>7758.3</v>
      </c>
      <c r="C6" s="25" t="n">
        <v>21.73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IF(C6="","",(COUNTIFS($D$2:$D$44,D6,$C$2:$C$44,"&gt;0",$C$2:$C$44,"&lt;"&amp;C6)+(COUNTIFS($D$2:$D$44,D6,$C$2:$C$44,C6)+1)/2)/COUNTIFS($D$2:$D$44,D6,$C$2:$C$44,"&gt;0"))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8717.110000000001</v>
      </c>
      <c r="C7" s="25" t="n">
        <v>24.31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IF(C7="","",(COUNTIFS($D$2:$D$44,D7,$C$2:$C$44,"&gt;0",$C$2:$C$44,"&lt;"&amp;C7)+(COUNTIFS($D$2:$D$44,D7,$C$2:$C$44,C7)+1)/2)/COUNTIFS($D$2:$D$44,D7,$C$2:$C$44,"&gt;0"))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8971.02</v>
      </c>
      <c r="C8" s="25" t="n">
        <v>25.3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IF(C8="","",(COUNTIFS($D$2:$D$44,D8,$C$2:$C$44,"&gt;0",$C$2:$C$44,"&lt;"&amp;C8)+(COUNTIFS($D$2:$D$44,D8,$C$2:$C$44,C8)+1)/2)/COUNTIFS($D$2:$D$44,D8,$C$2:$C$44,"&gt;0"))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9249.33</v>
      </c>
      <c r="C9" s="25" t="n">
        <v>27.48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IF(C9="","",(COUNTIFS($D$2:$D$44,D9,$C$2:$C$44,"&gt;0",$C$2:$C$44,"&lt;"&amp;C9)+(COUNTIFS($D$2:$D$44,D9,$C$2:$C$44,C9)+1)/2)/COUNTIFS($D$2:$D$44,D9,$C$2:$C$44,"&gt;0"))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10102.21</v>
      </c>
      <c r="C10" s="25" t="n">
        <v>30.1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IF(C10="","",(COUNTIFS($D$2:$D$44,D10,$C$2:$C$44,"&gt;0",$C$2:$C$44,"&lt;"&amp;C10)+(COUNTIFS($D$2:$D$44,D10,$C$2:$C$44,C10)+1)/2)/COUNTIFS($D$2:$D$44,D10,$C$2:$C$44,"&gt;0"))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9544.389999999999</v>
      </c>
      <c r="C11" s="25" t="n">
        <v>27.05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IF(C11="","",(COUNTIFS($D$2:$D$44,D11,$C$2:$C$44,"&gt;0",$C$2:$C$44,"&lt;"&amp;C11)+(COUNTIFS($D$2:$D$44,D11,$C$2:$C$44,C11)+1)/2)/COUNTIFS($D$2:$D$44,D11,$C$2:$C$44,"&gt;0"))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9768.07</v>
      </c>
      <c r="C12" s="25" t="n">
        <v>27.22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IF(C12="","",(COUNTIFS($D$2:$D$44,D12,$C$2:$C$44,"&gt;0",$C$2:$C$44,"&lt;"&amp;C12)+(COUNTIFS($D$2:$D$44,D12,$C$2:$C$44,C12)+1)/2)/COUNTIFS($D$2:$D$44,D12,$C$2:$C$44,"&gt;0"))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9832.809999999999</v>
      </c>
      <c r="C13" s="25" t="n">
        <v>26.24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IF(C13="","",(COUNTIFS($D$2:$D$44,D13,$C$2:$C$44,"&gt;0",$C$2:$C$44,"&lt;"&amp;C13)+(COUNTIFS($D$2:$D$44,D13,$C$2:$C$44,C13)+1)/2)/COUNTIFS($D$2:$D$44,D13,$C$2:$C$44,"&gt;0"))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10049.5</v>
      </c>
      <c r="C14" s="25" t="n">
        <v>24.44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IF(C14="","",(COUNTIFS($D$2:$D$44,D14,$C$2:$C$44,"&gt;0",$C$2:$C$44,"&lt;"&amp;C14)+(COUNTIFS($D$2:$D$44,D14,$C$2:$C$44,C14)+1)/2)/COUNTIFS($D$2:$D$44,D14,$C$2:$C$44,"&gt;0"))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10236.82</v>
      </c>
      <c r="C15" s="25" t="n">
        <v>24.62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IF(C15="","",(COUNTIFS($D$2:$D$44,D15,$C$2:$C$44,"&gt;0",$C$2:$C$44,"&lt;"&amp;C15)+(COUNTIFS($D$2:$D$44,D15,$C$2:$C$44,C15)+1)/2)/COUNTIFS($D$2:$D$44,D15,$C$2:$C$44,"&gt;0"))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10264.32</v>
      </c>
      <c r="C16" s="25" t="n">
        <v>24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IF(C16="","",(COUNTIFS($D$2:$D$44,D16,$C$2:$C$44,"&gt;0",$C$2:$C$44,"&lt;"&amp;C16)+(COUNTIFS($D$2:$D$44,D16,$C$2:$C$44,C16)+1)/2)/COUNTIFS($D$2:$D$44,D16,$C$2:$C$44,"&gt;0"))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10209.42</v>
      </c>
      <c r="C17" s="25" t="n">
        <v>22.65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IF(C17="","",(COUNTIFS($D$2:$D$44,D17,$C$2:$C$44,"&gt;0",$C$2:$C$44,"&lt;"&amp;C17)+(COUNTIFS($D$2:$D$44,D17,$C$2:$C$44,C17)+1)/2)/COUNTIFS($D$2:$D$44,D17,$C$2:$C$44,"&gt;0"))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10558.46</v>
      </c>
      <c r="C18" s="25" t="n">
        <v>22.94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IF(C18="","",(COUNTIFS($D$2:$D$44,D18,$C$2:$C$44,"&gt;0",$C$2:$C$44,"&lt;"&amp;C18)+(COUNTIFS($D$2:$D$44,D18,$C$2:$C$44,C18)+1)/2)/COUNTIFS($D$2:$D$44,D18,$C$2:$C$44,"&gt;0"))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8703.58</v>
      </c>
      <c r="C19" s="25" t="n">
        <v>19.21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IF(C19="","",(COUNTIFS($D$2:$D$44,D19,$C$2:$C$44,"&gt;0",$C$2:$C$44,"&lt;"&amp;C19)+(COUNTIFS($D$2:$D$44,D19,$C$2:$C$44,C19)+1)/2)/COUNTIFS($D$2:$D$44,D19,$C$2:$C$44,"&gt;0"))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10255.97</v>
      </c>
      <c r="C20" s="25" t="n">
        <v>23.57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IF(C20="","",(COUNTIFS($D$2:$D$44,D20,$C$2:$C$44,"&gt;0",$C$2:$C$44,"&lt;"&amp;C20)+(COUNTIFS($D$2:$D$44,D20,$C$2:$C$44,C20)+1)/2)/COUNTIFS($D$2:$D$44,D20,$C$2:$C$44,"&gt;0"))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11278.19</v>
      </c>
      <c r="C21" s="25" t="n">
        <v>26.71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IF(C21="","",(COUNTIFS($D$2:$D$44,D21,$C$2:$C$44,"&gt;0",$C$2:$C$44,"&lt;"&amp;C21)+(COUNTIFS($D$2:$D$44,D21,$C$2:$C$44,C21)+1)/2)/COUNTIFS($D$2:$D$44,D21,$C$2:$C$44,"&gt;0"))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13088.08</v>
      </c>
      <c r="C22" s="25" t="n">
        <v>30.56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IF(C22="","",(COUNTIFS($D$2:$D$44,D22,$C$2:$C$44,"&gt;0",$C$2:$C$44,"&lt;"&amp;C22)+(COUNTIFS($D$2:$D$44,D22,$C$2:$C$44,C22)+1)/2)/COUNTIFS($D$2:$D$44,D22,$C$2:$C$44,"&gt;0"))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13673.8</v>
      </c>
      <c r="C23" s="25" t="n">
        <v>29.81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IF(C23="","",(COUNTIFS($D$2:$D$44,D23,$C$2:$C$44,"&gt;0",$C$2:$C$44,"&lt;"&amp;C23)+(COUNTIFS($D$2:$D$44,D23,$C$2:$C$44,C23)+1)/2)/COUNTIFS($D$2:$D$44,D23,$C$2:$C$44,"&gt;0"))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15169.2</v>
      </c>
      <c r="C24" s="25" t="n">
        <v>29.27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IF(C24="","",(COUNTIFS($D$2:$D$44,D24,$C$2:$C$44,"&gt;0",$C$2:$C$44,"&lt;"&amp;C24)+(COUNTIFS($D$2:$D$44,D24,$C$2:$C$44,C24)+1)/2)/COUNTIFS($D$2:$D$44,D24,$C$2:$C$44,"&gt;0"))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16467.75</v>
      </c>
      <c r="C25" s="25" t="n">
        <v>26.43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IF(C25="","",(COUNTIFS($D$2:$D$44,D25,$C$2:$C$44,"&gt;0",$C$2:$C$44,"&lt;"&amp;C25)+(COUNTIFS($D$2:$D$44,D25,$C$2:$C$44,C25)+1)/2)/COUNTIFS($D$2:$D$44,D25,$C$2:$C$44,"&gt;0"))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44561</v>
      </c>
      <c r="B26" s="24" t="n">
        <v>16022.97</v>
      </c>
      <c r="C26" s="25" t="n">
        <v>25.82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IF(C26="","",(COUNTIFS($D$2:$D$44,D26,$C$2:$C$44,"&gt;0",$C$2:$C$44,"&lt;"&amp;C26)+(COUNTIFS($D$2:$D$44,D26,$C$2:$C$44,C26)+1)/2)/COUNTIFS($D$2:$D$44,D26,$C$2:$C$44,"&gt;0"))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15243.32</v>
      </c>
      <c r="C27" s="25" t="n">
        <v>26.43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IF(C27="","",(COUNTIFS($D$2:$D$44,D27,$C$2:$C$44,"&gt;0",$C$2:$C$44,"&lt;"&amp;C27)+(COUNTIFS($D$2:$D$44,D27,$C$2:$C$44,C27)+1)/2)/COUNTIFS($D$2:$D$44,D27,$C$2:$C$44,"&gt;0"))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14458.17</v>
      </c>
      <c r="C28" s="25" t="n">
        <v>25.28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IF(C28="","",(COUNTIFS($D$2:$D$44,D28,$C$2:$C$44,"&gt;0",$C$2:$C$44,"&lt;"&amp;C28)+(COUNTIFS($D$2:$D$44,D28,$C$2:$C$44,C28)+1)/2)/COUNTIFS($D$2:$D$44,D28,$C$2:$C$44,"&gt;0"))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15715.37</v>
      </c>
      <c r="C29" s="25" t="n">
        <v>27.74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IF(C29="","",(COUNTIFS($D$2:$D$44,D29,$C$2:$C$44,"&gt;0",$C$2:$C$44,"&lt;"&amp;C29)+(COUNTIFS($D$2:$D$44,D29,$C$2:$C$44,C29)+1)/2)/COUNTIFS($D$2:$D$44,D29,$C$2:$C$44,"&gt;0"))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16004.77</v>
      </c>
      <c r="C30" s="25" t="n">
        <v>28.42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IF(C30="","",(COUNTIFS($D$2:$D$44,D30,$C$2:$C$44,"&gt;0",$C$2:$C$44,"&lt;"&amp;C30)+(COUNTIFS($D$2:$D$44,D30,$C$2:$C$44,C30)+1)/2)/COUNTIFS($D$2:$D$44,D30,$C$2:$C$44,"&gt;0"))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15567.29</v>
      </c>
      <c r="C31" s="25" t="n">
        <v>28.47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IF(C31="","",(COUNTIFS($D$2:$D$44,D31,$C$2:$C$44,"&gt;0",$C$2:$C$44,"&lt;"&amp;C31)+(COUNTIFS($D$2:$D$44,D31,$C$2:$C$44,C31)+1)/2)/COUNTIFS($D$2:$D$44,D31,$C$2:$C$44,"&gt;0"))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17622.42</v>
      </c>
      <c r="C32" s="25" t="n">
        <v>28.57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IF(C32="","",(COUNTIFS($D$2:$D$44,D32,$C$2:$C$44,"&gt;0",$C$2:$C$44,"&lt;"&amp;C32)+(COUNTIFS($D$2:$D$44,D32,$C$2:$C$44,C32)+1)/2)/COUNTIFS($D$2:$D$44,D32,$C$2:$C$44,"&gt;0"))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18396.83</v>
      </c>
      <c r="C33" s="25" t="n">
        <v>25.62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IF(C33="","",(COUNTIFS($D$2:$D$44,D33,$C$2:$C$44,"&gt;0",$C$2:$C$44,"&lt;"&amp;C33)+(COUNTIFS($D$2:$D$44,D33,$C$2:$C$44,C33)+1)/2)/COUNTIFS($D$2:$D$44,D33,$C$2:$C$44,"&gt;0"))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45291</v>
      </c>
      <c r="B34" s="24" t="n">
        <v>20885.12</v>
      </c>
      <c r="C34" s="25" t="n">
        <v>26.68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IF(C34="","",(COUNTIFS($D$2:$D$44,D34,$C$2:$C$44,"&gt;0",$C$2:$C$44,"&lt;"&amp;C34)+(COUNTIFS($D$2:$D$44,D34,$C$2:$C$44,C34)+1)/2)/COUNTIFS($D$2:$D$44,D34,$C$2:$C$44,"&gt;0"))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21963.09</v>
      </c>
      <c r="C35" s="25" t="n">
        <v>30.87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IF(C35="","",(COUNTIFS($D$2:$D$44,D35,$C$2:$C$44,"&gt;0",$C$2:$C$44,"&lt;"&amp;C35)+(COUNTIFS($D$2:$D$44,D35,$C$2:$C$44,C35)+1)/2)/COUNTIFS($D$2:$D$44,D35,$C$2:$C$44,"&gt;0"))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23710.09</v>
      </c>
      <c r="C36" s="25" t="n">
        <v>31.75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IF(C36="","",(COUNTIFS($D$2:$D$44,D36,$C$2:$C$44,"&gt;0",$C$2:$C$44,"&lt;"&amp;C36)+(COUNTIFS($D$2:$D$44,D36,$C$2:$C$44,C36)+1)/2)/COUNTIFS($D$2:$D$44,D36,$C$2:$C$44,"&gt;0"))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26377.43</v>
      </c>
      <c r="C37" s="25" t="n">
        <v>38.32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IF(C37="","",(COUNTIFS($D$2:$D$44,D37,$C$2:$C$44,"&gt;0",$C$2:$C$44,"&lt;"&amp;C37)+(COUNTIFS($D$2:$D$44,D37,$C$2:$C$44,C37)+1)/2)/COUNTIFS($D$2:$D$44,D37,$C$2:$C$44,"&gt;0"))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23621.15</v>
      </c>
      <c r="C38" s="25" t="n">
        <v>34.51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IF(C38="","",(COUNTIFS($D$2:$D$44,D38,$C$2:$C$44,"&gt;0",$C$2:$C$44,"&lt;"&amp;C38)+(COUNTIFS($D$2:$D$44,D38,$C$2:$C$44,C38)+1)/2)/COUNTIFS($D$2:$D$44,D38,$C$2:$C$44,"&gt;0"))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23559.75</v>
      </c>
      <c r="C39" s="25" t="n">
        <v>33.24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IF(C39="","",(COUNTIFS($D$2:$D$44,D39,$C$2:$C$44,"&gt;0",$C$2:$C$44,"&lt;"&amp;C39)+(COUNTIFS($D$2:$D$44,D39,$C$2:$C$44,C39)+1)/2)/COUNTIFS($D$2:$D$44,D39,$C$2:$C$44,"&gt;0"))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25380.55</v>
      </c>
      <c r="C40" s="25" t="n">
        <v>35.03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IF(C40="","",(COUNTIFS($D$2:$D$44,D40,$C$2:$C$44,"&gt;0",$C$2:$C$44,"&lt;"&amp;C40)+(COUNTIFS($D$2:$D$44,D40,$C$2:$C$44,C40)+1)/2)/COUNTIFS($D$2:$D$44,D40,$C$2:$C$44,"&gt;0"))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24555.3</v>
      </c>
      <c r="C41" s="25" t="n">
        <v>32.22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IF(C41="","",(COUNTIFS($D$2:$D$44,D41,$C$2:$C$44,"&gt;0",$C$2:$C$44,"&lt;"&amp;C41)+(COUNTIFS($D$2:$D$44,D41,$C$2:$C$44,C41)+1)/2)/COUNTIFS($D$2:$D$44,D41,$C$2:$C$44,"&gt;0"))</f>
        <v/>
      </c>
      <c r="H41">
        <f>IF(G41="","",IF(G41&lt;=20%,"Q1 Cheapest",IF(G41&lt;=40%,"Q2",IF(G41&lt;=60%,"Q3",IF(G41&lt;=80%,"Q4","Q5 Most Expensive")))))</f>
        <v/>
      </c>
      <c r="I41" s="30" t="n"/>
      <c r="J41" s="30" t="n"/>
      <c r="K41" s="30" t="n"/>
      <c r="L41" s="30" t="n"/>
    </row>
    <row r="42">
      <c r="A42" s="31" t="n">
        <v>46022</v>
      </c>
      <c r="B42" s="24" t="n">
        <v>25703.45</v>
      </c>
      <c r="C42" s="25" t="n">
        <v>31.56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IF(C42="","",(COUNTIFS($D$2:$D$44,D42,$C$2:$C$44,"&gt;0",$C$2:$C$44,"&lt;"&amp;C42)+(COUNTIFS($D$2:$D$44,D42,$C$2:$C$44,C42)+1)/2)/COUNTIFS($D$2:$D$44,D42,$C$2:$C$44,"&gt;0"))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22582</v>
      </c>
      <c r="C43" s="25" t="n">
        <v>27.63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IF(C43="","",(COUNTIFS($D$2:$D$44,D43,$C$2:$C$44,"&gt;0",$C$2:$C$44,"&lt;"&amp;C43)+(COUNTIFS($D$2:$D$44,D43,$C$2:$C$44,C43)+1)/2)/COUNTIFS($D$2:$D$44,D43,$C$2:$C$44,"&gt;0"))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24151.5</v>
      </c>
      <c r="C44" s="25" t="n">
        <v>26.26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IF(C44="","",(COUNTIFS($D$2:$D$44,D44,$C$2:$C$44,"&gt;0",$C$2:$C$44,"&lt;"&amp;C44)+(COUNTIFS($D$2:$D$44,D44,$C$2:$C$44,C44)+1)/2)/COUNTIFS($D$2:$D$44,D44,$C$2:$C$44,"&gt;0"))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23785.4</v>
      </c>
      <c r="C2" s="25" t="n">
        <v>25.27</v>
      </c>
      <c r="D2" s="26" t="n">
        <v>0.08333333333329999</v>
      </c>
      <c r="E2" s="26" t="n">
        <v>0.262060518265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23881.2</v>
      </c>
      <c r="C3" s="25" t="n">
        <v>25.38</v>
      </c>
      <c r="D3" s="26" t="n">
        <v>0.113636363636</v>
      </c>
      <c r="E3" s="26" t="n">
        <v>0.261509217697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23790.7</v>
      </c>
      <c r="C4" s="25" t="n">
        <v>25.28</v>
      </c>
      <c r="D4" s="26" t="n">
        <v>0.09848484848480001</v>
      </c>
      <c r="E4" s="26" t="n">
        <v>0.261819490128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Low Volatility 50 Composition</t>
        </is>
      </c>
    </row>
    <row r="2">
      <c r="A2" s="2" t="inlineStr">
        <is>
          <t>As of</t>
        </is>
      </c>
      <c r="B2" s="4" t="inlineStr">
        <is>
          <t>Retrieved 2026-09-23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Asian Paints Ltd.</t>
        </is>
      </c>
      <c r="C7" t="inlineStr">
        <is>
          <t>ASIANPAINT</t>
        </is>
      </c>
      <c r="D7" t="inlineStr">
        <is>
          <t>Consumer Durables</t>
        </is>
      </c>
    </row>
    <row r="8">
      <c r="A8" t="n">
        <v>3</v>
      </c>
      <c r="B8" t="inlineStr">
        <is>
          <t>Avenue Supermarts Ltd.</t>
        </is>
      </c>
      <c r="C8" t="inlineStr">
        <is>
          <t>DMART</t>
        </is>
      </c>
      <c r="D8" t="inlineStr">
        <is>
          <t>Consumer Services</t>
        </is>
      </c>
    </row>
    <row r="9">
      <c r="A9" t="n">
        <v>4</v>
      </c>
      <c r="B9" t="inlineStr">
        <is>
          <t>Axis Bank Ltd.</t>
        </is>
      </c>
      <c r="C9" t="inlineStr">
        <is>
          <t>AXISBANK</t>
        </is>
      </c>
      <c r="D9" t="inlineStr">
        <is>
          <t>Financial Services</t>
        </is>
      </c>
    </row>
    <row r="10">
      <c r="A10" t="n">
        <v>5</v>
      </c>
      <c r="B10" t="inlineStr">
        <is>
          <t>Bajaj Auto Ltd.</t>
        </is>
      </c>
      <c r="C10" t="inlineStr">
        <is>
          <t>BAJAJ-AUTO</t>
        </is>
      </c>
      <c r="D10" t="inlineStr">
        <is>
          <t>Automobile and Auto Components</t>
        </is>
      </c>
    </row>
    <row r="11">
      <c r="A11" t="n">
        <v>6</v>
      </c>
      <c r="B11" t="inlineStr">
        <is>
          <t>Bajaj Finserv Ltd.</t>
        </is>
      </c>
      <c r="C11" t="inlineStr">
        <is>
          <t>BAJAJFINSV</t>
        </is>
      </c>
      <c r="D11" t="inlineStr">
        <is>
          <t>Financial Services</t>
        </is>
      </c>
    </row>
    <row r="12">
      <c r="A12" t="n">
        <v>7</v>
      </c>
      <c r="B12" t="inlineStr">
        <is>
          <t>Bharti Airtel Ltd.</t>
        </is>
      </c>
      <c r="C12" t="inlineStr">
        <is>
          <t>BHARTIARTL</t>
        </is>
      </c>
      <c r="D12" t="inlineStr">
        <is>
          <t>Telecommunication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Cipla Ltd.</t>
        </is>
      </c>
      <c r="C14" t="inlineStr">
        <is>
          <t>CIPLA</t>
        </is>
      </c>
      <c r="D14" t="inlineStr">
        <is>
          <t>Healthcare</t>
        </is>
      </c>
    </row>
    <row r="15">
      <c r="A15" t="n">
        <v>10</v>
      </c>
      <c r="B15" t="inlineStr">
        <is>
          <t>Colgate Palmolive (India) Ltd.</t>
        </is>
      </c>
      <c r="C15" t="inlineStr">
        <is>
          <t>COLPAL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Dabur India Ltd.</t>
        </is>
      </c>
      <c r="C16" t="inlineStr">
        <is>
          <t>DABUR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Divi's Laboratories Ltd.</t>
        </is>
      </c>
      <c r="C17" t="inlineStr">
        <is>
          <t>DIVISLAB</t>
        </is>
      </c>
      <c r="D17" t="inlineStr">
        <is>
          <t>Healthcare</t>
        </is>
      </c>
    </row>
    <row r="18">
      <c r="A18" t="n">
        <v>13</v>
      </c>
      <c r="B18" t="inlineStr">
        <is>
          <t>Dr. Reddy's Laboratories Ltd.</t>
        </is>
      </c>
      <c r="C18" t="inlineStr">
        <is>
          <t>DRREDDY</t>
        </is>
      </c>
      <c r="D18" t="inlineStr">
        <is>
          <t>Healthcare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Grasim Industries Ltd.</t>
        </is>
      </c>
      <c r="C20" t="inlineStr">
        <is>
          <t>GRASIM</t>
        </is>
      </c>
      <c r="D20" t="inlineStr">
        <is>
          <t>Construction Materials</t>
        </is>
      </c>
    </row>
    <row r="21">
      <c r="A21" t="n">
        <v>16</v>
      </c>
      <c r="B21" t="inlineStr">
        <is>
          <t>HCL Technologies Ltd.</t>
        </is>
      </c>
      <c r="C21" t="inlineStr">
        <is>
          <t>HCLTECH</t>
        </is>
      </c>
      <c r="D21" t="inlineStr">
        <is>
          <t>Information Technology</t>
        </is>
      </c>
    </row>
    <row r="22">
      <c r="A22" t="n">
        <v>17</v>
      </c>
      <c r="B22" t="inlineStr">
        <is>
          <t>HDFC Bank Ltd.</t>
        </is>
      </c>
      <c r="C22" t="inlineStr">
        <is>
          <t>HDFCBANK</t>
        </is>
      </c>
      <c r="D22" t="inlineStr">
        <is>
          <t>Financial Services</t>
        </is>
      </c>
    </row>
    <row r="23">
      <c r="A23" t="n">
        <v>18</v>
      </c>
      <c r="B23" t="inlineStr">
        <is>
          <t>HDFC Life Insurance Company Ltd.</t>
        </is>
      </c>
      <c r="C23" t="inlineStr">
        <is>
          <t>HDFCLIFE</t>
        </is>
      </c>
      <c r="D23" t="inlineStr">
        <is>
          <t>Financial Services</t>
        </is>
      </c>
    </row>
    <row r="24">
      <c r="A24" t="n">
        <v>19</v>
      </c>
      <c r="B24" t="inlineStr">
        <is>
          <t>Hero MotoCorp Ltd.</t>
        </is>
      </c>
      <c r="C24" t="inlineStr">
        <is>
          <t>HEROMOTOCO</t>
        </is>
      </c>
      <c r="D24" t="inlineStr">
        <is>
          <t>Automobile and Auto Components</t>
        </is>
      </c>
    </row>
    <row r="25">
      <c r="A25" t="n">
        <v>20</v>
      </c>
      <c r="B25" t="inlineStr">
        <is>
          <t>Hindustan Unilever Ltd.</t>
        </is>
      </c>
      <c r="C25" t="inlineStr">
        <is>
          <t>HINDUNILVR</t>
        </is>
      </c>
      <c r="D25" t="inlineStr">
        <is>
          <t>Fast Moving Consumer Goods</t>
        </is>
      </c>
    </row>
    <row r="26">
      <c r="A26" t="n">
        <v>21</v>
      </c>
      <c r="B26" t="inlineStr">
        <is>
          <t>ICICI Bank Ltd.</t>
        </is>
      </c>
      <c r="C26" t="inlineStr">
        <is>
          <t>ICICIBANK</t>
        </is>
      </c>
      <c r="D26" t="inlineStr">
        <is>
          <t>Financial Services</t>
        </is>
      </c>
    </row>
    <row r="27">
      <c r="A27" t="n">
        <v>22</v>
      </c>
      <c r="B27" t="inlineStr">
        <is>
          <t>ICICI Lombard General Insurance Company Ltd.</t>
        </is>
      </c>
      <c r="C27" t="inlineStr">
        <is>
          <t>ICICIGI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Railway Catering And Tourism Corporation Ltd.</t>
        </is>
      </c>
      <c r="C28" t="inlineStr">
        <is>
          <t>IRCTC</t>
        </is>
      </c>
      <c r="D28" t="inlineStr">
        <is>
          <t>Consumer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ITC Ltd.</t>
        </is>
      </c>
      <c r="C30" t="inlineStr">
        <is>
          <t>ITC</t>
        </is>
      </c>
      <c r="D30" t="inlineStr">
        <is>
          <t>Fast Moving Consumer Goods</t>
        </is>
      </c>
    </row>
    <row r="31">
      <c r="A31" t="n">
        <v>26</v>
      </c>
      <c r="B31" t="inlineStr">
        <is>
          <t>JSW Steel Ltd.</t>
        </is>
      </c>
      <c r="C31" t="inlineStr">
        <is>
          <t>JSWSTEEL</t>
        </is>
      </c>
      <c r="D31" t="inlineStr">
        <is>
          <t>Metals &amp; Mining</t>
        </is>
      </c>
    </row>
    <row r="32">
      <c r="A32" t="n">
        <v>27</v>
      </c>
      <c r="B32" t="inlineStr">
        <is>
          <t>Kotak Mahindra Bank Ltd.</t>
        </is>
      </c>
      <c r="C32" t="inlineStr">
        <is>
          <t>KOTAKBANK</t>
        </is>
      </c>
      <c r="D32" t="inlineStr">
        <is>
          <t>Financial Services</t>
        </is>
      </c>
    </row>
    <row r="33">
      <c r="A33" t="n">
        <v>28</v>
      </c>
      <c r="B33" t="inlineStr">
        <is>
          <t>Larsen &amp; Toubro Ltd.</t>
        </is>
      </c>
      <c r="C33" t="inlineStr">
        <is>
          <t>LT</t>
        </is>
      </c>
      <c r="D33" t="inlineStr">
        <is>
          <t>Construction</t>
        </is>
      </c>
    </row>
    <row r="34">
      <c r="A34" t="n">
        <v>29</v>
      </c>
      <c r="B34" t="inlineStr">
        <is>
          <t>Lupin Ltd.</t>
        </is>
      </c>
      <c r="C34" t="inlineStr">
        <is>
          <t>LUPIN</t>
        </is>
      </c>
      <c r="D34" t="inlineStr">
        <is>
          <t>Healthcare</t>
        </is>
      </c>
    </row>
    <row r="35">
      <c r="A35" t="n">
        <v>30</v>
      </c>
      <c r="B35" t="inlineStr">
        <is>
          <t>Marico Ltd.</t>
        </is>
      </c>
      <c r="C35" t="inlineStr">
        <is>
          <t>MARICO</t>
        </is>
      </c>
      <c r="D35" t="inlineStr">
        <is>
          <t>Fast Moving Consumer Goods</t>
        </is>
      </c>
    </row>
    <row r="36">
      <c r="A36" t="n">
        <v>31</v>
      </c>
      <c r="B36" t="inlineStr">
        <is>
          <t>Maruti Suzuki India Ltd.</t>
        </is>
      </c>
      <c r="C36" t="inlineStr">
        <is>
          <t>MARUTI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MRF Ltd.</t>
        </is>
      </c>
      <c r="C37" t="inlineStr">
        <is>
          <t>MRF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Nestle India Ltd.</t>
        </is>
      </c>
      <c r="C38" t="inlineStr">
        <is>
          <t>NESTLEIND</t>
        </is>
      </c>
      <c r="D38" t="inlineStr">
        <is>
          <t>Fast Moving Consumer Goods</t>
        </is>
      </c>
    </row>
    <row r="39">
      <c r="A39" t="n">
        <v>34</v>
      </c>
      <c r="B39" t="inlineStr">
        <is>
          <t>NTPC Ltd.</t>
        </is>
      </c>
      <c r="C39" t="inlineStr">
        <is>
          <t>NTPC</t>
        </is>
      </c>
      <c r="D39" t="inlineStr">
        <is>
          <t>Power</t>
        </is>
      </c>
    </row>
    <row r="40">
      <c r="A40" t="n">
        <v>35</v>
      </c>
      <c r="B40" t="inlineStr">
        <is>
          <t>Page Industries Ltd.</t>
        </is>
      </c>
      <c r="C40" t="inlineStr">
        <is>
          <t>PAGEIND</t>
        </is>
      </c>
      <c r="D40" t="inlineStr">
        <is>
          <t>Textiles</t>
        </is>
      </c>
    </row>
    <row r="41">
      <c r="A41" t="n">
        <v>36</v>
      </c>
      <c r="B41" t="inlineStr">
        <is>
          <t>Pidilite Industries Ltd.</t>
        </is>
      </c>
      <c r="C41" t="inlineStr">
        <is>
          <t>PIDILITIND</t>
        </is>
      </c>
      <c r="D41" t="inlineStr">
        <is>
          <t>Chemicals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Cards and Payment Services Ltd.</t>
        </is>
      </c>
      <c r="C44" t="inlineStr">
        <is>
          <t>SBICARD</t>
        </is>
      </c>
      <c r="D44" t="inlineStr">
        <is>
          <t>Financial Services</t>
        </is>
      </c>
    </row>
    <row r="45">
      <c r="A45" t="n">
        <v>40</v>
      </c>
      <c r="B45" t="inlineStr">
        <is>
          <t>SBI Life Insurance Company Ltd.</t>
        </is>
      </c>
      <c r="C45" t="inlineStr">
        <is>
          <t>SBILIFE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Tech Mahindra Ltd.</t>
        </is>
      </c>
      <c r="C50" t="inlineStr">
        <is>
          <t>TECHM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Titan Company Ltd.</t>
        </is>
      </c>
      <c r="C51" t="inlineStr">
        <is>
          <t>TITAN</t>
        </is>
      </c>
      <c r="D51" t="inlineStr">
        <is>
          <t>Consumer Durables</t>
        </is>
      </c>
    </row>
    <row r="52">
      <c r="A52" t="n">
        <v>47</v>
      </c>
      <c r="B52" t="inlineStr">
        <is>
          <t>Torrent Pharmaceuticals Ltd.</t>
        </is>
      </c>
      <c r="C52" t="inlineStr">
        <is>
          <t>TORNTPHARM</t>
        </is>
      </c>
      <c r="D52" t="inlineStr">
        <is>
          <t>Healthcare</t>
        </is>
      </c>
    </row>
    <row r="53">
      <c r="A53" t="n">
        <v>48</v>
      </c>
      <c r="B53" t="inlineStr">
        <is>
          <t>UltraTech Cement Ltd.</t>
        </is>
      </c>
      <c r="C53" t="inlineStr">
        <is>
          <t>ULTRACEMCO</t>
        </is>
      </c>
      <c r="D53" t="inlineStr">
        <is>
          <t>Construction Materials</t>
        </is>
      </c>
    </row>
    <row r="54">
      <c r="A54" t="n">
        <v>49</v>
      </c>
      <c r="B54" t="inlineStr">
        <is>
          <t>United Spirits Ltd.</t>
        </is>
      </c>
      <c r="C54" t="inlineStr">
        <is>
          <t>UNITDSPR</t>
        </is>
      </c>
      <c r="D54" t="inlineStr">
        <is>
          <t>Fast Moving Consumer Goods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2026-09-23T03:45:11Z</dcterms:created>
  <dcterms:modified xsi:type="dcterms:W3CDTF">2026-09-23T10:40:08Z</dcterms:modified>
</cp:coreProperties>
</file>