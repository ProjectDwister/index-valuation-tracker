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8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  <xf numFmtId="1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Factsheet/Factsheet_nifty_Shariah25.pdf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2" customWidth="1" min="4" max="4"/>
    <col width="29" customWidth="1" min="5" max="5"/>
    <col width="21" customWidth="1" min="6" max="6"/>
    <col width="21" customWidth="1" min="7" max="7"/>
  </cols>
  <sheetData>
    <row r="1" ht="26" customHeight="1">
      <c r="A1" s="1" t="inlineStr">
        <is>
          <t>NIFTY Shariah 25 Valuation Tracker</t>
        </is>
      </c>
    </row>
    <row r="2">
      <c r="A2" s="2" t="inlineStr">
        <is>
          <t>As of</t>
        </is>
      </c>
      <c r="B2" s="23" t="n">
        <v>46303</v>
      </c>
      <c r="D2" s="2" t="inlineStr">
        <is>
          <t>Group</t>
        </is>
      </c>
      <c r="E2" s="4" t="inlineStr">
        <is>
          <t>Strategy / Thematic / Other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7284.25</v>
      </c>
      <c r="D5" s="2" t="inlineStr">
        <is>
          <t>P/E</t>
        </is>
      </c>
      <c r="E5" s="25" t="n">
        <v>24.07</v>
      </c>
    </row>
    <row r="6">
      <c r="A6" s="2" t="inlineStr">
        <is>
          <t>P/E percentile</t>
        </is>
      </c>
      <c r="B6" s="26" t="n">
        <v>0.2164179104477612</v>
      </c>
      <c r="D6" s="2" t="inlineStr">
        <is>
          <t>Implied EPS</t>
        </is>
      </c>
      <c r="E6" s="27" t="n">
        <v>302.6277523888658</v>
      </c>
    </row>
    <row r="7">
      <c r="A7" s="2" t="inlineStr">
        <is>
          <t>YoY implied EPS growth</t>
        </is>
      </c>
      <c r="B7" s="26" t="n">
        <v>0.09137371301429731</v>
      </c>
      <c r="D7" s="2" t="inlineStr">
        <is>
          <t>Earnings yield</t>
        </is>
      </c>
      <c r="E7" s="10" t="n">
        <v>0.04154549231408392</v>
      </c>
    </row>
    <row r="8">
      <c r="A8" s="2" t="inlineStr">
        <is>
          <t>Valuation score</t>
        </is>
      </c>
      <c r="B8" s="28" t="n">
        <v>78.35820895522389</v>
      </c>
      <c r="D8" s="2" t="inlineStr">
        <is>
          <t>Growth score</t>
        </is>
      </c>
      <c r="E8" s="28" t="n">
        <v>56.54948520571892</v>
      </c>
    </row>
    <row r="9">
      <c r="A9" s="2" t="inlineStr">
        <is>
          <t>Composite score</t>
        </is>
      </c>
      <c r="B9" s="28" t="n">
        <v>71.8155918303724</v>
      </c>
      <c r="D9" s="2" t="inlineStr">
        <is>
          <t>Signal</t>
        </is>
      </c>
      <c r="E9" s="12" t="inlineStr">
        <is>
          <t>BUY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24.19954258153319</v>
      </c>
      <c r="C13" s="15" t="n">
        <v>7323.453180288041</v>
      </c>
      <c r="D13" s="30" t="n">
        <v>0.005381910325433781</v>
      </c>
    </row>
    <row r="14">
      <c r="A14" t="inlineStr">
        <is>
          <t>HOLD → SELL</t>
        </is>
      </c>
      <c r="B14" s="29" t="n">
        <v>27.36843420303138</v>
      </c>
      <c r="C14" s="15" t="n">
        <v>8282.447729265949</v>
      </c>
      <c r="D14" s="30" t="n">
        <v>0.1370350728305521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30" t="n">
        <v>0.1109451538936871</v>
      </c>
      <c r="D18" s="30" t="n">
        <v>0.120284189732161</v>
      </c>
      <c r="E18" s="30" t="n">
        <v>0.1365904998409784</v>
      </c>
      <c r="F18" s="30" t="n"/>
      <c r="G18" s="30" t="n">
        <v>0</v>
      </c>
    </row>
    <row r="19">
      <c r="A19" t="inlineStr">
        <is>
          <t>Q2</t>
        </is>
      </c>
      <c r="B19" t="n">
        <v>9</v>
      </c>
      <c r="C19" s="30" t="n">
        <v>0.1777251618305816</v>
      </c>
      <c r="D19" s="30" t="n">
        <v>0.1000474061292126</v>
      </c>
      <c r="E19" s="30" t="n">
        <v>0.1219340031310742</v>
      </c>
      <c r="F19" s="30" t="n">
        <v>0.08808921933463454</v>
      </c>
      <c r="G19" s="30" t="n">
        <v>0.1666666666666667</v>
      </c>
    </row>
    <row r="20">
      <c r="A20" t="inlineStr">
        <is>
          <t>Q3</t>
        </is>
      </c>
      <c r="B20" t="n">
        <v>8</v>
      </c>
      <c r="C20" s="30" t="n">
        <v>0.1225375625385502</v>
      </c>
      <c r="D20" s="30" t="n">
        <v>0.08529370736328801</v>
      </c>
      <c r="E20" s="30" t="n">
        <v>0.1407935366950082</v>
      </c>
      <c r="F20" s="30" t="n">
        <v>0.0834287224445539</v>
      </c>
      <c r="G20" s="30" t="n">
        <v>0</v>
      </c>
    </row>
    <row r="21">
      <c r="A21" t="inlineStr">
        <is>
          <t>Q4</t>
        </is>
      </c>
      <c r="B21" t="n">
        <v>9</v>
      </c>
      <c r="C21" s="30" t="n">
        <v>-0.008666308766009712</v>
      </c>
      <c r="D21" s="30" t="n">
        <v>0.08796269220488573</v>
      </c>
      <c r="E21" s="30" t="n">
        <v>0.09750080408566186</v>
      </c>
      <c r="F21" s="30" t="n">
        <v>0.09858438475463349</v>
      </c>
      <c r="G21" s="30" t="n">
        <v>0</v>
      </c>
    </row>
    <row r="22">
      <c r="A22" t="inlineStr">
        <is>
          <t>Q5 Most Expensive</t>
        </is>
      </c>
      <c r="B22" t="n">
        <v>10</v>
      </c>
      <c r="C22" s="30" t="n">
        <v>0.05339859856821216</v>
      </c>
      <c r="D22" s="30" t="n">
        <v>0.119687819819025</v>
      </c>
      <c r="E22" s="30" t="n">
        <v>0.07865811272666945</v>
      </c>
      <c r="F22" s="30" t="n"/>
      <c r="G22" s="30" t="n">
        <v>0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66</v>
      </c>
    </row>
    <row r="26">
      <c r="A26" s="2" t="inlineStr">
        <is>
          <t>Quarter-end P/E observations</t>
        </is>
      </c>
      <c r="B26" t="n">
        <v>44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2026-09-30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5447.94</v>
      </c>
      <c r="C2" s="25" t="n">
        <v>31.06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5897.73</v>
      </c>
      <c r="C3" s="25" t="n">
        <v>32.17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6019.6</v>
      </c>
      <c r="C4" s="25" t="n">
        <v>29.56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6040.68</v>
      </c>
      <c r="C5" s="25" t="n">
        <v>29.24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6456.01</v>
      </c>
      <c r="C6" s="25" t="n">
        <v>28.23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6562.49</v>
      </c>
      <c r="C7" s="25" t="n">
        <v>29.22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6269.61</v>
      </c>
      <c r="C8" s="25" t="n">
        <v>27.65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6258.85</v>
      </c>
      <c r="C9" s="25" t="n">
        <v>25.8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6635.56</v>
      </c>
      <c r="C10" s="25" t="n">
        <v>27.55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6315.82</v>
      </c>
      <c r="C11" s="25" t="n">
        <v>26.23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6085.32</v>
      </c>
      <c r="C12" s="25" t="n">
        <v>24.2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6261.27</v>
      </c>
      <c r="C13" s="25" t="n">
        <v>25.94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6226.4</v>
      </c>
      <c r="C14" s="25" t="n">
        <v>25.29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5990.72</v>
      </c>
      <c r="C15" s="25" t="n">
        <v>23.99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5675.88</v>
      </c>
      <c r="C16" s="25" t="n">
        <v>22.21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6172.99</v>
      </c>
      <c r="C17" s="25" t="n">
        <v>24.1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6327.91</v>
      </c>
      <c r="C18" s="25" t="n">
        <v>23.73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6224.05</v>
      </c>
      <c r="C19" s="25" t="n">
        <v>23.61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6298.23</v>
      </c>
      <c r="C20" s="25" t="n">
        <v>23.77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6589.43</v>
      </c>
      <c r="C21" s="25" t="n">
        <v>26.57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6290.99</v>
      </c>
      <c r="C22" s="25" t="n">
        <v>25.37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6133.18</v>
      </c>
      <c r="C23" s="25" t="n">
        <v>24.82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5853.16</v>
      </c>
      <c r="C24" s="25" t="n">
        <v>23.24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5916.96</v>
      </c>
      <c r="C25" s="25" t="n">
        <v>20.56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6019.58</v>
      </c>
      <c r="C26" s="25" t="n">
        <v>20.76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6305.24</v>
      </c>
      <c r="C27" s="25" t="n">
        <v>22.94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6467.32</v>
      </c>
      <c r="C28" s="25" t="n">
        <v>23.54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6596.48</v>
      </c>
      <c r="C29" s="25" t="n">
        <v>23.86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6577.47</v>
      </c>
      <c r="C30" s="25" t="n">
        <v>23.4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6737.23</v>
      </c>
      <c r="C31" s="25" t="n">
        <v>24.62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6597.94</v>
      </c>
      <c r="C32" s="25" t="n">
        <v>23.83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6974.23</v>
      </c>
      <c r="C33" s="25" t="n">
        <v>24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7591.14</v>
      </c>
      <c r="C34" s="25" t="n">
        <v>26.01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7718.94</v>
      </c>
      <c r="C35" s="25" t="n">
        <v>26.02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7937.62</v>
      </c>
      <c r="C36" s="25" t="n">
        <v>27.34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7731.52</v>
      </c>
      <c r="C37" s="25" t="n">
        <v>26.69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7759.28</v>
      </c>
      <c r="C38" s="25" t="n">
        <v>26.62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7874.1</v>
      </c>
      <c r="C39" s="25" t="n">
        <v>25.25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8434.379999999999</v>
      </c>
      <c r="C40" s="25" t="n">
        <v>27.07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9166.790000000001</v>
      </c>
      <c r="C41" s="25" t="n">
        <v>30.18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9322.5</v>
      </c>
      <c r="C42" s="25" t="n">
        <v>30.7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9396.809999999999</v>
      </c>
      <c r="C43" s="25" t="n">
        <v>30.98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8651.129999999999</v>
      </c>
      <c r="C44" s="25" t="n">
        <v>28.36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8629.5</v>
      </c>
      <c r="C45" s="25" t="n">
        <v>28.91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8475.35</v>
      </c>
      <c r="C46" s="25" t="n">
        <v>28.49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8361.65</v>
      </c>
      <c r="C47" s="25" t="n">
        <v>27.79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7494.15</v>
      </c>
      <c r="C48" s="25" t="n">
        <v>25.02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7879.35</v>
      </c>
      <c r="C49" s="25" t="n">
        <v>26.24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8078.05</v>
      </c>
      <c r="C50" s="25" t="n">
        <v>26.67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8129.2</v>
      </c>
      <c r="C51" s="25" t="n">
        <v>26.73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8325.200000000001</v>
      </c>
      <c r="C52" s="25" t="n">
        <v>26.91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8066.15</v>
      </c>
      <c r="C53" s="25" t="n">
        <v>25.92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8233.9</v>
      </c>
      <c r="C54" s="25" t="n">
        <v>26.29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8011.7</v>
      </c>
      <c r="C55" s="25" t="n">
        <v>28.89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8301.200000000001</v>
      </c>
      <c r="C56" s="25" t="n">
        <v>29.55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8499.549999999999</v>
      </c>
      <c r="C57" s="25" t="n">
        <v>29.67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8401.9</v>
      </c>
      <c r="C58" s="25" t="n">
        <v>29.52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8289.200000000001</v>
      </c>
      <c r="C59" s="25" t="n">
        <v>29.5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7917.3</v>
      </c>
      <c r="C60" s="25" t="n">
        <v>28.16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7255.85</v>
      </c>
      <c r="C61" s="25" t="n">
        <v>25.54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7795.1</v>
      </c>
      <c r="C62" s="25" t="n">
        <v>27.03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7836.85</v>
      </c>
      <c r="C63" s="25" t="n">
        <v>27.39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7605.4</v>
      </c>
      <c r="C64" s="25" t="n">
        <v>25.62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8126.85</v>
      </c>
      <c r="C65" s="25" t="n">
        <v>27.36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8031.5</v>
      </c>
      <c r="C66" s="25" t="n">
        <v>26.98</v>
      </c>
      <c r="D66" s="32">
        <f>IFERROR(B66/C66,"")</f>
        <v/>
      </c>
      <c r="E66" s="20">
        <f>IFERROR(1/C66,"")</f>
        <v/>
      </c>
    </row>
    <row r="67">
      <c r="A67" s="31" t="n">
        <v>46295</v>
      </c>
      <c r="B67" s="24" t="n">
        <v>7415.9</v>
      </c>
      <c r="C67" s="25" t="n">
        <v>24.5</v>
      </c>
      <c r="D67" s="32">
        <f>IFERROR(B67/C67,"")</f>
        <v/>
      </c>
      <c r="E67" s="20">
        <f>IFERROR(1/C67,"")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42369</v>
      </c>
      <c r="B2" s="24" t="n">
        <v>3281.28</v>
      </c>
      <c r="C2" s="25" t="n">
        <v>27.2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IF(C2="","",(COUNTIFS($D$2:$D$45,D2,$C$2:$C$45,"&gt;0",$C$2:$C$45,"&lt;"&amp;C2)+(COUNTIFS($D$2:$D$45,D2,$C$2:$C$45,C2)+1)/2)/COUNTIFS($D$2:$D$45,D2,$C$2:$C$45,"&gt;0"))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42460</v>
      </c>
      <c r="B3" s="24" t="n">
        <v>3119.2</v>
      </c>
      <c r="C3" s="25" t="n">
        <v>24.21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IF(C3="","",(COUNTIFS($D$2:$D$45,D3,$C$2:$C$45,"&gt;0",$C$2:$C$45,"&lt;"&amp;C3)+(COUNTIFS($D$2:$D$45,D3,$C$2:$C$45,C3)+1)/2)/COUNTIFS($D$2:$D$45,D3,$C$2:$C$45,"&gt;0"))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42551</v>
      </c>
      <c r="B4" s="24" t="n">
        <v>3296.45</v>
      </c>
      <c r="C4" s="25" t="n">
        <v>25.38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IF(C4="","",(COUNTIFS($D$2:$D$45,D4,$C$2:$C$45,"&gt;0",$C$2:$C$45,"&lt;"&amp;C4)+(COUNTIFS($D$2:$D$45,D4,$C$2:$C$45,C4)+1)/2)/COUNTIFS($D$2:$D$45,D4,$C$2:$C$45,"&gt;0"))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>
        <f>IFERROR((B44/B4)^(1/10)-1,"")</f>
        <v/>
      </c>
    </row>
    <row r="5">
      <c r="A5" s="31" t="n">
        <v>42643</v>
      </c>
      <c r="B5" s="24" t="n">
        <v>3445.76</v>
      </c>
      <c r="C5" s="25" t="n">
        <v>25.05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IF(C5="","",(COUNTIFS($D$2:$D$45,D5,$C$2:$C$45,"&gt;0",$C$2:$C$45,"&lt;"&amp;C5)+(COUNTIFS($D$2:$D$45,D5,$C$2:$C$45,C5)+1)/2)/COUNTIFS($D$2:$D$45,D5,$C$2:$C$45,"&gt;0"))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>
        <f>IFERROR((B45/B5)^(1/10)-1,"")</f>
        <v/>
      </c>
    </row>
    <row r="6">
      <c r="A6" s="31" t="n">
        <v>42735</v>
      </c>
      <c r="B6" s="24" t="n">
        <v>3258.97</v>
      </c>
      <c r="C6" s="25" t="n">
        <v>24.16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IF(C6="","",(COUNTIFS($D$2:$D$45,D6,$C$2:$C$45,"&gt;0",$C$2:$C$45,"&lt;"&amp;C6)+(COUNTIFS($D$2:$D$45,D6,$C$2:$C$45,C6)+1)/2)/COUNTIFS($D$2:$D$45,D6,$C$2:$C$45,"&gt;0"))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42825</v>
      </c>
      <c r="B7" s="24" t="n">
        <v>3583.28</v>
      </c>
      <c r="C7" s="25" t="n">
        <v>24.85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IF(C7="","",(COUNTIFS($D$2:$D$45,D7,$C$2:$C$45,"&gt;0",$C$2:$C$45,"&lt;"&amp;C7)+(COUNTIFS($D$2:$D$45,D7,$C$2:$C$45,C7)+1)/2)/COUNTIFS($D$2:$D$45,D7,$C$2:$C$45,"&gt;0"))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42916</v>
      </c>
      <c r="B8" s="24" t="n">
        <v>3720.36</v>
      </c>
      <c r="C8" s="25" t="n">
        <v>26.18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IF(C8="","",(COUNTIFS($D$2:$D$45,D8,$C$2:$C$45,"&gt;0",$C$2:$C$45,"&lt;"&amp;C8)+(COUNTIFS($D$2:$D$45,D8,$C$2:$C$45,C8)+1)/2)/COUNTIFS($D$2:$D$45,D8,$C$2:$C$45,"&gt;0"))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43008</v>
      </c>
      <c r="B9" s="24" t="n">
        <v>3953.1</v>
      </c>
      <c r="C9" s="25" t="n">
        <v>31.43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IF(C9="","",(COUNTIFS($D$2:$D$45,D9,$C$2:$C$45,"&gt;0",$C$2:$C$45,"&lt;"&amp;C9)+(COUNTIFS($D$2:$D$45,D9,$C$2:$C$45,C9)+1)/2)/COUNTIFS($D$2:$D$45,D9,$C$2:$C$45,"&gt;0"))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43100</v>
      </c>
      <c r="B10" s="24" t="n">
        <v>4320.91</v>
      </c>
      <c r="C10" s="25" t="n">
        <v>30.84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IF(C10="","",(COUNTIFS($D$2:$D$45,D10,$C$2:$C$45,"&gt;0",$C$2:$C$45,"&lt;"&amp;C10)+(COUNTIFS($D$2:$D$45,D10,$C$2:$C$45,C10)+1)/2)/COUNTIFS($D$2:$D$45,D10,$C$2:$C$45,"&gt;0"))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43190</v>
      </c>
      <c r="B11" s="24" t="n">
        <v>4040.22</v>
      </c>
      <c r="C11" s="25" t="n">
        <v>27.9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IF(C11="","",(COUNTIFS($D$2:$D$45,D11,$C$2:$C$45,"&gt;0",$C$2:$C$45,"&lt;"&amp;C11)+(COUNTIFS($D$2:$D$45,D11,$C$2:$C$45,C11)+1)/2)/COUNTIFS($D$2:$D$45,D11,$C$2:$C$45,"&gt;0"))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43281</v>
      </c>
      <c r="B12" s="24" t="n">
        <v>4154.14</v>
      </c>
      <c r="C12" s="25" t="n">
        <v>27.26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IF(C12="","",(COUNTIFS($D$2:$D$45,D12,$C$2:$C$45,"&gt;0",$C$2:$C$45,"&lt;"&amp;C12)+(COUNTIFS($D$2:$D$45,D12,$C$2:$C$45,C12)+1)/2)/COUNTIFS($D$2:$D$45,D12,$C$2:$C$45,"&gt;0"))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43373</v>
      </c>
      <c r="B13" s="24" t="n">
        <v>4164.19</v>
      </c>
      <c r="C13" s="25" t="n">
        <v>23.44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IF(C13="","",(COUNTIFS($D$2:$D$45,D13,$C$2:$C$45,"&gt;0",$C$2:$C$45,"&lt;"&amp;C13)+(COUNTIFS($D$2:$D$45,D13,$C$2:$C$45,C13)+1)/2)/COUNTIFS($D$2:$D$45,D13,$C$2:$C$45,"&gt;0"))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43465</v>
      </c>
      <c r="B14" s="24" t="n">
        <v>4225.57</v>
      </c>
      <c r="C14" s="25" t="n">
        <v>23.19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IF(C14="","",(COUNTIFS($D$2:$D$45,D14,$C$2:$C$45,"&gt;0",$C$2:$C$45,"&lt;"&amp;C14)+(COUNTIFS($D$2:$D$45,D14,$C$2:$C$45,C14)+1)/2)/COUNTIFS($D$2:$D$45,D14,$C$2:$C$45,"&gt;0"))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43555</v>
      </c>
      <c r="B15" s="24" t="n">
        <v>4312.45</v>
      </c>
      <c r="C15" s="25" t="n">
        <v>24.29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IF(C15="","",(COUNTIFS($D$2:$D$45,D15,$C$2:$C$45,"&gt;0",$C$2:$C$45,"&lt;"&amp;C15)+(COUNTIFS($D$2:$D$45,D15,$C$2:$C$45,C15)+1)/2)/COUNTIFS($D$2:$D$45,D15,$C$2:$C$45,"&gt;0"))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43646</v>
      </c>
      <c r="B16" s="24" t="n">
        <v>4213.94</v>
      </c>
      <c r="C16" s="25" t="n">
        <v>22.28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IF(C16="","",(COUNTIFS($D$2:$D$45,D16,$C$2:$C$45,"&gt;0",$C$2:$C$45,"&lt;"&amp;C16)+(COUNTIFS($D$2:$D$45,D16,$C$2:$C$45,C16)+1)/2)/COUNTIFS($D$2:$D$45,D16,$C$2:$C$45,"&gt;0"))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43738</v>
      </c>
      <c r="B17" s="24" t="n">
        <v>4320.22</v>
      </c>
      <c r="C17" s="25" t="n">
        <v>27.27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IF(C17="","",(COUNTIFS($D$2:$D$45,D17,$C$2:$C$45,"&gt;0",$C$2:$C$45,"&lt;"&amp;C17)+(COUNTIFS($D$2:$D$45,D17,$C$2:$C$45,C17)+1)/2)/COUNTIFS($D$2:$D$45,D17,$C$2:$C$45,"&gt;0"))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43830</v>
      </c>
      <c r="B18" s="24" t="n">
        <v>4324.03</v>
      </c>
      <c r="C18" s="25" t="n">
        <v>25.39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IF(C18="","",(COUNTIFS($D$2:$D$45,D18,$C$2:$C$45,"&gt;0",$C$2:$C$45,"&lt;"&amp;C18)+(COUNTIFS($D$2:$D$45,D18,$C$2:$C$45,C18)+1)/2)/COUNTIFS($D$2:$D$45,D18,$C$2:$C$45,"&gt;0"))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43921</v>
      </c>
      <c r="B19" s="24" t="n">
        <v>3582.54</v>
      </c>
      <c r="C19" s="25" t="n">
        <v>20.86</v>
      </c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IF(C19="","",(COUNTIFS($D$2:$D$45,D19,$C$2:$C$45,"&gt;0",$C$2:$C$45,"&lt;"&amp;C19)+(COUNTIFS($D$2:$D$45,D19,$C$2:$C$45,C19)+1)/2)/COUNTIFS($D$2:$D$45,D19,$C$2:$C$45,"&gt;0"))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44012</v>
      </c>
      <c r="B20" s="24" t="n">
        <v>4196.81</v>
      </c>
      <c r="C20" s="25" t="n">
        <v>25.84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IF(C20="","",(COUNTIFS($D$2:$D$45,D20,$C$2:$C$45,"&gt;0",$C$2:$C$45,"&lt;"&amp;C20)+(COUNTIFS($D$2:$D$45,D20,$C$2:$C$45,C20)+1)/2)/COUNTIFS($D$2:$D$45,D20,$C$2:$C$45,"&gt;0"))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44104</v>
      </c>
      <c r="B21" s="24" t="n">
        <v>4604.08</v>
      </c>
      <c r="C21" s="25" t="n">
        <v>34.2</v>
      </c>
      <c r="D21" s="2" t="inlineStr">
        <is>
          <t>Standalone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IF(C21="","",(COUNTIFS($D$2:$D$45,D21,$C$2:$C$45,"&gt;0",$C$2:$C$45,"&lt;"&amp;C21)+(COUNTIFS($D$2:$D$45,D21,$C$2:$C$45,C21)+1)/2)/COUNTIFS($D$2:$D$45,D21,$C$2:$C$45,"&gt;0"))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44196</v>
      </c>
      <c r="B22" s="24" t="n">
        <v>5343.24</v>
      </c>
      <c r="C22" s="25" t="n">
        <v>41.47</v>
      </c>
      <c r="D22" s="2" t="inlineStr">
        <is>
          <t>Standalone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IF(C22="","",(COUNTIFS($D$2:$D$45,D22,$C$2:$C$45,"&gt;0",$C$2:$C$45,"&lt;"&amp;C22)+(COUNTIFS($D$2:$D$45,D22,$C$2:$C$45,C22)+1)/2)/COUNTIFS($D$2:$D$45,D22,$C$2:$C$45,"&gt;0"))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44286</v>
      </c>
      <c r="B23" s="24" t="n">
        <v>5497.55</v>
      </c>
      <c r="C23" s="25" t="n">
        <v>30.83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IF(C23="","",(COUNTIFS($D$2:$D$45,D23,$C$2:$C$45,"&gt;0",$C$2:$C$45,"&lt;"&amp;C23)+(COUNTIFS($D$2:$D$45,D23,$C$2:$C$45,C23)+1)/2)/COUNTIFS($D$2:$D$45,D23,$C$2:$C$45,"&gt;0"))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 t="n"/>
    </row>
    <row r="24">
      <c r="A24" s="31" t="n">
        <v>44377</v>
      </c>
      <c r="B24" s="24" t="n">
        <v>6019.6</v>
      </c>
      <c r="C24" s="25" t="n">
        <v>29.56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IF(C24="","",(COUNTIFS($D$2:$D$45,D24,$C$2:$C$45,"&gt;0",$C$2:$C$45,"&lt;"&amp;C24)+(COUNTIFS($D$2:$D$45,D24,$C$2:$C$45,C24)+1)/2)/COUNTIFS($D$2:$D$45,D24,$C$2:$C$45,"&gt;0"))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>
        <f>IFERROR((B44/B24)^(1/5)-1,"")</f>
        <v/>
      </c>
      <c r="L24" s="30" t="n"/>
    </row>
    <row r="25">
      <c r="A25" s="31" t="n">
        <v>44469</v>
      </c>
      <c r="B25" s="24" t="n">
        <v>6562.49</v>
      </c>
      <c r="C25" s="25" t="n">
        <v>29.22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IF(C25="","",(COUNTIFS($D$2:$D$45,D25,$C$2:$C$45,"&gt;0",$C$2:$C$45,"&lt;"&amp;C25)+(COUNTIFS($D$2:$D$45,D25,$C$2:$C$45,C25)+1)/2)/COUNTIFS($D$2:$D$45,D25,$C$2:$C$45,"&gt;0"))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>
        <f>IFERROR((B45/B25)^(1/5)-1,"")</f>
        <v/>
      </c>
      <c r="L25" s="30" t="n"/>
    </row>
    <row r="26">
      <c r="A26" s="31" t="n">
        <v>44561</v>
      </c>
      <c r="B26" s="24" t="n">
        <v>6635.56</v>
      </c>
      <c r="C26" s="25" t="n">
        <v>27.55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IF(C26="","",(COUNTIFS($D$2:$D$45,D26,$C$2:$C$45,"&gt;0",$C$2:$C$45,"&lt;"&amp;C26)+(COUNTIFS($D$2:$D$45,D26,$C$2:$C$45,C26)+1)/2)/COUNTIFS($D$2:$D$45,D26,$C$2:$C$45,"&gt;0"))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44651</v>
      </c>
      <c r="B27" s="24" t="n">
        <v>6261.27</v>
      </c>
      <c r="C27" s="25" t="n">
        <v>25.94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IF(C27="","",(COUNTIFS($D$2:$D$45,D27,$C$2:$C$45,"&gt;0",$C$2:$C$45,"&lt;"&amp;C27)+(COUNTIFS($D$2:$D$45,D27,$C$2:$C$45,C27)+1)/2)/COUNTIFS($D$2:$D$45,D27,$C$2:$C$45,"&gt;0"))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44742</v>
      </c>
      <c r="B28" s="24" t="n">
        <v>5675.88</v>
      </c>
      <c r="C28" s="25" t="n">
        <v>22.21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IF(C28="","",(COUNTIFS($D$2:$D$45,D28,$C$2:$C$45,"&gt;0",$C$2:$C$45,"&lt;"&amp;C28)+(COUNTIFS($D$2:$D$45,D28,$C$2:$C$45,C28)+1)/2)/COUNTIFS($D$2:$D$45,D28,$C$2:$C$45,"&gt;0"))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44834</v>
      </c>
      <c r="B29" s="24" t="n">
        <v>6224.05</v>
      </c>
      <c r="C29" s="25" t="n">
        <v>23.61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IF(C29="","",(COUNTIFS($D$2:$D$45,D29,$C$2:$C$45,"&gt;0",$C$2:$C$45,"&lt;"&amp;C29)+(COUNTIFS($D$2:$D$45,D29,$C$2:$C$45,C29)+1)/2)/COUNTIFS($D$2:$D$45,D29,$C$2:$C$45,"&gt;0"))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44926</v>
      </c>
      <c r="B30" s="24" t="n">
        <v>6290.99</v>
      </c>
      <c r="C30" s="25" t="n">
        <v>25.37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IF(C30="","",(COUNTIFS($D$2:$D$45,D30,$C$2:$C$45,"&gt;0",$C$2:$C$45,"&lt;"&amp;C30)+(COUNTIFS($D$2:$D$45,D30,$C$2:$C$45,C30)+1)/2)/COUNTIFS($D$2:$D$45,D30,$C$2:$C$45,"&gt;0"))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45016</v>
      </c>
      <c r="B31" s="24" t="n">
        <v>5916.96</v>
      </c>
      <c r="C31" s="25" t="n">
        <v>20.56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IF(C31="","",(COUNTIFS($D$2:$D$45,D31,$C$2:$C$45,"&gt;0",$C$2:$C$45,"&lt;"&amp;C31)+(COUNTIFS($D$2:$D$45,D31,$C$2:$C$45,C31)+1)/2)/COUNTIFS($D$2:$D$45,D31,$C$2:$C$45,"&gt;0"))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 t="n"/>
      <c r="L31" s="30" t="n"/>
    </row>
    <row r="32">
      <c r="A32" s="31" t="n">
        <v>45107</v>
      </c>
      <c r="B32" s="24" t="n">
        <v>6467.32</v>
      </c>
      <c r="C32" s="25" t="n">
        <v>23.54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IF(C32="","",(COUNTIFS($D$2:$D$45,D32,$C$2:$C$45,"&gt;0",$C$2:$C$45,"&lt;"&amp;C32)+(COUNTIFS($D$2:$D$45,D32,$C$2:$C$45,C32)+1)/2)/COUNTIFS($D$2:$D$45,D32,$C$2:$C$45,"&gt;0"))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>
        <f>IFERROR((B44/B32)^(1/3)-1,"")</f>
        <v/>
      </c>
      <c r="K32" s="30" t="n"/>
      <c r="L32" s="30" t="n"/>
    </row>
    <row r="33">
      <c r="A33" s="31" t="n">
        <v>45199</v>
      </c>
      <c r="B33" s="24" t="n">
        <v>6737.23</v>
      </c>
      <c r="C33" s="25" t="n">
        <v>24.62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IF(C33="","",(COUNTIFS($D$2:$D$45,D33,$C$2:$C$45,"&gt;0",$C$2:$C$45,"&lt;"&amp;C33)+(COUNTIFS($D$2:$D$45,D33,$C$2:$C$45,C33)+1)/2)/COUNTIFS($D$2:$D$45,D33,$C$2:$C$45,"&gt;0"))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>
        <f>IFERROR((B45/B33)^(1/3)-1,"")</f>
        <v/>
      </c>
      <c r="K33" s="30" t="n"/>
      <c r="L33" s="30" t="n"/>
    </row>
    <row r="34">
      <c r="A34" s="31" t="n">
        <v>45291</v>
      </c>
      <c r="B34" s="24" t="n">
        <v>7591.14</v>
      </c>
      <c r="C34" s="25" t="n">
        <v>26.01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IF(C34="","",(COUNTIFS($D$2:$D$45,D34,$C$2:$C$45,"&gt;0",$C$2:$C$45,"&lt;"&amp;C34)+(COUNTIFS($D$2:$D$45,D34,$C$2:$C$45,C34)+1)/2)/COUNTIFS($D$2:$D$45,D34,$C$2:$C$45,"&gt;0"))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45382</v>
      </c>
      <c r="B35" s="24" t="n">
        <v>7731.52</v>
      </c>
      <c r="C35" s="25" t="n">
        <v>26.69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IF(C35="","",(COUNTIFS($D$2:$D$45,D35,$C$2:$C$45,"&gt;0",$C$2:$C$45,"&lt;"&amp;C35)+(COUNTIFS($D$2:$D$45,D35,$C$2:$C$45,C35)+1)/2)/COUNTIFS($D$2:$D$45,D35,$C$2:$C$45,"&gt;0"))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45473</v>
      </c>
      <c r="B36" s="24" t="n">
        <v>8434.379999999999</v>
      </c>
      <c r="C36" s="25" t="n">
        <v>27.07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IF(C36="","",(COUNTIFS($D$2:$D$45,D36,$C$2:$C$45,"&gt;0",$C$2:$C$45,"&lt;"&amp;C36)+(COUNTIFS($D$2:$D$45,D36,$C$2:$C$45,C36)+1)/2)/COUNTIFS($D$2:$D$45,D36,$C$2:$C$45,"&gt;0"))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45565</v>
      </c>
      <c r="B37" s="24" t="n">
        <v>9396.809999999999</v>
      </c>
      <c r="C37" s="25" t="n">
        <v>30.98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IF(C37="","",(COUNTIFS($D$2:$D$45,D37,$C$2:$C$45,"&gt;0",$C$2:$C$45,"&lt;"&amp;C37)+(COUNTIFS($D$2:$D$45,D37,$C$2:$C$45,C37)+1)/2)/COUNTIFS($D$2:$D$45,D37,$C$2:$C$45,"&gt;0"))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45657</v>
      </c>
      <c r="B38" s="24" t="n">
        <v>8475.35</v>
      </c>
      <c r="C38" s="25" t="n">
        <v>28.49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IF(C38="","",(COUNTIFS($D$2:$D$45,D38,$C$2:$C$45,"&gt;0",$C$2:$C$45,"&lt;"&amp;C38)+(COUNTIFS($D$2:$D$45,D38,$C$2:$C$45,C38)+1)/2)/COUNTIFS($D$2:$D$45,D38,$C$2:$C$45,"&gt;0"))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45747</v>
      </c>
      <c r="B39" s="24" t="n">
        <v>7879.35</v>
      </c>
      <c r="C39" s="25" t="n">
        <v>26.24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IF(C39="","",(COUNTIFS($D$2:$D$45,D39,$C$2:$C$45,"&gt;0",$C$2:$C$45,"&lt;"&amp;C39)+(COUNTIFS($D$2:$D$45,D39,$C$2:$C$45,C39)+1)/2)/COUNTIFS($D$2:$D$45,D39,$C$2:$C$45,"&gt;0"))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 t="n"/>
      <c r="K39" s="30" t="n"/>
      <c r="L39" s="30" t="n"/>
    </row>
    <row r="40">
      <c r="A40" s="31" t="n">
        <v>45838</v>
      </c>
      <c r="B40" s="24" t="n">
        <v>8325.200000000001</v>
      </c>
      <c r="C40" s="25" t="n">
        <v>26.91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IF(C40="","",(COUNTIFS($D$2:$D$45,D40,$C$2:$C$45,"&gt;0",$C$2:$C$45,"&lt;"&amp;C40)+(COUNTIFS($D$2:$D$45,D40,$C$2:$C$45,C40)+1)/2)/COUNTIFS($D$2:$D$45,D40,$C$2:$C$45,"&gt;0"))</f>
        <v/>
      </c>
      <c r="H40">
        <f>IF(G40="","",IF(G40&lt;=20%,"Q1 Cheapest",IF(G40&lt;=40%,"Q2",IF(G40&lt;=60%,"Q3",IF(G40&lt;=80%,"Q4","Q5 Most Expensive")))))</f>
        <v/>
      </c>
      <c r="I40" s="30">
        <f>IFERROR(B44/B40-1,"")</f>
        <v/>
      </c>
      <c r="J40" s="30" t="n"/>
      <c r="K40" s="30" t="n"/>
      <c r="L40" s="30" t="n"/>
    </row>
    <row r="41">
      <c r="A41" s="31" t="n">
        <v>45930</v>
      </c>
      <c r="B41" s="24" t="n">
        <v>8011.7</v>
      </c>
      <c r="C41" s="25" t="n">
        <v>28.89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IF(C41="","",(COUNTIFS($D$2:$D$45,D41,$C$2:$C$45,"&gt;0",$C$2:$C$45,"&lt;"&amp;C41)+(COUNTIFS($D$2:$D$45,D41,$C$2:$C$45,C41)+1)/2)/COUNTIFS($D$2:$D$45,D41,$C$2:$C$45,"&gt;0"))</f>
        <v/>
      </c>
      <c r="H41">
        <f>IF(G41="","",IF(G41&lt;=20%,"Q1 Cheapest",IF(G41&lt;=40%,"Q2",IF(G41&lt;=60%,"Q3",IF(G41&lt;=80%,"Q4","Q5 Most Expensive")))))</f>
        <v/>
      </c>
      <c r="I41" s="30">
        <f>IFERROR(B45/B41-1,"")</f>
        <v/>
      </c>
      <c r="J41" s="30" t="n"/>
      <c r="K41" s="30" t="n"/>
      <c r="L41" s="30" t="n"/>
    </row>
    <row r="42">
      <c r="A42" s="31" t="n">
        <v>46022</v>
      </c>
      <c r="B42" s="24" t="n">
        <v>8401.9</v>
      </c>
      <c r="C42" s="25" t="n">
        <v>29.52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IF(C42="","",(COUNTIFS($D$2:$D$45,D42,$C$2:$C$45,"&gt;0",$C$2:$C$45,"&lt;"&amp;C42)+(COUNTIFS($D$2:$D$45,D42,$C$2:$C$45,C42)+1)/2)/COUNTIFS($D$2:$D$45,D42,$C$2:$C$45,"&gt;0"))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  <row r="43">
      <c r="A43" s="31" t="n">
        <v>46112</v>
      </c>
      <c r="B43" s="24" t="n">
        <v>7255.85</v>
      </c>
      <c r="C43" s="25" t="n">
        <v>25.54</v>
      </c>
      <c r="D43" s="2" t="inlineStr">
        <is>
          <t>Consolidated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IF(C43="","",(COUNTIFS($D$2:$D$45,D43,$C$2:$C$45,"&gt;0",$C$2:$C$45,"&lt;"&amp;C43)+(COUNTIFS($D$2:$D$45,D43,$C$2:$C$45,C43)+1)/2)/COUNTIFS($D$2:$D$45,D43,$C$2:$C$45,"&gt;0"))</f>
        <v/>
      </c>
      <c r="H43">
        <f>IF(G43="","",IF(G43&lt;=20%,"Q1 Cheapest",IF(G43&lt;=40%,"Q2",IF(G43&lt;=60%,"Q3",IF(G43&lt;=80%,"Q4","Q5 Most Expensive")))))</f>
        <v/>
      </c>
      <c r="I43" s="30" t="n"/>
      <c r="J43" s="30" t="n"/>
      <c r="K43" s="30" t="n"/>
      <c r="L43" s="30" t="n"/>
    </row>
    <row r="44">
      <c r="A44" s="31" t="n">
        <v>46203</v>
      </c>
      <c r="B44" s="24" t="n">
        <v>7605.4</v>
      </c>
      <c r="C44" s="25" t="n">
        <v>25.62</v>
      </c>
      <c r="D44" s="2" t="inlineStr">
        <is>
          <t>Consolidated</t>
        </is>
      </c>
      <c r="E44" s="33">
        <f>IFERROR(B44/C44,"")</f>
        <v/>
      </c>
      <c r="F44" s="30">
        <f>IF(AND(D44=D40,E40&lt;&gt;""),E44/E40-1,"")</f>
        <v/>
      </c>
      <c r="G44" s="30">
        <f>IF(C44="","",(COUNTIFS($D$2:$D$45,D44,$C$2:$C$45,"&gt;0",$C$2:$C$45,"&lt;"&amp;C44)+(COUNTIFS($D$2:$D$45,D44,$C$2:$C$45,C44)+1)/2)/COUNTIFS($D$2:$D$45,D44,$C$2:$C$45,"&gt;0"))</f>
        <v/>
      </c>
      <c r="H44">
        <f>IF(G44="","",IF(G44&lt;=20%,"Q1 Cheapest",IF(G44&lt;=40%,"Q2",IF(G44&lt;=60%,"Q3",IF(G44&lt;=80%,"Q4","Q5 Most Expensive")))))</f>
        <v/>
      </c>
      <c r="I44" s="30" t="n"/>
      <c r="J44" s="30" t="n"/>
      <c r="K44" s="30" t="n"/>
      <c r="L44" s="30" t="n"/>
    </row>
    <row r="45">
      <c r="A45" s="31" t="n">
        <v>46295</v>
      </c>
      <c r="B45" s="24" t="n">
        <v>7415.9</v>
      </c>
      <c r="C45" s="25" t="n">
        <v>24.5</v>
      </c>
      <c r="D45" s="2" t="inlineStr">
        <is>
          <t>Consolidated</t>
        </is>
      </c>
      <c r="E45" s="33">
        <f>IFERROR(B45/C45,"")</f>
        <v/>
      </c>
      <c r="F45" s="30">
        <f>IF(AND(D45=D41,E41&lt;&gt;""),E45/E41-1,"")</f>
        <v/>
      </c>
      <c r="G45" s="30">
        <f>IF(C45="","",(COUNTIFS($D$2:$D$45,D45,$C$2:$C$45,"&gt;0",$C$2:$C$45,"&lt;"&amp;C45)+(COUNTIFS($D$2:$D$45,D45,$C$2:$C$45,C45)+1)/2)/COUNTIFS($D$2:$D$45,D45,$C$2:$C$45,"&gt;0"))</f>
        <v/>
      </c>
      <c r="H45">
        <f>IF(G45="","",IF(G45&lt;=20%,"Q1 Cheapest",IF(G45&lt;=40%,"Q2",IF(G45&lt;=60%,"Q3",IF(G45&lt;=80%,"Q4","Q5 Most Expensive")))))</f>
        <v/>
      </c>
      <c r="I45" s="30" t="n"/>
      <c r="J45" s="30" t="n"/>
      <c r="K45" s="30" t="n"/>
      <c r="L45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1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8" customWidth="1" min="5" max="5"/>
    <col width="28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7631.1</v>
      </c>
      <c r="C2" s="25" t="n">
        <v>25.64</v>
      </c>
      <c r="D2" s="26" t="n">
        <v>0.371212121212</v>
      </c>
      <c r="E2" s="26" t="n">
        <v>-0.0494735548311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7688.4</v>
      </c>
      <c r="C3" s="25" t="n">
        <v>25.83</v>
      </c>
      <c r="D3" s="26" t="n">
        <v>0.386363636364</v>
      </c>
      <c r="E3" s="26" t="n">
        <v>-0.0493981554823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7632.1</v>
      </c>
      <c r="C4" s="25" t="n">
        <v>25.64</v>
      </c>
      <c r="D4" s="26" t="n">
        <v>0.371212121212</v>
      </c>
      <c r="E4" s="26" t="n">
        <v>-0.049355680677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7647.2</v>
      </c>
      <c r="C5" s="25" t="n">
        <v>25.69</v>
      </c>
      <c r="D5" s="26" t="n">
        <v>0.371212121212</v>
      </c>
      <c r="E5" s="26" t="n">
        <v>-0.0495503385187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7588.75</v>
      </c>
      <c r="C6" s="25" t="n">
        <v>25.5</v>
      </c>
      <c r="D6" s="26" t="n">
        <v>0.340909090909</v>
      </c>
      <c r="E6" s="26" t="n">
        <v>-0.0498613256001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7621.7</v>
      </c>
      <c r="C7" s="25" t="n">
        <v>25.61</v>
      </c>
      <c r="D7" s="26" t="n">
        <v>0.356060606061</v>
      </c>
      <c r="E7" s="26" t="n">
        <v>-0.049815933418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7545.95</v>
      </c>
      <c r="C8" s="25" t="n">
        <v>25.35</v>
      </c>
      <c r="D8" s="26" t="n">
        <v>0.325757575758</v>
      </c>
      <c r="E8" s="26" t="n">
        <v>-0.0493560730676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  <row r="9">
      <c r="A9" s="31" t="n">
        <v>46294</v>
      </c>
      <c r="B9" s="24" t="n">
        <v>7434.65</v>
      </c>
      <c r="C9" s="25" t="n">
        <v>24.98</v>
      </c>
      <c r="D9" s="26" t="n">
        <v>0.280303030303</v>
      </c>
      <c r="E9" s="26" t="n">
        <v>-0.0497481084938</v>
      </c>
      <c r="F9" s="34">
        <f>IF(D9="","",100*(1-D9))</f>
        <v/>
      </c>
      <c r="G9" s="34">
        <f>IF(E9="","",IF(E9&lt;=0,20,IF(E9&lt;5%,20+400*E9,IF(E9&lt;10%,40+400*(E9-5%),IF(E9&lt;15%,60+400*(E9-10%),IF(E9&lt;25%,80+200*(E9-15%),100))))))</f>
        <v/>
      </c>
      <c r="H9" s="34">
        <f>IF(OR(F9="",G9=""),"",70%*F9+30%*G9)</f>
        <v/>
      </c>
      <c r="I9">
        <f>IF(H9="","",IF(H9&gt;=70,"BUY",IF(H9&gt;=40,"HOLD","SELL")))</f>
        <v/>
      </c>
    </row>
    <row r="10">
      <c r="A10" s="31" t="n">
        <v>46295</v>
      </c>
      <c r="B10" s="24" t="n">
        <v>7415.9</v>
      </c>
      <c r="C10" s="25" t="n">
        <v>24.5</v>
      </c>
      <c r="D10" s="26" t="n">
        <v>0.253731343284</v>
      </c>
      <c r="E10" s="26" t="n">
        <v>0.0914922181412</v>
      </c>
      <c r="F10" s="34">
        <f>IF(D10="","",100*(1-D10))</f>
        <v/>
      </c>
      <c r="G10" s="34">
        <f>IF(E10="","",IF(E10&lt;=0,20,IF(E10&lt;5%,20+400*E10,IF(E10&lt;10%,40+400*(E10-5%),IF(E10&lt;15%,60+400*(E10-10%),IF(E10&lt;25%,80+200*(E10-15%),100))))))</f>
        <v/>
      </c>
      <c r="H10" s="34">
        <f>IF(OR(F10="",G10=""),"",70%*F10+30%*G10)</f>
        <v/>
      </c>
      <c r="I10">
        <f>IF(H10="","",IF(H10&gt;=70,"BUY",IF(H10&gt;=40,"HOLD","SELL")))</f>
        <v/>
      </c>
    </row>
    <row r="11">
      <c r="A11" s="31" t="n">
        <v>46296</v>
      </c>
      <c r="B11" s="24" t="n">
        <v>7379.85</v>
      </c>
      <c r="C11" s="25" t="n">
        <v>24.39</v>
      </c>
      <c r="D11" s="26" t="n">
        <v>0.246268656716</v>
      </c>
      <c r="E11" s="26" t="n">
        <v>0.09104768514519999</v>
      </c>
      <c r="F11" s="34">
        <f>IF(D11="","",100*(1-D11))</f>
        <v/>
      </c>
      <c r="G11" s="34">
        <f>IF(E11="","",IF(E11&lt;=0,20,IF(E11&lt;5%,20+400*E11,IF(E11&lt;10%,40+400*(E11-5%),IF(E11&lt;15%,60+400*(E11-10%),IF(E11&lt;25%,80+200*(E11-15%),100))))))</f>
        <v/>
      </c>
      <c r="H11" s="34">
        <f>IF(OR(F11="",G11=""),"",70%*F11+30%*G11)</f>
        <v/>
      </c>
      <c r="I11">
        <f>IF(H11="","",IF(H11&gt;=70,"BUY",IF(H11&gt;=40,"HOLD","SELL")))</f>
        <v/>
      </c>
    </row>
    <row r="12">
      <c r="A12" s="31" t="n">
        <v>46300</v>
      </c>
      <c r="B12" s="24" t="n">
        <v>7365.7</v>
      </c>
      <c r="C12" s="25" t="n">
        <v>24.34</v>
      </c>
      <c r="D12" s="26" t="n">
        <v>0.246268656716</v>
      </c>
      <c r="E12" s="26" t="n">
        <v>0.09108906302350001</v>
      </c>
      <c r="F12" s="34">
        <f>IF(D12="","",100*(1-D12))</f>
        <v/>
      </c>
      <c r="G12" s="34">
        <f>IF(E12="","",IF(E12&lt;=0,20,IF(E12&lt;5%,20+400*E12,IF(E12&lt;10%,40+400*(E12-5%),IF(E12&lt;15%,60+400*(E12-10%),IF(E12&lt;25%,80+200*(E12-15%),100))))))</f>
        <v/>
      </c>
      <c r="H12" s="34">
        <f>IF(OR(F12="",G12=""),"",70%*F12+30%*G12)</f>
        <v/>
      </c>
      <c r="I12">
        <f>IF(H12="","",IF(H12&gt;=70,"BUY",IF(H12&gt;=40,"HOLD","SELL")))</f>
        <v/>
      </c>
    </row>
    <row r="13">
      <c r="A13" s="31" t="n">
        <v>46301</v>
      </c>
      <c r="B13" s="24" t="n">
        <v>7479.2</v>
      </c>
      <c r="C13" s="25" t="n">
        <v>24.71</v>
      </c>
      <c r="D13" s="26" t="n">
        <v>0.276119402985</v>
      </c>
      <c r="E13" s="26" t="n">
        <v>0.0915010837153</v>
      </c>
      <c r="F13" s="34">
        <f>IF(D13="","",100*(1-D13))</f>
        <v/>
      </c>
      <c r="G13" s="34">
        <f>IF(E13="","",IF(E13&lt;=0,20,IF(E13&lt;5%,20+400*E13,IF(E13&lt;10%,40+400*(E13-5%),IF(E13&lt;15%,60+400*(E13-10%),IF(E13&lt;25%,80+200*(E13-15%),100))))))</f>
        <v/>
      </c>
      <c r="H13" s="34">
        <f>IF(OR(F13="",G13=""),"",70%*F13+30%*G13)</f>
        <v/>
      </c>
      <c r="I13">
        <f>IF(H13="","",IF(H13&gt;=70,"BUY",IF(H13&gt;=40,"HOLD","SELL")))</f>
        <v/>
      </c>
    </row>
    <row r="14">
      <c r="A14" s="31" t="n">
        <v>46302</v>
      </c>
      <c r="B14" s="24" t="n">
        <v>7394.55</v>
      </c>
      <c r="C14" s="25" t="n">
        <v>24.43</v>
      </c>
      <c r="D14" s="26" t="n">
        <v>0.246268656716</v>
      </c>
      <c r="E14" s="26" t="n">
        <v>0.0914279560737</v>
      </c>
      <c r="F14" s="34">
        <f>IF(D14="","",100*(1-D14))</f>
        <v/>
      </c>
      <c r="G14" s="34">
        <f>IF(E14="","",IF(E14&lt;=0,20,IF(E14&lt;5%,20+400*E14,IF(E14&lt;10%,40+400*(E14-5%),IF(E14&lt;15%,60+400*(E14-10%),IF(E14&lt;25%,80+200*(E14-15%),100))))))</f>
        <v/>
      </c>
      <c r="H14" s="34">
        <f>IF(OR(F14="",G14=""),"",70%*F14+30%*G14)</f>
        <v/>
      </c>
      <c r="I14">
        <f>IF(H14="","",IF(H14&gt;=70,"BUY",IF(H14&gt;=40,"HOLD","SELL")))</f>
        <v/>
      </c>
    </row>
    <row r="15">
      <c r="A15" s="31" t="n">
        <v>46303</v>
      </c>
      <c r="B15" s="24" t="n">
        <v>7284.25</v>
      </c>
      <c r="C15" s="25" t="n">
        <v>24.07</v>
      </c>
      <c r="D15" s="26" t="n">
        <v>0.216417910448</v>
      </c>
      <c r="E15" s="26" t="n">
        <v>0.0913737130143</v>
      </c>
      <c r="F15" s="34">
        <f>IF(D15="","",100*(1-D15))</f>
        <v/>
      </c>
      <c r="G15" s="34">
        <f>IF(E15="","",IF(E15&lt;=0,20,IF(E15&lt;5%,20+400*E15,IF(E15&lt;10%,40+400*(E15-5%),IF(E15&lt;15%,60+400*(E15-10%),IF(E15&lt;25%,80+200*(E15-15%),100))))))</f>
        <v/>
      </c>
      <c r="H15" s="34">
        <f>IF(OR(F15="",G15=""),"",70%*F15+30%*G15)</f>
        <v/>
      </c>
      <c r="I15">
        <f>IF(H15="","",IF(H15&gt;=70,"BUY",IF(H15&gt;=40,"HOLD","SELL")))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42" customWidth="1" min="2" max="2"/>
    <col width="10" customWidth="1" min="3" max="3"/>
    <col width="19" customWidth="1" min="4" max="4"/>
    <col width="22" customWidth="1" min="5" max="5"/>
  </cols>
  <sheetData>
    <row r="1">
      <c r="A1" s="35" t="inlineStr">
        <is>
          <t>NIFTY Shariah 25 Composition</t>
        </is>
      </c>
    </row>
    <row r="2">
      <c r="A2" s="2" t="inlineStr">
        <is>
          <t>As of</t>
        </is>
      </c>
      <c r="B2" s="4" t="inlineStr">
        <is>
          <t>2026-09-30</t>
        </is>
      </c>
      <c r="D2" s="2" t="inlineStr">
        <is>
          <t>Weight coverage</t>
        </is>
      </c>
      <c r="E2" s="26" t="n">
        <v>0.5966</v>
      </c>
    </row>
    <row r="3">
      <c r="A3" s="2" t="inlineStr">
        <is>
          <t>Source</t>
        </is>
      </c>
      <c r="B3" s="17" t="inlineStr">
        <is>
          <t>NSE Indices — Index factsheet (top constituents)</t>
        </is>
      </c>
      <c r="D3" s="2" t="inlineStr">
        <is>
          <t>Top 10 weight</t>
        </is>
      </c>
      <c r="E3" s="26" t="n">
        <v>0.5966</v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Tata Consultancy Services Ltd.</t>
        </is>
      </c>
      <c r="C6" t="inlineStr"/>
      <c r="D6" t="inlineStr"/>
      <c r="E6" s="37" t="n">
        <v>0.0959</v>
      </c>
    </row>
    <row r="7">
      <c r="A7" t="n">
        <v>2</v>
      </c>
      <c r="B7" t="inlineStr">
        <is>
          <t>Sun Pharmaceutical Industries Ltd.</t>
        </is>
      </c>
      <c r="C7" t="inlineStr"/>
      <c r="D7" t="inlineStr"/>
      <c r="E7" s="37" t="n">
        <v>0.08810000000000001</v>
      </c>
    </row>
    <row r="8">
      <c r="A8" t="n">
        <v>3</v>
      </c>
      <c r="B8" t="inlineStr">
        <is>
          <t>Hindustan Unilever Ltd.</t>
        </is>
      </c>
      <c r="C8" t="inlineStr"/>
      <c r="D8" t="inlineStr"/>
      <c r="E8" s="37" t="n">
        <v>0.0764</v>
      </c>
    </row>
    <row r="9">
      <c r="A9" t="n">
        <v>4</v>
      </c>
      <c r="B9" t="inlineStr">
        <is>
          <t>UltraTech Cement Ltd.</t>
        </is>
      </c>
      <c r="C9" t="inlineStr"/>
      <c r="D9" t="inlineStr"/>
      <c r="E9" s="37" t="n">
        <v>0.0594</v>
      </c>
    </row>
    <row r="10">
      <c r="A10" t="n">
        <v>5</v>
      </c>
      <c r="B10" t="inlineStr">
        <is>
          <t>HCL Technologies Ltd.</t>
        </is>
      </c>
      <c r="C10" t="inlineStr"/>
      <c r="D10" t="inlineStr"/>
      <c r="E10" s="37" t="n">
        <v>0.0594</v>
      </c>
    </row>
    <row r="11">
      <c r="A11" t="n">
        <v>6</v>
      </c>
      <c r="B11" t="inlineStr">
        <is>
          <t>Asian Paints Ltd.</t>
        </is>
      </c>
      <c r="C11" t="inlineStr"/>
      <c r="D11" t="inlineStr"/>
      <c r="E11" s="37" t="n">
        <v>0.0498</v>
      </c>
    </row>
    <row r="12">
      <c r="A12" t="n">
        <v>7</v>
      </c>
      <c r="B12" t="inlineStr">
        <is>
          <t>Tech Mahindra Ltd.</t>
        </is>
      </c>
      <c r="C12" t="inlineStr"/>
      <c r="D12" t="inlineStr"/>
      <c r="E12" s="37" t="n">
        <v>0.0444</v>
      </c>
    </row>
    <row r="13">
      <c r="A13" t="n">
        <v>8</v>
      </c>
      <c r="B13" t="inlineStr">
        <is>
          <t>Nestle India Ltd.</t>
        </is>
      </c>
      <c r="C13" t="inlineStr"/>
      <c r="D13" t="inlineStr"/>
      <c r="E13" s="37" t="n">
        <v>0.043</v>
      </c>
    </row>
    <row r="14">
      <c r="A14" t="n">
        <v>9</v>
      </c>
      <c r="B14" t="inlineStr">
        <is>
          <t>Oil &amp; Natural Gas Corporation Ltd.</t>
        </is>
      </c>
      <c r="C14" t="inlineStr"/>
      <c r="D14" t="inlineStr"/>
      <c r="E14" s="37" t="n">
        <v>0.04019999999999999</v>
      </c>
    </row>
    <row r="15">
      <c r="A15" t="n">
        <v>10</v>
      </c>
      <c r="B15" t="inlineStr">
        <is>
          <t>Trent Ltd.</t>
        </is>
      </c>
      <c r="C15" t="inlineStr"/>
      <c r="D15" t="inlineStr"/>
      <c r="E15" s="37" t="n">
        <v>0.04</v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2026-10-08T19:01:28Z</dcterms:created>
  <dcterms:modified xsi:type="dcterms:W3CDTF">2026-10-08T19:02:03Z</dcterms:modified>
</cp:coreProperties>
</file>