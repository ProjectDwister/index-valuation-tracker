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Factsheet/Factsheet_nifty_Shariah25.pdf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 Shariah 25 Valuation Tracker</t>
        </is>
      </c>
    </row>
    <row r="2">
      <c r="A2" s="2" t="inlineStr">
        <is>
          <t>As of</t>
        </is>
      </c>
      <c r="B2" s="23" t="n">
        <v>46324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7625.8</v>
      </c>
      <c r="D5" s="2" t="inlineStr">
        <is>
          <t>P/E</t>
        </is>
      </c>
      <c r="E5" s="25" t="n">
        <v>25.18</v>
      </c>
    </row>
    <row r="6">
      <c r="A6" s="2" t="inlineStr">
        <is>
          <t>P/E percentile</t>
        </is>
      </c>
      <c r="B6" s="26" t="n">
        <v>0.3059701492537313</v>
      </c>
      <c r="D6" s="2" t="inlineStr">
        <is>
          <t>Implied EPS</t>
        </is>
      </c>
      <c r="E6" s="27" t="n">
        <v>302.8514694201747</v>
      </c>
    </row>
    <row r="7">
      <c r="A7" s="2" t="inlineStr">
        <is>
          <t>YoY implied EPS growth</t>
        </is>
      </c>
      <c r="B7" s="26" t="n">
        <v>0.07923400242695244</v>
      </c>
      <c r="D7" s="2" t="inlineStr">
        <is>
          <t>Earnings yield</t>
        </is>
      </c>
      <c r="E7" s="10" t="n">
        <v>0.03971405877680699</v>
      </c>
    </row>
    <row r="8">
      <c r="A8" s="2" t="inlineStr">
        <is>
          <t>Valuation score</t>
        </is>
      </c>
      <c r="B8" s="28" t="n">
        <v>69.40298507462687</v>
      </c>
      <c r="D8" s="2" t="inlineStr">
        <is>
          <t>Growth score</t>
        </is>
      </c>
      <c r="E8" s="28" t="n">
        <v>51.69360097078098</v>
      </c>
    </row>
    <row r="9">
      <c r="A9" s="2" t="inlineStr">
        <is>
          <t>Composite score</t>
        </is>
      </c>
      <c r="B9" s="28" t="n">
        <v>64.09016984347309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24.16219042745924</v>
      </c>
      <c r="C13" s="15" t="n">
        <v>7317.55487536611</v>
      </c>
      <c r="D13" s="30" t="n">
        <v>-0.04042134918748075</v>
      </c>
    </row>
    <row r="14">
      <c r="A14" t="inlineStr">
        <is>
          <t>HOLD → SELL</t>
        </is>
      </c>
      <c r="B14" s="29" t="n">
        <v>27.31505701128279</v>
      </c>
      <c r="C14" s="15" t="n">
        <v>8272.405153162837</v>
      </c>
      <c r="D14" s="30" t="n">
        <v>0.08479177963791829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0.1109451538936871</v>
      </c>
      <c r="D18" s="30" t="n">
        <v>0.120284189732161</v>
      </c>
      <c r="E18" s="30" t="n">
        <v>0.1365904998409784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0.1777251618305816</v>
      </c>
      <c r="D19" s="30" t="n">
        <v>0.1000474061292126</v>
      </c>
      <c r="E19" s="30" t="n">
        <v>0.1219340031310742</v>
      </c>
      <c r="F19" s="30" t="n">
        <v>0.08808921933463454</v>
      </c>
      <c r="G19" s="30" t="n">
        <v>0.1666666666666667</v>
      </c>
    </row>
    <row r="20">
      <c r="A20" t="inlineStr">
        <is>
          <t>Q3</t>
        </is>
      </c>
      <c r="B20" t="n">
        <v>8</v>
      </c>
      <c r="C20" s="30" t="n">
        <v>0.1225375625385502</v>
      </c>
      <c r="D20" s="30" t="n">
        <v>0.08529370736328801</v>
      </c>
      <c r="E20" s="30" t="n">
        <v>0.1407935366950082</v>
      </c>
      <c r="F20" s="30" t="n">
        <v>0.0834287224445539</v>
      </c>
      <c r="G20" s="30" t="n">
        <v>0</v>
      </c>
    </row>
    <row r="21">
      <c r="A21" t="inlineStr">
        <is>
          <t>Q4</t>
        </is>
      </c>
      <c r="B21" t="n">
        <v>9</v>
      </c>
      <c r="C21" s="30" t="n">
        <v>-0.008666308766009712</v>
      </c>
      <c r="D21" s="30" t="n">
        <v>0.08796269220488573</v>
      </c>
      <c r="E21" s="30" t="n">
        <v>0.09750080408566186</v>
      </c>
      <c r="F21" s="30" t="n">
        <v>0.09858438475463349</v>
      </c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0.05339859856821216</v>
      </c>
      <c r="D22" s="30" t="n">
        <v>0.119687819819025</v>
      </c>
      <c r="E22" s="30" t="n">
        <v>0.07865811272666945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5447.94</v>
      </c>
      <c r="C2" s="25" t="n">
        <v>31.06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5897.73</v>
      </c>
      <c r="C3" s="25" t="n">
        <v>32.17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6019.6</v>
      </c>
      <c r="C4" s="25" t="n">
        <v>29.56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6040.68</v>
      </c>
      <c r="C5" s="25" t="n">
        <v>29.24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6456.01</v>
      </c>
      <c r="C6" s="25" t="n">
        <v>28.23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6562.49</v>
      </c>
      <c r="C7" s="25" t="n">
        <v>29.22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6269.61</v>
      </c>
      <c r="C8" s="25" t="n">
        <v>27.65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6258.85</v>
      </c>
      <c r="C9" s="25" t="n">
        <v>25.8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6635.56</v>
      </c>
      <c r="C10" s="25" t="n">
        <v>27.55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6315.82</v>
      </c>
      <c r="C11" s="25" t="n">
        <v>26.23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6085.32</v>
      </c>
      <c r="C12" s="25" t="n">
        <v>24.2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6261.27</v>
      </c>
      <c r="C13" s="25" t="n">
        <v>25.94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6226.4</v>
      </c>
      <c r="C14" s="25" t="n">
        <v>25.29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5990.72</v>
      </c>
      <c r="C15" s="25" t="n">
        <v>23.99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5675.88</v>
      </c>
      <c r="C16" s="25" t="n">
        <v>22.21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6172.99</v>
      </c>
      <c r="C17" s="25" t="n">
        <v>24.1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6327.91</v>
      </c>
      <c r="C18" s="25" t="n">
        <v>23.73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6224.05</v>
      </c>
      <c r="C19" s="25" t="n">
        <v>23.61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6298.23</v>
      </c>
      <c r="C20" s="25" t="n">
        <v>23.77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6589.43</v>
      </c>
      <c r="C21" s="25" t="n">
        <v>26.57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6290.99</v>
      </c>
      <c r="C22" s="25" t="n">
        <v>25.37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6133.18</v>
      </c>
      <c r="C23" s="25" t="n">
        <v>24.82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5853.16</v>
      </c>
      <c r="C24" s="25" t="n">
        <v>23.24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5916.96</v>
      </c>
      <c r="C25" s="25" t="n">
        <v>20.56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6019.58</v>
      </c>
      <c r="C26" s="25" t="n">
        <v>20.76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6305.24</v>
      </c>
      <c r="C27" s="25" t="n">
        <v>22.94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6467.32</v>
      </c>
      <c r="C28" s="25" t="n">
        <v>23.54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6596.48</v>
      </c>
      <c r="C29" s="25" t="n">
        <v>23.86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6577.47</v>
      </c>
      <c r="C30" s="25" t="n">
        <v>23.4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6737.23</v>
      </c>
      <c r="C31" s="25" t="n">
        <v>24.62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6597.94</v>
      </c>
      <c r="C32" s="25" t="n">
        <v>23.83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6974.23</v>
      </c>
      <c r="C33" s="25" t="n">
        <v>24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7591.14</v>
      </c>
      <c r="C34" s="25" t="n">
        <v>26.01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7718.94</v>
      </c>
      <c r="C35" s="25" t="n">
        <v>26.02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7937.62</v>
      </c>
      <c r="C36" s="25" t="n">
        <v>27.34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7731.52</v>
      </c>
      <c r="C37" s="25" t="n">
        <v>26.69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7759.28</v>
      </c>
      <c r="C38" s="25" t="n">
        <v>26.62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7874.1</v>
      </c>
      <c r="C39" s="25" t="n">
        <v>25.25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8434.379999999999</v>
      </c>
      <c r="C40" s="25" t="n">
        <v>27.07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9166.790000000001</v>
      </c>
      <c r="C41" s="25" t="n">
        <v>30.18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9322.5</v>
      </c>
      <c r="C42" s="25" t="n">
        <v>30.7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9396.809999999999</v>
      </c>
      <c r="C43" s="25" t="n">
        <v>30.98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8651.129999999999</v>
      </c>
      <c r="C44" s="25" t="n">
        <v>28.36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8629.5</v>
      </c>
      <c r="C45" s="25" t="n">
        <v>28.91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8475.35</v>
      </c>
      <c r="C46" s="25" t="n">
        <v>28.49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8361.65</v>
      </c>
      <c r="C47" s="25" t="n">
        <v>27.79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7494.15</v>
      </c>
      <c r="C48" s="25" t="n">
        <v>25.02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7879.35</v>
      </c>
      <c r="C49" s="25" t="n">
        <v>26.24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8078.05</v>
      </c>
      <c r="C50" s="25" t="n">
        <v>26.67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8129.2</v>
      </c>
      <c r="C51" s="25" t="n">
        <v>26.73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8325.200000000001</v>
      </c>
      <c r="C52" s="25" t="n">
        <v>26.91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8066.15</v>
      </c>
      <c r="C53" s="25" t="n">
        <v>25.92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8233.9</v>
      </c>
      <c r="C54" s="25" t="n">
        <v>26.29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8011.7</v>
      </c>
      <c r="C55" s="25" t="n">
        <v>28.89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8301.200000000001</v>
      </c>
      <c r="C56" s="25" t="n">
        <v>29.55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8499.549999999999</v>
      </c>
      <c r="C57" s="25" t="n">
        <v>29.67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8401.9</v>
      </c>
      <c r="C58" s="25" t="n">
        <v>29.52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8289.200000000001</v>
      </c>
      <c r="C59" s="25" t="n">
        <v>29.5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7917.3</v>
      </c>
      <c r="C60" s="25" t="n">
        <v>28.16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7255.85</v>
      </c>
      <c r="C61" s="25" t="n">
        <v>25.54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7795.1</v>
      </c>
      <c r="C62" s="25" t="n">
        <v>27.03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7836.85</v>
      </c>
      <c r="C63" s="25" t="n">
        <v>27.39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7605.4</v>
      </c>
      <c r="C64" s="25" t="n">
        <v>25.62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8126.85</v>
      </c>
      <c r="C65" s="25" t="n">
        <v>27.36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8031.5</v>
      </c>
      <c r="C66" s="25" t="n">
        <v>26.98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7415.9</v>
      </c>
      <c r="C67" s="25" t="n">
        <v>24.5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3281.28</v>
      </c>
      <c r="C2" s="25" t="n">
        <v>27.2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3119.2</v>
      </c>
      <c r="C3" s="25" t="n">
        <v>24.21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3296.45</v>
      </c>
      <c r="C4" s="25" t="n">
        <v>25.38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3445.76</v>
      </c>
      <c r="C5" s="25" t="n">
        <v>25.05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3258.97</v>
      </c>
      <c r="C6" s="25" t="n">
        <v>24.16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3583.28</v>
      </c>
      <c r="C7" s="25" t="n">
        <v>24.85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3720.36</v>
      </c>
      <c r="C8" s="25" t="n">
        <v>26.18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3953.1</v>
      </c>
      <c r="C9" s="25" t="n">
        <v>31.43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4320.91</v>
      </c>
      <c r="C10" s="25" t="n">
        <v>30.84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4040.22</v>
      </c>
      <c r="C11" s="25" t="n">
        <v>27.9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4154.14</v>
      </c>
      <c r="C12" s="25" t="n">
        <v>27.26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4164.19</v>
      </c>
      <c r="C13" s="25" t="n">
        <v>23.44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4225.57</v>
      </c>
      <c r="C14" s="25" t="n">
        <v>23.19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4312.45</v>
      </c>
      <c r="C15" s="25" t="n">
        <v>24.29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4213.94</v>
      </c>
      <c r="C16" s="25" t="n">
        <v>22.28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4320.22</v>
      </c>
      <c r="C17" s="25" t="n">
        <v>27.27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4324.03</v>
      </c>
      <c r="C18" s="25" t="n">
        <v>25.39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3582.54</v>
      </c>
      <c r="C19" s="25" t="n">
        <v>20.86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4196.81</v>
      </c>
      <c r="C20" s="25" t="n">
        <v>25.84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4604.08</v>
      </c>
      <c r="C21" s="25" t="n">
        <v>34.2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5343.24</v>
      </c>
      <c r="C22" s="25" t="n">
        <v>41.47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5497.55</v>
      </c>
      <c r="C23" s="25" t="n">
        <v>30.83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6019.6</v>
      </c>
      <c r="C24" s="25" t="n">
        <v>29.56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6562.49</v>
      </c>
      <c r="C25" s="25" t="n">
        <v>29.22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6635.56</v>
      </c>
      <c r="C26" s="25" t="n">
        <v>27.55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6261.27</v>
      </c>
      <c r="C27" s="25" t="n">
        <v>25.94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5675.88</v>
      </c>
      <c r="C28" s="25" t="n">
        <v>22.21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6224.05</v>
      </c>
      <c r="C29" s="25" t="n">
        <v>23.61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6290.99</v>
      </c>
      <c r="C30" s="25" t="n">
        <v>25.37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5916.96</v>
      </c>
      <c r="C31" s="25" t="n">
        <v>20.56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6467.32</v>
      </c>
      <c r="C32" s="25" t="n">
        <v>23.54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6737.23</v>
      </c>
      <c r="C33" s="25" t="n">
        <v>24.62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7591.14</v>
      </c>
      <c r="C34" s="25" t="n">
        <v>26.01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7731.52</v>
      </c>
      <c r="C35" s="25" t="n">
        <v>26.69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8434.379999999999</v>
      </c>
      <c r="C36" s="25" t="n">
        <v>27.07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9396.809999999999</v>
      </c>
      <c r="C37" s="25" t="n">
        <v>30.98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8475.35</v>
      </c>
      <c r="C38" s="25" t="n">
        <v>28.49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7879.35</v>
      </c>
      <c r="C39" s="25" t="n">
        <v>26.24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8325.200000000001</v>
      </c>
      <c r="C40" s="25" t="n">
        <v>26.91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8011.7</v>
      </c>
      <c r="C41" s="25" t="n">
        <v>28.89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8401.9</v>
      </c>
      <c r="C42" s="25" t="n">
        <v>29.52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7255.85</v>
      </c>
      <c r="C43" s="25" t="n">
        <v>25.54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7605.4</v>
      </c>
      <c r="C44" s="25" t="n">
        <v>25.62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7415.9</v>
      </c>
      <c r="C45" s="25" t="n">
        <v>24.5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7631.1</v>
      </c>
      <c r="C2" s="25" t="n">
        <v>25.64</v>
      </c>
      <c r="D2" s="26" t="n">
        <v>0.371212121212</v>
      </c>
      <c r="E2" s="26" t="n">
        <v>-0.0494735548311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7688.4</v>
      </c>
      <c r="C3" s="25" t="n">
        <v>25.83</v>
      </c>
      <c r="D3" s="26" t="n">
        <v>0.386363636364</v>
      </c>
      <c r="E3" s="26" t="n">
        <v>-0.0493981554823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7632.1</v>
      </c>
      <c r="C4" s="25" t="n">
        <v>25.64</v>
      </c>
      <c r="D4" s="26" t="n">
        <v>0.371212121212</v>
      </c>
      <c r="E4" s="26" t="n">
        <v>-0.049355680677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7647.2</v>
      </c>
      <c r="C5" s="25" t="n">
        <v>25.69</v>
      </c>
      <c r="D5" s="26" t="n">
        <v>0.371212121212</v>
      </c>
      <c r="E5" s="26" t="n">
        <v>-0.0495503385187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7588.75</v>
      </c>
      <c r="C6" s="25" t="n">
        <v>25.5</v>
      </c>
      <c r="D6" s="26" t="n">
        <v>0.340909090909</v>
      </c>
      <c r="E6" s="26" t="n">
        <v>-0.0498613256001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7621.7</v>
      </c>
      <c r="C7" s="25" t="n">
        <v>25.61</v>
      </c>
      <c r="D7" s="26" t="n">
        <v>0.356060606061</v>
      </c>
      <c r="E7" s="26" t="n">
        <v>-0.049815933418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7545.95</v>
      </c>
      <c r="C8" s="25" t="n">
        <v>25.35</v>
      </c>
      <c r="D8" s="26" t="n">
        <v>0.325757575758</v>
      </c>
      <c r="E8" s="26" t="n">
        <v>-0.0493560730676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7434.65</v>
      </c>
      <c r="C9" s="25" t="n">
        <v>24.98</v>
      </c>
      <c r="D9" s="26" t="n">
        <v>0.280303030303</v>
      </c>
      <c r="E9" s="26" t="n">
        <v>-0.0497481084938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7415.9</v>
      </c>
      <c r="C10" s="25" t="n">
        <v>24.5</v>
      </c>
      <c r="D10" s="26" t="n">
        <v>0.253731343284</v>
      </c>
      <c r="E10" s="26" t="n">
        <v>0.0914922181412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7379.85</v>
      </c>
      <c r="C11" s="25" t="n">
        <v>24.39</v>
      </c>
      <c r="D11" s="26" t="n">
        <v>0.246268656716</v>
      </c>
      <c r="E11" s="26" t="n">
        <v>0.09104768514519999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7365.7</v>
      </c>
      <c r="C12" s="25" t="n">
        <v>24.34</v>
      </c>
      <c r="D12" s="26" t="n">
        <v>0.246268656716</v>
      </c>
      <c r="E12" s="26" t="n">
        <v>0.09108906302350001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7479.2</v>
      </c>
      <c r="C13" s="25" t="n">
        <v>24.71</v>
      </c>
      <c r="D13" s="26" t="n">
        <v>0.276119402985</v>
      </c>
      <c r="E13" s="26" t="n">
        <v>0.0915010837153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7394.55</v>
      </c>
      <c r="C14" s="25" t="n">
        <v>24.43</v>
      </c>
      <c r="D14" s="26" t="n">
        <v>0.246268656716</v>
      </c>
      <c r="E14" s="26" t="n">
        <v>0.0914279560737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7284.25</v>
      </c>
      <c r="C15" s="25" t="n">
        <v>24.07</v>
      </c>
      <c r="D15" s="26" t="n">
        <v>0.216417910448</v>
      </c>
      <c r="E15" s="26" t="n">
        <v>0.0913737130143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7385</v>
      </c>
      <c r="C16" s="25" t="n">
        <v>24.4</v>
      </c>
      <c r="D16" s="26" t="n">
        <v>0.246268656716</v>
      </c>
      <c r="E16" s="26" t="n">
        <v>0.0912673392182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7356.55</v>
      </c>
      <c r="C17" s="25" t="n">
        <v>24.17</v>
      </c>
      <c r="D17" s="26" t="n">
        <v>0.231343283582</v>
      </c>
      <c r="E17" s="26" t="n">
        <v>0.0968511416773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7538.65</v>
      </c>
      <c r="C18" s="25" t="n">
        <v>24.67</v>
      </c>
      <c r="D18" s="26" t="n">
        <v>0.276119402985</v>
      </c>
      <c r="E18" s="26" t="n">
        <v>0.101137712787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7569.2</v>
      </c>
      <c r="C19" s="25" t="n">
        <v>24.77</v>
      </c>
      <c r="D19" s="26" t="n">
        <v>0.276119402985</v>
      </c>
      <c r="E19" s="26" t="n">
        <v>0.10135528844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7589.6</v>
      </c>
      <c r="C20" s="25" t="n">
        <v>24.84</v>
      </c>
      <c r="D20" s="26" t="n">
        <v>0.291044776119</v>
      </c>
      <c r="E20" s="26" t="n">
        <v>0.100123286689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7645.7</v>
      </c>
      <c r="C21" s="25" t="n">
        <v>24.95</v>
      </c>
      <c r="D21" s="26" t="n">
        <v>0.291044776119</v>
      </c>
      <c r="E21" s="26" t="n">
        <v>0.103315680335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7590.1</v>
      </c>
      <c r="C22" s="25" t="n">
        <v>24.76</v>
      </c>
      <c r="D22" s="26" t="n">
        <v>0.276119402985</v>
      </c>
      <c r="E22" s="26" t="n">
        <v>0.103933704934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7614.05</v>
      </c>
      <c r="C23" s="25" t="n">
        <v>24.84</v>
      </c>
      <c r="D23" s="26" t="n">
        <v>0.291044776119</v>
      </c>
      <c r="E23" s="26" t="n">
        <v>0.0972789205847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7570.4</v>
      </c>
      <c r="C24" s="25" t="n">
        <v>24.67</v>
      </c>
      <c r="D24" s="26" t="n">
        <v>0.276119402985</v>
      </c>
      <c r="E24" s="26" t="n">
        <v>0.0985063731606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7533.35</v>
      </c>
      <c r="C25" s="25" t="n">
        <v>24.55</v>
      </c>
      <c r="D25" s="26" t="n">
        <v>0.261194029851</v>
      </c>
      <c r="E25" s="26" t="n">
        <v>0.0984021498091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7588.3</v>
      </c>
      <c r="C26" s="25" t="n">
        <v>24.73</v>
      </c>
      <c r="D26" s="26" t="n">
        <v>0.276119402985</v>
      </c>
      <c r="E26" s="26" t="n">
        <v>0.0978860953607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7610.35</v>
      </c>
      <c r="C27" s="25" t="n">
        <v>25.04</v>
      </c>
      <c r="D27" s="26" t="n">
        <v>0.305970149254</v>
      </c>
      <c r="E27" s="26" t="n">
        <v>0.0845831323304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7595.65</v>
      </c>
      <c r="C28" s="25" t="n">
        <v>25.08</v>
      </c>
      <c r="D28" s="26" t="n">
        <v>0.305970149254</v>
      </c>
      <c r="E28" s="26" t="n">
        <v>0.0794775599001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  <row r="29">
      <c r="A29" s="31" t="n">
        <v>46324</v>
      </c>
      <c r="B29" s="24" t="n">
        <v>7625.8</v>
      </c>
      <c r="C29" s="25" t="n">
        <v>25.18</v>
      </c>
      <c r="D29" s="26" t="n">
        <v>0.305970149254</v>
      </c>
      <c r="E29" s="26" t="n">
        <v>0.079234002427</v>
      </c>
      <c r="F29" s="34">
        <f>IF(D29="","",100*(1-D29))</f>
        <v/>
      </c>
      <c r="G29" s="34">
        <f>IF(E29="","",IF(E29&lt;=0,20,IF(E29&lt;5%,20+400*E29,IF(E29&lt;10%,40+400*(E29-5%),IF(E29&lt;15%,60+400*(E29-10%),IF(E29&lt;25%,80+200*(E29-15%),100))))))</f>
        <v/>
      </c>
      <c r="H29" s="34">
        <f>IF(OR(F29="",G29=""),"",70%*F29+30%*G29)</f>
        <v/>
      </c>
      <c r="I29">
        <f>IF(H29="","",IF(H29&gt;=70,"BUY",IF(H29&gt;=40,"HOLD","SELL")))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0" customWidth="1" min="3" max="3"/>
    <col width="19" customWidth="1" min="4" max="4"/>
    <col width="22" customWidth="1" min="5" max="5"/>
  </cols>
  <sheetData>
    <row r="1">
      <c r="A1" s="35" t="inlineStr">
        <is>
          <t>NIFTY Shariah 25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0.5966</v>
      </c>
    </row>
    <row r="3">
      <c r="A3" s="2" t="inlineStr">
        <is>
          <t>Source</t>
        </is>
      </c>
      <c r="B3" s="17" t="inlineStr">
        <is>
          <t>NSE Indices — Index factsheet (top constituents)</t>
        </is>
      </c>
      <c r="D3" s="2" t="inlineStr">
        <is>
          <t>Top 10 weight</t>
        </is>
      </c>
      <c r="E3" s="26" t="n">
        <v>0.5966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Tata Consultancy Services Ltd.</t>
        </is>
      </c>
      <c r="C6" t="inlineStr"/>
      <c r="D6" t="inlineStr"/>
      <c r="E6" s="37" t="n">
        <v>0.0959</v>
      </c>
    </row>
    <row r="7">
      <c r="A7" t="n">
        <v>2</v>
      </c>
      <c r="B7" t="inlineStr">
        <is>
          <t>Sun Pharmaceutical Industries Ltd.</t>
        </is>
      </c>
      <c r="C7" t="inlineStr"/>
      <c r="D7" t="inlineStr"/>
      <c r="E7" s="37" t="n">
        <v>0.08810000000000001</v>
      </c>
    </row>
    <row r="8">
      <c r="A8" t="n">
        <v>3</v>
      </c>
      <c r="B8" t="inlineStr">
        <is>
          <t>Hindustan Unilever Ltd.</t>
        </is>
      </c>
      <c r="C8" t="inlineStr"/>
      <c r="D8" t="inlineStr"/>
      <c r="E8" s="37" t="n">
        <v>0.0764</v>
      </c>
    </row>
    <row r="9">
      <c r="A9" t="n">
        <v>4</v>
      </c>
      <c r="B9" t="inlineStr">
        <is>
          <t>UltraTech Cement Ltd.</t>
        </is>
      </c>
      <c r="C9" t="inlineStr"/>
      <c r="D9" t="inlineStr"/>
      <c r="E9" s="37" t="n">
        <v>0.0594</v>
      </c>
    </row>
    <row r="10">
      <c r="A10" t="n">
        <v>5</v>
      </c>
      <c r="B10" t="inlineStr">
        <is>
          <t>HCL Technologies Ltd.</t>
        </is>
      </c>
      <c r="C10" t="inlineStr"/>
      <c r="D10" t="inlineStr"/>
      <c r="E10" s="37" t="n">
        <v>0.0594</v>
      </c>
    </row>
    <row r="11">
      <c r="A11" t="n">
        <v>6</v>
      </c>
      <c r="B11" t="inlineStr">
        <is>
          <t>Asian Paints Ltd.</t>
        </is>
      </c>
      <c r="C11" t="inlineStr"/>
      <c r="D11" t="inlineStr"/>
      <c r="E11" s="37" t="n">
        <v>0.0498</v>
      </c>
    </row>
    <row r="12">
      <c r="A12" t="n">
        <v>7</v>
      </c>
      <c r="B12" t="inlineStr">
        <is>
          <t>Tech Mahindra Ltd.</t>
        </is>
      </c>
      <c r="C12" t="inlineStr"/>
      <c r="D12" t="inlineStr"/>
      <c r="E12" s="37" t="n">
        <v>0.0444</v>
      </c>
    </row>
    <row r="13">
      <c r="A13" t="n">
        <v>8</v>
      </c>
      <c r="B13" t="inlineStr">
        <is>
          <t>Nestle India Ltd.</t>
        </is>
      </c>
      <c r="C13" t="inlineStr"/>
      <c r="D13" t="inlineStr"/>
      <c r="E13" s="37" t="n">
        <v>0.043</v>
      </c>
    </row>
    <row r="14">
      <c r="A14" t="n">
        <v>9</v>
      </c>
      <c r="B14" t="inlineStr">
        <is>
          <t>Oil &amp; Natural Gas Corporation Ltd.</t>
        </is>
      </c>
      <c r="C14" t="inlineStr"/>
      <c r="D14" t="inlineStr"/>
      <c r="E14" s="37" t="n">
        <v>0.04019999999999999</v>
      </c>
    </row>
    <row r="15">
      <c r="A15" t="n">
        <v>10</v>
      </c>
      <c r="B15" t="inlineStr">
        <is>
          <t>Trent Ltd.</t>
        </is>
      </c>
      <c r="C15" t="inlineStr"/>
      <c r="D15" t="inlineStr"/>
      <c r="E15" s="37" t="n">
        <v>0.04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2026-10-29T18:39:42Z</dcterms:created>
  <dcterms:modified xsi:type="dcterms:W3CDTF">2026-10-29T18:40:11Z</dcterms:modified>
</cp:coreProperties>
</file>