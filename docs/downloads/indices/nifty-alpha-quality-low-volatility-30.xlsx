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_alpha_quality_lowvol30lis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9" customWidth="1" min="5" max="5"/>
    <col width="17" customWidth="1" min="6" max="6"/>
    <col width="19" customWidth="1" min="7" max="7"/>
  </cols>
  <sheetData>
    <row r="1" ht="26" customHeight="1">
      <c r="A1" s="1" t="inlineStr">
        <is>
          <t>NIFTY Alpha Quality Low-Volatility 30 Valuation Tracker</t>
        </is>
      </c>
    </row>
    <row r="2">
      <c r="A2" s="2" t="inlineStr">
        <is>
          <t>As of</t>
        </is>
      </c>
      <c r="B2" s="23" t="n">
        <v>46307</v>
      </c>
      <c r="D2" s="2" t="inlineStr">
        <is>
          <t>Group</t>
        </is>
      </c>
      <c r="E2" s="4" t="inlineStr">
        <is>
          <t>Strategy / Thematic / Other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21203.35</v>
      </c>
      <c r="D5" s="2" t="inlineStr">
        <is>
          <t>P/E</t>
        </is>
      </c>
      <c r="E5" s="25" t="n">
        <v>27.34</v>
      </c>
    </row>
    <row r="6">
      <c r="A6" s="2" t="inlineStr">
        <is>
          <t>P/E percentile</t>
        </is>
      </c>
      <c r="B6" s="26" t="n">
        <v>0.1865671641791045</v>
      </c>
      <c r="D6" s="2" t="inlineStr">
        <is>
          <t>Implied EPS</t>
        </is>
      </c>
      <c r="E6" s="27" t="n">
        <v>775.543160204828</v>
      </c>
    </row>
    <row r="7">
      <c r="A7" s="2" t="inlineStr">
        <is>
          <t>YoY implied EPS growth</t>
        </is>
      </c>
      <c r="B7" s="26" t="n">
        <v>0.273003687247684</v>
      </c>
      <c r="D7" s="2" t="inlineStr">
        <is>
          <t>Earnings yield</t>
        </is>
      </c>
      <c r="E7" s="10" t="n">
        <v>0.03657644476956839</v>
      </c>
    </row>
    <row r="8">
      <c r="A8" s="2" t="inlineStr">
        <is>
          <t>Valuation score</t>
        </is>
      </c>
      <c r="B8" s="28" t="n">
        <v>81.34328358208955</v>
      </c>
      <c r="D8" s="2" t="inlineStr">
        <is>
          <t>Growth score</t>
        </is>
      </c>
      <c r="E8" s="28" t="n">
        <v>100</v>
      </c>
    </row>
    <row r="9">
      <c r="A9" s="2" t="inlineStr">
        <is>
          <t>Composite score</t>
        </is>
      </c>
      <c r="B9" s="28" t="n">
        <v>86.94029850746269</v>
      </c>
      <c r="D9" s="2" t="inlineStr">
        <is>
          <t>Signal</t>
        </is>
      </c>
      <c r="E9" s="12" t="inlineStr">
        <is>
          <t>BUY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31.91714285714286</v>
      </c>
      <c r="C13" s="15" t="n">
        <v>24753.12183613752</v>
      </c>
      <c r="D13" s="30" t="n">
        <v>0.1674156129167101</v>
      </c>
    </row>
    <row r="14">
      <c r="A14" t="inlineStr">
        <is>
          <t>HOLD → SELL</t>
        </is>
      </c>
      <c r="B14" s="29" t="n">
        <v>37.14714285714285</v>
      </c>
      <c r="C14" s="15" t="n">
        <v>28809.21256400877</v>
      </c>
      <c r="D14" s="30" t="n">
        <v>0.3587104190615527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6</v>
      </c>
      <c r="C18" s="30" t="n">
        <v>0.4992033482041798</v>
      </c>
      <c r="D18" s="30" t="n">
        <v>0.1328063461420713</v>
      </c>
      <c r="E18" s="30" t="n">
        <v>0.1592943513034334</v>
      </c>
      <c r="F18" s="30" t="n"/>
      <c r="G18" s="30" t="n">
        <v>0</v>
      </c>
    </row>
    <row r="19">
      <c r="A19" t="inlineStr">
        <is>
          <t>Q2</t>
        </is>
      </c>
      <c r="B19" t="n">
        <v>8</v>
      </c>
      <c r="C19" s="30" t="n">
        <v>0.06431912082380808</v>
      </c>
      <c r="D19" s="30" t="n">
        <v>0.1335683660600275</v>
      </c>
      <c r="E19" s="30" t="n">
        <v>0.204764078596563</v>
      </c>
      <c r="F19" s="30" t="n"/>
      <c r="G19" s="30" t="n">
        <v>0</v>
      </c>
    </row>
    <row r="20">
      <c r="A20" t="inlineStr">
        <is>
          <t>Q3</t>
        </is>
      </c>
      <c r="B20" t="n">
        <v>7</v>
      </c>
      <c r="C20" s="30" t="n">
        <v>0.1717319859562014</v>
      </c>
      <c r="D20" s="30" t="n">
        <v>0.1698920651932173</v>
      </c>
      <c r="E20" s="30" t="n">
        <v>0.1401460318372019</v>
      </c>
      <c r="F20" s="30" t="n"/>
      <c r="G20" s="30" t="n">
        <v>0</v>
      </c>
    </row>
    <row r="21">
      <c r="A21" t="inlineStr">
        <is>
          <t>Q4</t>
        </is>
      </c>
      <c r="B21" t="n">
        <v>8</v>
      </c>
      <c r="C21" s="30" t="n">
        <v>0.006044026237769895</v>
      </c>
      <c r="D21" s="30" t="n">
        <v>0.1644599981371342</v>
      </c>
      <c r="E21" s="30" t="n">
        <v>0.1530168252925643</v>
      </c>
      <c r="F21" s="30" t="n"/>
      <c r="G21" s="30" t="n">
        <v>0</v>
      </c>
    </row>
    <row r="22">
      <c r="A22" t="inlineStr">
        <is>
          <t>Q5 Most Expensive</t>
        </is>
      </c>
      <c r="B22" t="n">
        <v>8</v>
      </c>
      <c r="C22" s="30" t="n">
        <v>-0.01531602263730891</v>
      </c>
      <c r="D22" s="30" t="n">
        <v>0.1512285688768151</v>
      </c>
      <c r="E22" s="30" t="n">
        <v>0.09346873640814657</v>
      </c>
      <c r="F22" s="30" t="n"/>
      <c r="G22" s="30" t="n">
        <v>0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37</v>
      </c>
    </row>
    <row r="27">
      <c r="A27" s="2" t="inlineStr">
        <is>
          <t>Backtest start</t>
        </is>
      </c>
      <c r="B27" t="inlineStr">
        <is>
          <t>2017-09-30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12087.2</v>
      </c>
      <c r="C2" s="25" t="n">
        <v>31.14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12884.48</v>
      </c>
      <c r="C3" s="25" t="n">
        <v>32.37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13160.39</v>
      </c>
      <c r="C4" s="25" t="n">
        <v>39.22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13449.94</v>
      </c>
      <c r="C5" s="25" t="n">
        <v>38.85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14357.74</v>
      </c>
      <c r="C6" s="25" t="n">
        <v>40.22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14740.74</v>
      </c>
      <c r="C7" s="25" t="n">
        <v>41.31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14423.48</v>
      </c>
      <c r="C8" s="25" t="n">
        <v>39.37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14239.86</v>
      </c>
      <c r="C9" s="25" t="n">
        <v>38.97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14877.95</v>
      </c>
      <c r="C10" s="25" t="n">
        <v>38.91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14125.88</v>
      </c>
      <c r="C11" s="25" t="n">
        <v>36.94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13783.98</v>
      </c>
      <c r="C12" s="25" t="n">
        <v>36.21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14197.15</v>
      </c>
      <c r="C13" s="25" t="n">
        <v>37.28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14020.68</v>
      </c>
      <c r="C14" s="25" t="n">
        <v>36.45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13510.55</v>
      </c>
      <c r="C15" s="25" t="n">
        <v>34.21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12728.89</v>
      </c>
      <c r="C16" s="25" t="n">
        <v>31.38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13969.05</v>
      </c>
      <c r="C17" s="25" t="n">
        <v>34.44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14170.58</v>
      </c>
      <c r="C18" s="25" t="n">
        <v>34.44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13890.52</v>
      </c>
      <c r="C19" s="25" t="n">
        <v>33.53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14131.81</v>
      </c>
      <c r="C20" s="25" t="n">
        <v>34.44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14623.08</v>
      </c>
      <c r="C21" s="25" t="n">
        <v>35.53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13955.84</v>
      </c>
      <c r="C22" s="25" t="n">
        <v>20.71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13793.85</v>
      </c>
      <c r="C23" s="25" t="n">
        <v>20.38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13628.09</v>
      </c>
      <c r="C24" s="25" t="n">
        <v>19.42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13768.12</v>
      </c>
      <c r="C25" s="25" t="n">
        <v>19.61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14408.79</v>
      </c>
      <c r="C26" s="25" t="n">
        <v>20.41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15090.72</v>
      </c>
      <c r="C27" s="25" t="n">
        <v>20.74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15708.7</v>
      </c>
      <c r="C28" s="25" t="n">
        <v>21.87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16252.54</v>
      </c>
      <c r="C29" s="25" t="n">
        <v>22.37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15831.73</v>
      </c>
      <c r="C30" s="25" t="n">
        <v>21.13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16302.19</v>
      </c>
      <c r="C31" s="25" t="n">
        <v>21.76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16135.01</v>
      </c>
      <c r="C32" s="25" t="n">
        <v>21.28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17658.52</v>
      </c>
      <c r="C33" s="25" t="n">
        <v>22.22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19202.05</v>
      </c>
      <c r="C34" s="25" t="n">
        <v>27.54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19698.81</v>
      </c>
      <c r="C35" s="25" t="n">
        <v>27.83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20533.24</v>
      </c>
      <c r="C36" s="25" t="n">
        <v>28.09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21047.91</v>
      </c>
      <c r="C37" s="25" t="n">
        <v>28.79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21218.64</v>
      </c>
      <c r="C38" s="25" t="n">
        <v>28.79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22100.7</v>
      </c>
      <c r="C39" s="25" t="n">
        <v>28.66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23391.15</v>
      </c>
      <c r="C40" s="25" t="n">
        <v>32.24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24885.65</v>
      </c>
      <c r="C41" s="25" t="n">
        <v>34.02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25059.21</v>
      </c>
      <c r="C42" s="25" t="n">
        <v>33.01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25758.09</v>
      </c>
      <c r="C43" s="25" t="n">
        <v>33.93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23331.34</v>
      </c>
      <c r="C44" s="25" t="n">
        <v>30.6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23231.32</v>
      </c>
      <c r="C45" s="25" t="n">
        <v>30.52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22700.1</v>
      </c>
      <c r="C46" s="25" t="n">
        <v>37.16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21946.95</v>
      </c>
      <c r="C47" s="25" t="n">
        <v>35.85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19676.4</v>
      </c>
      <c r="C48" s="25" t="n">
        <v>31.9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20801.45</v>
      </c>
      <c r="C49" s="25" t="n">
        <v>33.72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21608.25</v>
      </c>
      <c r="C50" s="25" t="n">
        <v>34.98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22140.95</v>
      </c>
      <c r="C51" s="25" t="n">
        <v>35.44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22540</v>
      </c>
      <c r="C52" s="25" t="n">
        <v>38.03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22093.25</v>
      </c>
      <c r="C53" s="25" t="n">
        <v>37.09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22243.85</v>
      </c>
      <c r="C54" s="25" t="n">
        <v>36.51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22171.4</v>
      </c>
      <c r="C55" s="25" t="n">
        <v>36.4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22740.5</v>
      </c>
      <c r="C56" s="25" t="n">
        <v>37.13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22973.1</v>
      </c>
      <c r="C57" s="25" t="n">
        <v>36.79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22837.3</v>
      </c>
      <c r="C58" s="25" t="n">
        <v>33.61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22140.4</v>
      </c>
      <c r="C59" s="25" t="n">
        <v>32.54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22744.2</v>
      </c>
      <c r="C60" s="25" t="n">
        <v>33.24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20283.75</v>
      </c>
      <c r="C61" s="25" t="n">
        <v>29.65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22193.35</v>
      </c>
      <c r="C62" s="25" t="n">
        <v>32.11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22281.4</v>
      </c>
      <c r="C63" s="25" t="n">
        <v>31.96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22530.7</v>
      </c>
      <c r="C64" s="25" t="n">
        <v>29.03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23277.35</v>
      </c>
      <c r="C65" s="25" t="n">
        <v>30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23114.45</v>
      </c>
      <c r="C66" s="25" t="n">
        <v>29.9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21553.95</v>
      </c>
      <c r="C67" s="25" t="n">
        <v>27.86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43008</v>
      </c>
      <c r="B2" s="24" t="n">
        <v>8287.280000000001</v>
      </c>
      <c r="C2" s="25" t="n">
        <v>25.99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IF(C2="","",(COUNTIFS($D$2:$D$38,D2,$C$2:$C$38,"&gt;0",$C$2:$C$38,"&lt;"&amp;C2)+(COUNTIFS($D$2:$D$38,D2,$C$2:$C$38,C2)+1)/2)/COUNTIFS($D$2:$D$38,D2,$C$2:$C$38,"&gt;0"))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 t="n"/>
    </row>
    <row r="3">
      <c r="A3" s="31" t="n">
        <v>43100</v>
      </c>
      <c r="B3" s="24" t="n">
        <v>9178.82</v>
      </c>
      <c r="C3" s="25" t="n">
        <v>34.1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IF(C3="","",(COUNTIFS($D$2:$D$38,D3,$C$2:$C$38,"&gt;0",$C$2:$C$38,"&lt;"&amp;C3)+(COUNTIFS($D$2:$D$38,D3,$C$2:$C$38,C3)+1)/2)/COUNTIFS($D$2:$D$38,D3,$C$2:$C$38,"&gt;0"))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 t="n"/>
    </row>
    <row r="4">
      <c r="A4" s="31" t="n">
        <v>43190</v>
      </c>
      <c r="B4" s="24" t="n">
        <v>8807.299999999999</v>
      </c>
      <c r="C4" s="25" t="n">
        <v>31.21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IF(C4="","",(COUNTIFS($D$2:$D$38,D4,$C$2:$C$38,"&gt;0",$C$2:$C$38,"&lt;"&amp;C4)+(COUNTIFS($D$2:$D$38,D4,$C$2:$C$38,C4)+1)/2)/COUNTIFS($D$2:$D$38,D4,$C$2:$C$38,"&gt;0"))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 t="n"/>
    </row>
    <row r="5">
      <c r="A5" s="31" t="n">
        <v>43281</v>
      </c>
      <c r="B5" s="24" t="n">
        <v>9274.42</v>
      </c>
      <c r="C5" s="25" t="n">
        <v>29.3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IF(C5="","",(COUNTIFS($D$2:$D$38,D5,$C$2:$C$38,"&gt;0",$C$2:$C$38,"&lt;"&amp;C5)+(COUNTIFS($D$2:$D$38,D5,$C$2:$C$38,C5)+1)/2)/COUNTIFS($D$2:$D$38,D5,$C$2:$C$38,"&gt;0"))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 t="n"/>
    </row>
    <row r="6">
      <c r="A6" s="31" t="n">
        <v>43373</v>
      </c>
      <c r="B6" s="24" t="n">
        <v>9334.629999999999</v>
      </c>
      <c r="C6" s="25" t="n">
        <v>30.71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IF(C6="","",(COUNTIFS($D$2:$D$38,D6,$C$2:$C$38,"&gt;0",$C$2:$C$38,"&lt;"&amp;C6)+(COUNTIFS($D$2:$D$38,D6,$C$2:$C$38,C6)+1)/2)/COUNTIFS($D$2:$D$38,D6,$C$2:$C$38,"&gt;0"))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43465</v>
      </c>
      <c r="B7" s="24" t="n">
        <v>9422.57</v>
      </c>
      <c r="C7" s="25" t="n">
        <v>30.35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IF(C7="","",(COUNTIFS($D$2:$D$38,D7,$C$2:$C$38,"&gt;0",$C$2:$C$38,"&lt;"&amp;C7)+(COUNTIFS($D$2:$D$38,D7,$C$2:$C$38,C7)+1)/2)/COUNTIFS($D$2:$D$38,D7,$C$2:$C$38,"&gt;0"))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43555</v>
      </c>
      <c r="B8" s="24" t="n">
        <v>9561.33</v>
      </c>
      <c r="C8" s="25" t="n">
        <v>29.44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IF(C8="","",(COUNTIFS($D$2:$D$38,D8,$C$2:$C$38,"&gt;0",$C$2:$C$38,"&lt;"&amp;C8)+(COUNTIFS($D$2:$D$38,D8,$C$2:$C$38,C8)+1)/2)/COUNTIFS($D$2:$D$38,D8,$C$2:$C$38,"&gt;0"))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43646</v>
      </c>
      <c r="B9" s="24" t="n">
        <v>9215.98</v>
      </c>
      <c r="C9" s="25" t="n">
        <v>28.08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IF(C9="","",(COUNTIFS($D$2:$D$38,D9,$C$2:$C$38,"&gt;0",$C$2:$C$38,"&lt;"&amp;C9)+(COUNTIFS($D$2:$D$38,D9,$C$2:$C$38,C9)+1)/2)/COUNTIFS($D$2:$D$38,D9,$C$2:$C$38,"&gt;0"))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43738</v>
      </c>
      <c r="B10" s="24" t="n">
        <v>9536.200000000001</v>
      </c>
      <c r="C10" s="25" t="n">
        <v>27.82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IF(C10="","",(COUNTIFS($D$2:$D$38,D10,$C$2:$C$38,"&gt;0",$C$2:$C$38,"&lt;"&amp;C10)+(COUNTIFS($D$2:$D$38,D10,$C$2:$C$38,C10)+1)/2)/COUNTIFS($D$2:$D$38,D10,$C$2:$C$38,"&gt;0"))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43830</v>
      </c>
      <c r="B11" s="24" t="n">
        <v>9649.25</v>
      </c>
      <c r="C11" s="25" t="n">
        <v>30.28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IF(C11="","",(COUNTIFS($D$2:$D$38,D11,$C$2:$C$38,"&gt;0",$C$2:$C$38,"&lt;"&amp;C11)+(COUNTIFS($D$2:$D$38,D11,$C$2:$C$38,C11)+1)/2)/COUNTIFS($D$2:$D$38,D11,$C$2:$C$38,"&gt;0"))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43921</v>
      </c>
      <c r="B12" s="24" t="n">
        <v>8027.55</v>
      </c>
      <c r="C12" s="25" t="n">
        <v>25.11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IF(C12="","",(COUNTIFS($D$2:$D$38,D12,$C$2:$C$38,"&gt;0",$C$2:$C$38,"&lt;"&amp;C12)+(COUNTIFS($D$2:$D$38,D12,$C$2:$C$38,C12)+1)/2)/COUNTIFS($D$2:$D$38,D12,$C$2:$C$38,"&gt;0"))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44012</v>
      </c>
      <c r="B13" s="24" t="n">
        <v>9126.82</v>
      </c>
      <c r="C13" s="25" t="n">
        <v>26.58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IF(C13="","",(COUNTIFS($D$2:$D$38,D13,$C$2:$C$38,"&gt;0",$C$2:$C$38,"&lt;"&amp;C13)+(COUNTIFS($D$2:$D$38,D13,$C$2:$C$38,C13)+1)/2)/COUNTIFS($D$2:$D$38,D13,$C$2:$C$38,"&gt;0"))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44104</v>
      </c>
      <c r="B14" s="24" t="n">
        <v>10149.56</v>
      </c>
      <c r="C14" s="25" t="n">
        <v>30.08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IF(C14="","",(COUNTIFS($D$2:$D$38,D14,$C$2:$C$38,"&gt;0",$C$2:$C$38,"&lt;"&amp;C14)+(COUNTIFS($D$2:$D$38,D14,$C$2:$C$38,C14)+1)/2)/COUNTIFS($D$2:$D$38,D14,$C$2:$C$38,"&gt;0"))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44196</v>
      </c>
      <c r="B15" s="24" t="n">
        <v>11924.35</v>
      </c>
      <c r="C15" s="25" t="n">
        <v>36.08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IF(C15="","",(COUNTIFS($D$2:$D$38,D15,$C$2:$C$38,"&gt;0",$C$2:$C$38,"&lt;"&amp;C15)+(COUNTIFS($D$2:$D$38,D15,$C$2:$C$38,C15)+1)/2)/COUNTIFS($D$2:$D$38,D15,$C$2:$C$38,"&gt;0"))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44286</v>
      </c>
      <c r="B16" s="24" t="n">
        <v>12116.38</v>
      </c>
      <c r="C16" s="25" t="n">
        <v>31.27</v>
      </c>
      <c r="D16" s="2" t="inlineStr">
        <is>
          <t>Consolidated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IF(C16="","",(COUNTIFS($D$2:$D$38,D16,$C$2:$C$38,"&gt;0",$C$2:$C$38,"&lt;"&amp;C16)+(COUNTIFS($D$2:$D$38,D16,$C$2:$C$38,C16)+1)/2)/COUNTIFS($D$2:$D$38,D16,$C$2:$C$38,"&gt;0"))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44377</v>
      </c>
      <c r="B17" s="24" t="n">
        <v>13160.39</v>
      </c>
      <c r="C17" s="25" t="n">
        <v>39.22</v>
      </c>
      <c r="D17" s="2" t="inlineStr">
        <is>
          <t>Consolidated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IF(C17="","",(COUNTIFS($D$2:$D$38,D17,$C$2:$C$38,"&gt;0",$C$2:$C$38,"&lt;"&amp;C17)+(COUNTIFS($D$2:$D$38,D17,$C$2:$C$38,C17)+1)/2)/COUNTIFS($D$2:$D$38,D17,$C$2:$C$38,"&gt;0"))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44469</v>
      </c>
      <c r="B18" s="24" t="n">
        <v>14740.74</v>
      </c>
      <c r="C18" s="25" t="n">
        <v>41.31</v>
      </c>
      <c r="D18" s="2" t="inlineStr">
        <is>
          <t>Consolidated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IF(C18="","",(COUNTIFS($D$2:$D$38,D18,$C$2:$C$38,"&gt;0",$C$2:$C$38,"&lt;"&amp;C18)+(COUNTIFS($D$2:$D$38,D18,$C$2:$C$38,C18)+1)/2)/COUNTIFS($D$2:$D$38,D18,$C$2:$C$38,"&gt;0"))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44561</v>
      </c>
      <c r="B19" s="24" t="n">
        <v>14877.95</v>
      </c>
      <c r="C19" s="25" t="n">
        <v>38.91</v>
      </c>
      <c r="D19" s="2" t="inlineStr">
        <is>
          <t>Consolidated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IF(C19="","",(COUNTIFS($D$2:$D$38,D19,$C$2:$C$38,"&gt;0",$C$2:$C$38,"&lt;"&amp;C19)+(COUNTIFS($D$2:$D$38,D19,$C$2:$C$38,C19)+1)/2)/COUNTIFS($D$2:$D$38,D19,$C$2:$C$38,"&gt;0"))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 t="n"/>
      <c r="L19" s="30" t="n"/>
    </row>
    <row r="20">
      <c r="A20" s="31" t="n">
        <v>44651</v>
      </c>
      <c r="B20" s="24" t="n">
        <v>14197.15</v>
      </c>
      <c r="C20" s="25" t="n">
        <v>37.28</v>
      </c>
      <c r="D20" s="2" t="inlineStr">
        <is>
          <t>Consolidated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IF(C20="","",(COUNTIFS($D$2:$D$38,D20,$C$2:$C$38,"&gt;0",$C$2:$C$38,"&lt;"&amp;C20)+(COUNTIFS($D$2:$D$38,D20,$C$2:$C$38,C20)+1)/2)/COUNTIFS($D$2:$D$38,D20,$C$2:$C$38,"&gt;0"))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 t="n"/>
      <c r="L20" s="30" t="n"/>
    </row>
    <row r="21">
      <c r="A21" s="31" t="n">
        <v>44742</v>
      </c>
      <c r="B21" s="24" t="n">
        <v>12728.89</v>
      </c>
      <c r="C21" s="25" t="n">
        <v>31.38</v>
      </c>
      <c r="D21" s="2" t="inlineStr">
        <is>
          <t>Consolidated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IF(C21="","",(COUNTIFS($D$2:$D$38,D21,$C$2:$C$38,"&gt;0",$C$2:$C$38,"&lt;"&amp;C21)+(COUNTIFS($D$2:$D$38,D21,$C$2:$C$38,C21)+1)/2)/COUNTIFS($D$2:$D$38,D21,$C$2:$C$38,"&gt;0"))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 t="n"/>
      <c r="L21" s="30" t="n"/>
    </row>
    <row r="22">
      <c r="A22" s="31" t="n">
        <v>44834</v>
      </c>
      <c r="B22" s="24" t="n">
        <v>13890.52</v>
      </c>
      <c r="C22" s="25" t="n">
        <v>33.53</v>
      </c>
      <c r="D22" s="2" t="inlineStr">
        <is>
          <t>Consolidated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IF(C22="","",(COUNTIFS($D$2:$D$38,D22,$C$2:$C$38,"&gt;0",$C$2:$C$38,"&lt;"&amp;C22)+(COUNTIFS($D$2:$D$38,D22,$C$2:$C$38,C22)+1)/2)/COUNTIFS($D$2:$D$38,D22,$C$2:$C$38,"&gt;0"))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 t="n"/>
      <c r="L22" s="30" t="n"/>
    </row>
    <row r="23">
      <c r="A23" s="31" t="n">
        <v>44926</v>
      </c>
      <c r="B23" s="24" t="n">
        <v>13955.84</v>
      </c>
      <c r="C23" s="25" t="n">
        <v>20.71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IF(C23="","",(COUNTIFS($D$2:$D$38,D23,$C$2:$C$38,"&gt;0",$C$2:$C$38,"&lt;"&amp;C23)+(COUNTIFS($D$2:$D$38,D23,$C$2:$C$38,C23)+1)/2)/COUNTIFS($D$2:$D$38,D23,$C$2:$C$38,"&gt;0"))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 t="n"/>
      <c r="L23" s="30" t="n"/>
    </row>
    <row r="24">
      <c r="A24" s="31" t="n">
        <v>45016</v>
      </c>
      <c r="B24" s="24" t="n">
        <v>13768.12</v>
      </c>
      <c r="C24" s="25" t="n">
        <v>19.61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IF(C24="","",(COUNTIFS($D$2:$D$38,D24,$C$2:$C$38,"&gt;0",$C$2:$C$38,"&lt;"&amp;C24)+(COUNTIFS($D$2:$D$38,D24,$C$2:$C$38,C24)+1)/2)/COUNTIFS($D$2:$D$38,D24,$C$2:$C$38,"&gt;0"))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 t="n"/>
      <c r="L24" s="30" t="n"/>
    </row>
    <row r="25">
      <c r="A25" s="31" t="n">
        <v>45107</v>
      </c>
      <c r="B25" s="24" t="n">
        <v>15708.7</v>
      </c>
      <c r="C25" s="25" t="n">
        <v>21.87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IF(C25="","",(COUNTIFS($D$2:$D$38,D25,$C$2:$C$38,"&gt;0",$C$2:$C$38,"&lt;"&amp;C25)+(COUNTIFS($D$2:$D$38,D25,$C$2:$C$38,C25)+1)/2)/COUNTIFS($D$2:$D$38,D25,$C$2:$C$38,"&gt;0"))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 t="n"/>
      <c r="L25" s="30" t="n"/>
    </row>
    <row r="26">
      <c r="A26" s="31" t="n">
        <v>45199</v>
      </c>
      <c r="B26" s="24" t="n">
        <v>16302.19</v>
      </c>
      <c r="C26" s="25" t="n">
        <v>21.76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IF(C26="","",(COUNTIFS($D$2:$D$38,D26,$C$2:$C$38,"&gt;0",$C$2:$C$38,"&lt;"&amp;C26)+(COUNTIFS($D$2:$D$38,D26,$C$2:$C$38,C26)+1)/2)/COUNTIFS($D$2:$D$38,D26,$C$2:$C$38,"&gt;0"))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45291</v>
      </c>
      <c r="B27" s="24" t="n">
        <v>19202.05</v>
      </c>
      <c r="C27" s="25" t="n">
        <v>27.54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IF(C27="","",(COUNTIFS($D$2:$D$38,D27,$C$2:$C$38,"&gt;0",$C$2:$C$38,"&lt;"&amp;C27)+(COUNTIFS($D$2:$D$38,D27,$C$2:$C$38,C27)+1)/2)/COUNTIFS($D$2:$D$38,D27,$C$2:$C$38,"&gt;0"))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 t="n"/>
      <c r="K27" s="30" t="n"/>
      <c r="L27" s="30" t="n"/>
    </row>
    <row r="28">
      <c r="A28" s="31" t="n">
        <v>45382</v>
      </c>
      <c r="B28" s="24" t="n">
        <v>21047.91</v>
      </c>
      <c r="C28" s="25" t="n">
        <v>28.79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IF(C28="","",(COUNTIFS($D$2:$D$38,D28,$C$2:$C$38,"&gt;0",$C$2:$C$38,"&lt;"&amp;C28)+(COUNTIFS($D$2:$D$38,D28,$C$2:$C$38,C28)+1)/2)/COUNTIFS($D$2:$D$38,D28,$C$2:$C$38,"&gt;0"))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 t="n"/>
      <c r="K28" s="30" t="n"/>
      <c r="L28" s="30" t="n"/>
    </row>
    <row r="29">
      <c r="A29" s="31" t="n">
        <v>45473</v>
      </c>
      <c r="B29" s="24" t="n">
        <v>23391.15</v>
      </c>
      <c r="C29" s="25" t="n">
        <v>32.24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IF(C29="","",(COUNTIFS($D$2:$D$38,D29,$C$2:$C$38,"&gt;0",$C$2:$C$38,"&lt;"&amp;C29)+(COUNTIFS($D$2:$D$38,D29,$C$2:$C$38,C29)+1)/2)/COUNTIFS($D$2:$D$38,D29,$C$2:$C$38,"&gt;0"))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 t="n"/>
      <c r="K29" s="30" t="n"/>
      <c r="L29" s="30" t="n"/>
    </row>
    <row r="30">
      <c r="A30" s="31" t="n">
        <v>45565</v>
      </c>
      <c r="B30" s="24" t="n">
        <v>25758.09</v>
      </c>
      <c r="C30" s="25" t="n">
        <v>33.93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IF(C30="","",(COUNTIFS($D$2:$D$38,D30,$C$2:$C$38,"&gt;0",$C$2:$C$38,"&lt;"&amp;C30)+(COUNTIFS($D$2:$D$38,D30,$C$2:$C$38,C30)+1)/2)/COUNTIFS($D$2:$D$38,D30,$C$2:$C$38,"&gt;0"))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 t="n"/>
      <c r="K30" s="30" t="n"/>
      <c r="L30" s="30" t="n"/>
    </row>
    <row r="31">
      <c r="A31" s="31" t="n">
        <v>45657</v>
      </c>
      <c r="B31" s="24" t="n">
        <v>22700.1</v>
      </c>
      <c r="C31" s="25" t="n">
        <v>37.16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IF(C31="","",(COUNTIFS($D$2:$D$38,D31,$C$2:$C$38,"&gt;0",$C$2:$C$38,"&lt;"&amp;C31)+(COUNTIFS($D$2:$D$38,D31,$C$2:$C$38,C31)+1)/2)/COUNTIFS($D$2:$D$38,D31,$C$2:$C$38,"&gt;0"))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 t="n"/>
      <c r="K31" s="30" t="n"/>
      <c r="L31" s="30" t="n"/>
    </row>
    <row r="32">
      <c r="A32" s="31" t="n">
        <v>45747</v>
      </c>
      <c r="B32" s="24" t="n">
        <v>20801.45</v>
      </c>
      <c r="C32" s="25" t="n">
        <v>33.72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IF(C32="","",(COUNTIFS($D$2:$D$38,D32,$C$2:$C$38,"&gt;0",$C$2:$C$38,"&lt;"&amp;C32)+(COUNTIFS($D$2:$D$38,D32,$C$2:$C$38,C32)+1)/2)/COUNTIFS($D$2:$D$38,D32,$C$2:$C$38,"&gt;0"))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 t="n"/>
      <c r="K32" s="30" t="n"/>
      <c r="L32" s="30" t="n"/>
    </row>
    <row r="33">
      <c r="A33" s="31" t="n">
        <v>45838</v>
      </c>
      <c r="B33" s="24" t="n">
        <v>22540</v>
      </c>
      <c r="C33" s="25" t="n">
        <v>38.03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IF(C33="","",(COUNTIFS($D$2:$D$38,D33,$C$2:$C$38,"&gt;0",$C$2:$C$38,"&lt;"&amp;C33)+(COUNTIFS($D$2:$D$38,D33,$C$2:$C$38,C33)+1)/2)/COUNTIFS($D$2:$D$38,D33,$C$2:$C$38,"&gt;0"))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 t="n"/>
      <c r="K33" s="30" t="n"/>
      <c r="L33" s="30" t="n"/>
    </row>
    <row r="34">
      <c r="A34" s="31" t="n">
        <v>45930</v>
      </c>
      <c r="B34" s="24" t="n">
        <v>22171.4</v>
      </c>
      <c r="C34" s="25" t="n">
        <v>36.4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IF(C34="","",(COUNTIFS($D$2:$D$38,D34,$C$2:$C$38,"&gt;0",$C$2:$C$38,"&lt;"&amp;C34)+(COUNTIFS($D$2:$D$38,D34,$C$2:$C$38,C34)+1)/2)/COUNTIFS($D$2:$D$38,D34,$C$2:$C$38,"&gt;0"))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46022</v>
      </c>
      <c r="B35" s="24" t="n">
        <v>22837.3</v>
      </c>
      <c r="C35" s="25" t="n">
        <v>33.61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IF(C35="","",(COUNTIFS($D$2:$D$38,D35,$C$2:$C$38,"&gt;0",$C$2:$C$38,"&lt;"&amp;C35)+(COUNTIFS($D$2:$D$38,D35,$C$2:$C$38,C35)+1)/2)/COUNTIFS($D$2:$D$38,D35,$C$2:$C$38,"&gt;0"))</f>
        <v/>
      </c>
      <c r="H35">
        <f>IF(G35="","",IF(G35&lt;=20%,"Q1 Cheapest",IF(G35&lt;=40%,"Q2",IF(G35&lt;=60%,"Q3",IF(G35&lt;=80%,"Q4","Q5 Most Expensive")))))</f>
        <v/>
      </c>
      <c r="I35" s="30" t="n"/>
      <c r="J35" s="30" t="n"/>
      <c r="K35" s="30" t="n"/>
      <c r="L35" s="30" t="n"/>
    </row>
    <row r="36">
      <c r="A36" s="31" t="n">
        <v>46112</v>
      </c>
      <c r="B36" s="24" t="n">
        <v>20283.75</v>
      </c>
      <c r="C36" s="25" t="n">
        <v>29.65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IF(C36="","",(COUNTIFS($D$2:$D$38,D36,$C$2:$C$38,"&gt;0",$C$2:$C$38,"&lt;"&amp;C36)+(COUNTIFS($D$2:$D$38,D36,$C$2:$C$38,C36)+1)/2)/COUNTIFS($D$2:$D$38,D36,$C$2:$C$38,"&gt;0"))</f>
        <v/>
      </c>
      <c r="H36">
        <f>IF(G36="","",IF(G36&lt;=20%,"Q1 Cheapest",IF(G36&lt;=40%,"Q2",IF(G36&lt;=60%,"Q3",IF(G36&lt;=80%,"Q4","Q5 Most Expensive")))))</f>
        <v/>
      </c>
      <c r="I36" s="30" t="n"/>
      <c r="J36" s="30" t="n"/>
      <c r="K36" s="30" t="n"/>
      <c r="L36" s="30" t="n"/>
    </row>
    <row r="37">
      <c r="A37" s="31" t="n">
        <v>46203</v>
      </c>
      <c r="B37" s="24" t="n">
        <v>22530.7</v>
      </c>
      <c r="C37" s="25" t="n">
        <v>29.03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IF(C37="","",(COUNTIFS($D$2:$D$38,D37,$C$2:$C$38,"&gt;0",$C$2:$C$38,"&lt;"&amp;C37)+(COUNTIFS($D$2:$D$38,D37,$C$2:$C$38,C37)+1)/2)/COUNTIFS($D$2:$D$38,D37,$C$2:$C$38,"&gt;0"))</f>
        <v/>
      </c>
      <c r="H37">
        <f>IF(G37="","",IF(G37&lt;=20%,"Q1 Cheapest",IF(G37&lt;=40%,"Q2",IF(G37&lt;=60%,"Q3",IF(G37&lt;=80%,"Q4","Q5 Most Expensive")))))</f>
        <v/>
      </c>
      <c r="I37" s="30" t="n"/>
      <c r="J37" s="30" t="n"/>
      <c r="K37" s="30" t="n"/>
      <c r="L37" s="30" t="n"/>
    </row>
    <row r="38">
      <c r="A38" s="31" t="n">
        <v>46295</v>
      </c>
      <c r="B38" s="24" t="n">
        <v>21553.95</v>
      </c>
      <c r="C38" s="25" t="n">
        <v>27.86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IF(C38="","",(COUNTIFS($D$2:$D$38,D38,$C$2:$C$38,"&gt;0",$C$2:$C$38,"&lt;"&amp;C38)+(COUNTIFS($D$2:$D$38,D38,$C$2:$C$38,C38)+1)/2)/COUNTIFS($D$2:$D$38,D38,$C$2:$C$38,"&gt;0"))</f>
        <v/>
      </c>
      <c r="H38">
        <f>IF(G38="","",IF(G38&lt;=20%,"Q1 Cheapest",IF(G38&lt;=40%,"Q2",IF(G38&lt;=60%,"Q3",IF(G38&lt;=80%,"Q4","Q5 Most Expensive")))))</f>
        <v/>
      </c>
      <c r="I38" s="30" t="n"/>
      <c r="J38" s="30" t="n"/>
      <c r="K38" s="30" t="n"/>
      <c r="L38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6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22138.1</v>
      </c>
      <c r="C2" s="25" t="n">
        <v>28.64</v>
      </c>
      <c r="D2" s="26" t="n">
        <v>0.234848484848</v>
      </c>
      <c r="E2" s="26" t="n">
        <v>0.268773782642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22277.35</v>
      </c>
      <c r="C3" s="25" t="n">
        <v>28.82</v>
      </c>
      <c r="D3" s="26" t="n">
        <v>0.280303030303</v>
      </c>
      <c r="E3" s="26" t="n">
        <v>0.268780256322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22203.7</v>
      </c>
      <c r="C4" s="25" t="n">
        <v>28.72</v>
      </c>
      <c r="D4" s="26" t="n">
        <v>0.25</v>
      </c>
      <c r="E4" s="26" t="n">
        <v>0.269168268769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22333.25</v>
      </c>
      <c r="C5" s="25" t="n">
        <v>28.89</v>
      </c>
      <c r="D5" s="26" t="n">
        <v>0.280303030303</v>
      </c>
      <c r="E5" s="26" t="n">
        <v>0.268990052112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22087.8</v>
      </c>
      <c r="C6" s="25" t="n">
        <v>28.57</v>
      </c>
      <c r="D6" s="26" t="n">
        <v>0.234848484848</v>
      </c>
      <c r="E6" s="26" t="n">
        <v>0.269024148945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22157.65</v>
      </c>
      <c r="C7" s="25" t="n">
        <v>28.66</v>
      </c>
      <c r="D7" s="26" t="n">
        <v>0.242424242424</v>
      </c>
      <c r="E7" s="26" t="n">
        <v>0.269092765286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21883.95</v>
      </c>
      <c r="C8" s="25" t="n">
        <v>28.31</v>
      </c>
      <c r="D8" s="26" t="n">
        <v>0.234848484848</v>
      </c>
      <c r="E8" s="26" t="n">
        <v>0.26882310251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21667.9</v>
      </c>
      <c r="C9" s="25" t="n">
        <v>28.03</v>
      </c>
      <c r="D9" s="26" t="n">
        <v>0.219696969697</v>
      </c>
      <c r="E9" s="26" t="n">
        <v>0.268753786946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21553.95</v>
      </c>
      <c r="C10" s="25" t="n">
        <v>27.86</v>
      </c>
      <c r="D10" s="26" t="n">
        <v>0.223880597015</v>
      </c>
      <c r="E10" s="26" t="n">
        <v>0.270147112879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21292</v>
      </c>
      <c r="C11" s="25" t="n">
        <v>27.52</v>
      </c>
      <c r="D11" s="26" t="n">
        <v>0.186567164179</v>
      </c>
      <c r="E11" s="26" t="n">
        <v>0.270186786436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21357.9</v>
      </c>
      <c r="C12" s="25" t="n">
        <v>27.6</v>
      </c>
      <c r="D12" s="26" t="n">
        <v>0.201492537313</v>
      </c>
      <c r="E12" s="26" t="n">
        <v>0.270494056586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21586.2</v>
      </c>
      <c r="C13" s="25" t="n">
        <v>27.9</v>
      </c>
      <c r="D13" s="26" t="n">
        <v>0.231343283582</v>
      </c>
      <c r="E13" s="26" t="n">
        <v>0.270495221176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21382.25</v>
      </c>
      <c r="C14" s="25" t="n">
        <v>27.63</v>
      </c>
      <c r="D14" s="26" t="n">
        <v>0.201492537313</v>
      </c>
      <c r="E14" s="26" t="n">
        <v>0.270803942667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20954.9</v>
      </c>
      <c r="C15" s="25" t="n">
        <v>27.08</v>
      </c>
      <c r="D15" s="26" t="n">
        <v>0.186567164179</v>
      </c>
      <c r="E15" s="26" t="n">
        <v>0.270638354247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21242.5</v>
      </c>
      <c r="C16" s="25" t="n">
        <v>27.45</v>
      </c>
      <c r="D16" s="26" t="n">
        <v>0.186567164179</v>
      </c>
      <c r="E16" s="26" t="n">
        <v>0.270625371305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21203.35</v>
      </c>
      <c r="C17" s="25" t="n">
        <v>27.34</v>
      </c>
      <c r="D17" s="26" t="n">
        <v>0.186567164179</v>
      </c>
      <c r="E17" s="26" t="n">
        <v>0.273003687248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37" customWidth="1" min="2" max="2"/>
    <col width="12" customWidth="1" min="3" max="3"/>
    <col width="32" customWidth="1" min="4" max="4"/>
    <col width="15" customWidth="1" min="5" max="5"/>
  </cols>
  <sheetData>
    <row r="1">
      <c r="A1" s="35" t="inlineStr">
        <is>
          <t>NIFTY Alpha Quality Low-Volatility 30 Composition</t>
        </is>
      </c>
    </row>
    <row r="2">
      <c r="A2" s="2" t="inlineStr">
        <is>
          <t>As of</t>
        </is>
      </c>
      <c r="B2" s="4" t="inlineStr">
        <is>
          <t>Retrieved 2026-10-12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Alkem Laboratories Ltd.</t>
        </is>
      </c>
      <c r="C6" t="inlineStr">
        <is>
          <t>ALKEM</t>
        </is>
      </c>
      <c r="D6" t="inlineStr">
        <is>
          <t>Healthcare</t>
        </is>
      </c>
    </row>
    <row r="7">
      <c r="A7" t="n">
        <v>2</v>
      </c>
      <c r="B7" t="inlineStr">
        <is>
          <t>Asian Paints Ltd.</t>
        </is>
      </c>
      <c r="C7" t="inlineStr">
        <is>
          <t>ASIANPAINT</t>
        </is>
      </c>
      <c r="D7" t="inlineStr">
        <is>
          <t>Consumer Durables</t>
        </is>
      </c>
    </row>
    <row r="8">
      <c r="A8" t="n">
        <v>3</v>
      </c>
      <c r="B8" t="inlineStr">
        <is>
          <t>Bajaj Auto Ltd.</t>
        </is>
      </c>
      <c r="C8" t="inlineStr">
        <is>
          <t>BAJAJ-AUTO</t>
        </is>
      </c>
      <c r="D8" t="inlineStr">
        <is>
          <t>Automobile and Auto Components</t>
        </is>
      </c>
    </row>
    <row r="9">
      <c r="A9" t="n">
        <v>4</v>
      </c>
      <c r="B9" t="inlineStr">
        <is>
          <t>Bharat Electronics Ltd.</t>
        </is>
      </c>
      <c r="C9" t="inlineStr">
        <is>
          <t>BEL</t>
        </is>
      </c>
      <c r="D9" t="inlineStr">
        <is>
          <t>Capital Goods</t>
        </is>
      </c>
    </row>
    <row r="10">
      <c r="A10" t="n">
        <v>5</v>
      </c>
      <c r="B10" t="inlineStr">
        <is>
          <t>Bosch Ltd.</t>
        </is>
      </c>
      <c r="C10" t="inlineStr">
        <is>
          <t>BOSCHLTD</t>
        </is>
      </c>
      <c r="D10" t="inlineStr">
        <is>
          <t>Automobile and Auto Components</t>
        </is>
      </c>
    </row>
    <row r="11">
      <c r="A11" t="n">
        <v>6</v>
      </c>
      <c r="B11" t="inlineStr">
        <is>
          <t>Britannia Industries Ltd.</t>
        </is>
      </c>
      <c r="C11" t="inlineStr">
        <is>
          <t>BRITANNIA</t>
        </is>
      </c>
      <c r="D11" t="inlineStr">
        <is>
          <t>Fast Moving Consumer Goods</t>
        </is>
      </c>
    </row>
    <row r="12">
      <c r="A12" t="n">
        <v>7</v>
      </c>
      <c r="B12" t="inlineStr">
        <is>
          <t>Cipla Ltd.</t>
        </is>
      </c>
      <c r="C12" t="inlineStr">
        <is>
          <t>CIPLA</t>
        </is>
      </c>
      <c r="D12" t="inlineStr">
        <is>
          <t>Healthcare</t>
        </is>
      </c>
    </row>
    <row r="13">
      <c r="A13" t="n">
        <v>8</v>
      </c>
      <c r="B13" t="inlineStr">
        <is>
          <t>Coal India Ltd.</t>
        </is>
      </c>
      <c r="C13" t="inlineStr">
        <is>
          <t>COALINDIA</t>
        </is>
      </c>
      <c r="D13" t="inlineStr">
        <is>
          <t>Oil Gas &amp; Consumable Fuels</t>
        </is>
      </c>
    </row>
    <row r="14">
      <c r="A14" t="n">
        <v>9</v>
      </c>
      <c r="B14" t="inlineStr">
        <is>
          <t>Colgate Palmolive (India) Ltd.</t>
        </is>
      </c>
      <c r="C14" t="inlineStr">
        <is>
          <t>COLPAL</t>
        </is>
      </c>
      <c r="D14" t="inlineStr">
        <is>
          <t>Fast Moving Consumer Goods</t>
        </is>
      </c>
    </row>
    <row r="15">
      <c r="A15" t="n">
        <v>10</v>
      </c>
      <c r="B15" t="inlineStr">
        <is>
          <t>Cummins India Ltd.</t>
        </is>
      </c>
      <c r="C15" t="inlineStr">
        <is>
          <t>CUMMINSIND</t>
        </is>
      </c>
      <c r="D15" t="inlineStr">
        <is>
          <t>Capital Goods</t>
        </is>
      </c>
    </row>
    <row r="16">
      <c r="A16" t="n">
        <v>11</v>
      </c>
      <c r="B16" t="inlineStr">
        <is>
          <t>Dabur India Ltd.</t>
        </is>
      </c>
      <c r="C16" t="inlineStr">
        <is>
          <t>DABUR</t>
        </is>
      </c>
      <c r="D16" t="inlineStr">
        <is>
          <t>Fast Moving Consumer Goods</t>
        </is>
      </c>
    </row>
    <row r="17">
      <c r="A17" t="n">
        <v>12</v>
      </c>
      <c r="B17" t="inlineStr">
        <is>
          <t>Divi's Laboratories Ltd.</t>
        </is>
      </c>
      <c r="C17" t="inlineStr">
        <is>
          <t>DIVISLAB</t>
        </is>
      </c>
      <c r="D17" t="inlineStr">
        <is>
          <t>Healthcare</t>
        </is>
      </c>
    </row>
    <row r="18">
      <c r="A18" t="n">
        <v>13</v>
      </c>
      <c r="B18" t="inlineStr">
        <is>
          <t>Dr. Reddy's Laboratories Ltd.</t>
        </is>
      </c>
      <c r="C18" t="inlineStr">
        <is>
          <t>DRREDDY</t>
        </is>
      </c>
      <c r="D18" t="inlineStr">
        <is>
          <t>Healthcare</t>
        </is>
      </c>
    </row>
    <row r="19">
      <c r="A19" t="n">
        <v>14</v>
      </c>
      <c r="B19" t="inlineStr">
        <is>
          <t>Eicher Motors Ltd.</t>
        </is>
      </c>
      <c r="C19" t="inlineStr">
        <is>
          <t>EICHERMOT</t>
        </is>
      </c>
      <c r="D19" t="inlineStr">
        <is>
          <t>Automobile and Auto Components</t>
        </is>
      </c>
    </row>
    <row r="20">
      <c r="A20" t="n">
        <v>15</v>
      </c>
      <c r="B20" t="inlineStr">
        <is>
          <t>HDFC Asset Management Company Ltd.</t>
        </is>
      </c>
      <c r="C20" t="inlineStr">
        <is>
          <t>HDFCAMC</t>
        </is>
      </c>
      <c r="D20" t="inlineStr">
        <is>
          <t>Financial Services</t>
        </is>
      </c>
    </row>
    <row r="21">
      <c r="A21" t="n">
        <v>16</v>
      </c>
      <c r="B21" t="inlineStr">
        <is>
          <t>Hero MotoCorp Ltd.</t>
        </is>
      </c>
      <c r="C21" t="inlineStr">
        <is>
          <t>HEROMOTOCO</t>
        </is>
      </c>
      <c r="D21" t="inlineStr">
        <is>
          <t>Automobile and Auto Components</t>
        </is>
      </c>
    </row>
    <row r="22">
      <c r="A22" t="n">
        <v>17</v>
      </c>
      <c r="B22" t="inlineStr">
        <is>
          <t>Hindustan Unilever Ltd.</t>
        </is>
      </c>
      <c r="C22" t="inlineStr">
        <is>
          <t>HINDUNILVR</t>
        </is>
      </c>
      <c r="D22" t="inlineStr">
        <is>
          <t>Fast Moving Consumer Goods</t>
        </is>
      </c>
    </row>
    <row r="23">
      <c r="A23" t="n">
        <v>18</v>
      </c>
      <c r="B23" t="inlineStr">
        <is>
          <t>ICICI Bank Ltd.</t>
        </is>
      </c>
      <c r="C23" t="inlineStr">
        <is>
          <t>ICICIBANK</t>
        </is>
      </c>
      <c r="D23" t="inlineStr">
        <is>
          <t>Financial Services</t>
        </is>
      </c>
    </row>
    <row r="24">
      <c r="A24" t="n">
        <v>19</v>
      </c>
      <c r="B24" t="inlineStr">
        <is>
          <t>ITC Ltd.</t>
        </is>
      </c>
      <c r="C24" t="inlineStr">
        <is>
          <t>ITC</t>
        </is>
      </c>
      <c r="D24" t="inlineStr">
        <is>
          <t>Fast Moving Consumer Goods</t>
        </is>
      </c>
    </row>
    <row r="25">
      <c r="A25" t="n">
        <v>20</v>
      </c>
      <c r="B25" t="inlineStr">
        <is>
          <t>Lupin Ltd.</t>
        </is>
      </c>
      <c r="C25" t="inlineStr">
        <is>
          <t>LUPIN</t>
        </is>
      </c>
      <c r="D25" t="inlineStr">
        <is>
          <t>Healthcare</t>
        </is>
      </c>
    </row>
    <row r="26">
      <c r="A26" t="n">
        <v>21</v>
      </c>
      <c r="B26" t="inlineStr">
        <is>
          <t>Marico Ltd.</t>
        </is>
      </c>
      <c r="C26" t="inlineStr">
        <is>
          <t>MARICO</t>
        </is>
      </c>
      <c r="D26" t="inlineStr">
        <is>
          <t>Fast Moving Consumer Goods</t>
        </is>
      </c>
    </row>
    <row r="27">
      <c r="A27" t="n">
        <v>22</v>
      </c>
      <c r="B27" t="inlineStr">
        <is>
          <t>Maruti Suzuki India Ltd.</t>
        </is>
      </c>
      <c r="C27" t="inlineStr">
        <is>
          <t>MARUTI</t>
        </is>
      </c>
      <c r="D27" t="inlineStr">
        <is>
          <t>Automobile and Auto Components</t>
        </is>
      </c>
    </row>
    <row r="28">
      <c r="A28" t="n">
        <v>23</v>
      </c>
      <c r="B28" t="inlineStr">
        <is>
          <t>Nestle India Ltd.</t>
        </is>
      </c>
      <c r="C28" t="inlineStr">
        <is>
          <t>NESTLEIND</t>
        </is>
      </c>
      <c r="D28" t="inlineStr">
        <is>
          <t>Fast Moving Consumer Goods</t>
        </is>
      </c>
    </row>
    <row r="29">
      <c r="A29" t="n">
        <v>24</v>
      </c>
      <c r="B29" t="inlineStr">
        <is>
          <t>NMDC Ltd.</t>
        </is>
      </c>
      <c r="C29" t="inlineStr">
        <is>
          <t>NMDC</t>
        </is>
      </c>
      <c r="D29" t="inlineStr">
        <is>
          <t>Metals &amp; Mining</t>
        </is>
      </c>
    </row>
    <row r="30">
      <c r="A30" t="n">
        <v>25</v>
      </c>
      <c r="B30" t="inlineStr">
        <is>
          <t>Pidilite Industries Ltd.</t>
        </is>
      </c>
      <c r="C30" t="inlineStr">
        <is>
          <t>PIDILITIND</t>
        </is>
      </c>
      <c r="D30" t="inlineStr">
        <is>
          <t>Chemicals</t>
        </is>
      </c>
    </row>
    <row r="31">
      <c r="A31" t="n">
        <v>26</v>
      </c>
      <c r="B31" t="inlineStr">
        <is>
          <t>Polycab India Ltd.</t>
        </is>
      </c>
      <c r="C31" t="inlineStr">
        <is>
          <t>POLYCAB</t>
        </is>
      </c>
      <c r="D31" t="inlineStr">
        <is>
          <t>Capital Goods</t>
        </is>
      </c>
    </row>
    <row r="32">
      <c r="A32" t="n">
        <v>27</v>
      </c>
      <c r="B32" t="inlineStr">
        <is>
          <t>Sun Pharmaceutical Industries Ltd.</t>
        </is>
      </c>
      <c r="C32" t="inlineStr">
        <is>
          <t>SUNPHARMA</t>
        </is>
      </c>
      <c r="D32" t="inlineStr">
        <is>
          <t>Healthcare</t>
        </is>
      </c>
    </row>
    <row r="33">
      <c r="A33" t="n">
        <v>28</v>
      </c>
      <c r="B33" t="inlineStr">
        <is>
          <t>Tata Consultancy Services Ltd.</t>
        </is>
      </c>
      <c r="C33" t="inlineStr">
        <is>
          <t>TCS</t>
        </is>
      </c>
      <c r="D33" t="inlineStr">
        <is>
          <t>Information Technology</t>
        </is>
      </c>
    </row>
    <row r="34">
      <c r="A34" t="n">
        <v>29</v>
      </c>
      <c r="B34" t="inlineStr">
        <is>
          <t>Torrent Pharmaceuticals Ltd.</t>
        </is>
      </c>
      <c r="C34" t="inlineStr">
        <is>
          <t>TORNTPHARM</t>
        </is>
      </c>
      <c r="D34" t="inlineStr">
        <is>
          <t>Healthcare</t>
        </is>
      </c>
    </row>
    <row r="35">
      <c r="A35" t="n">
        <v>30</v>
      </c>
      <c r="B35" t="inlineStr">
        <is>
          <t>Zydus Lifesciences Ltd.</t>
        </is>
      </c>
      <c r="C35" t="inlineStr">
        <is>
          <t>ZYDUSLIFE</t>
        </is>
      </c>
      <c r="D35" t="inlineStr">
        <is>
          <t>Healthcare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2026-10-12T21:25:13Z</dcterms:created>
  <dcterms:modified xsi:type="dcterms:W3CDTF">2026-10-12T21:25:45Z</dcterms:modified>
</cp:coreProperties>
</file>