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exConstituent/ind_niftysmallcap50list.csv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3" customWidth="1" min="4" max="4"/>
    <col width="22" customWidth="1" min="5" max="5"/>
    <col width="20" customWidth="1" min="6" max="6"/>
    <col width="21" customWidth="1" min="7" max="7"/>
  </cols>
  <sheetData>
    <row r="1" ht="26" customHeight="1">
      <c r="A1" s="1" t="inlineStr">
        <is>
          <t>NIFTY Smallcap 50 Valuation Tracker</t>
        </is>
      </c>
    </row>
    <row r="2">
      <c r="A2" s="2" t="inlineStr">
        <is>
          <t>As of</t>
        </is>
      </c>
      <c r="B2" s="23" t="n">
        <v>46307</v>
      </c>
      <c r="D2" s="2" t="inlineStr">
        <is>
          <t>Group</t>
        </is>
      </c>
      <c r="E2" s="4" t="inlineStr">
        <is>
          <t>Broad Market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9698.35</v>
      </c>
      <c r="D5" s="2" t="inlineStr">
        <is>
          <t>P/E</t>
        </is>
      </c>
      <c r="E5" s="25" t="n">
        <v>35.33</v>
      </c>
    </row>
    <row r="6">
      <c r="A6" s="2" t="inlineStr">
        <is>
          <t>P/E percentile</t>
        </is>
      </c>
      <c r="B6" s="26" t="n">
        <v>0.917910447761194</v>
      </c>
      <c r="D6" s="2" t="inlineStr">
        <is>
          <t>Implied EPS</t>
        </is>
      </c>
      <c r="E6" s="27" t="n">
        <v>274.5075007076139</v>
      </c>
    </row>
    <row r="7">
      <c r="A7" s="2" t="inlineStr">
        <is>
          <t>YoY implied EPS growth</t>
        </is>
      </c>
      <c r="B7" s="26" t="n">
        <v>-0.04744482959704288</v>
      </c>
      <c r="D7" s="2" t="inlineStr">
        <is>
          <t>Earnings yield</t>
        </is>
      </c>
      <c r="E7" s="10" t="n">
        <v>0.02830455703368243</v>
      </c>
    </row>
    <row r="8">
      <c r="A8" s="2" t="inlineStr">
        <is>
          <t>Valuation score</t>
        </is>
      </c>
      <c r="B8" s="28" t="n">
        <v>8.208955223880599</v>
      </c>
      <c r="D8" s="2" t="inlineStr">
        <is>
          <t>Growth score</t>
        </is>
      </c>
      <c r="E8" s="28" t="n">
        <v>20</v>
      </c>
    </row>
    <row r="9">
      <c r="A9" s="2" t="inlineStr">
        <is>
          <t>Composite score</t>
        </is>
      </c>
      <c r="B9" s="28" t="n">
        <v>11.74626865671642</v>
      </c>
      <c r="D9" s="2" t="inlineStr">
        <is>
          <t>Signal</t>
        </is>
      </c>
      <c r="E9" s="12" t="inlineStr">
        <is>
          <t>SELL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19.69285714285714</v>
      </c>
      <c r="C13" s="15" t="n">
        <v>5405.836996077797</v>
      </c>
      <c r="D13" s="30" t="n">
        <v>-0.4426024018438397</v>
      </c>
    </row>
    <row r="14">
      <c r="A14" t="inlineStr">
        <is>
          <t>HOLD → SELL</t>
        </is>
      </c>
      <c r="B14" s="29" t="n">
        <v>29.29714285714286</v>
      </c>
      <c r="C14" s="15" t="n">
        <v>8042.285463588209</v>
      </c>
      <c r="D14" s="30" t="n">
        <v>-0.1707573490760583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7</v>
      </c>
      <c r="C18" s="30" t="n">
        <v>0.7155843521975742</v>
      </c>
      <c r="D18" s="30" t="n">
        <v>0.2531707247144392</v>
      </c>
      <c r="E18" s="30" t="n">
        <v>0.33357679173794</v>
      </c>
      <c r="F18" s="30" t="n"/>
      <c r="G18" s="30" t="n">
        <v>0</v>
      </c>
    </row>
    <row r="19">
      <c r="A19" t="inlineStr">
        <is>
          <t>Q2</t>
        </is>
      </c>
      <c r="B19" t="n">
        <v>8</v>
      </c>
      <c r="C19" s="30" t="n">
        <v>0.09882004850674608</v>
      </c>
      <c r="D19" s="30" t="n">
        <v>0.167528937256227</v>
      </c>
      <c r="E19" s="30" t="n">
        <v>0.2600859628423946</v>
      </c>
      <c r="F19" s="30" t="n"/>
      <c r="G19" s="30" t="n">
        <v>0</v>
      </c>
    </row>
    <row r="20">
      <c r="A20" t="inlineStr">
        <is>
          <t>Q3</t>
        </is>
      </c>
      <c r="B20" t="n">
        <v>8</v>
      </c>
      <c r="C20" s="30" t="n">
        <v>0.200251632875541</v>
      </c>
      <c r="D20" s="30" t="n">
        <v>0.1990509240348866</v>
      </c>
      <c r="E20" s="30" t="n">
        <v>0.1252064799508934</v>
      </c>
      <c r="F20" s="30" t="n">
        <v>0.1166920027361642</v>
      </c>
      <c r="G20" s="30" t="n">
        <v>0.4</v>
      </c>
    </row>
    <row r="21">
      <c r="A21" t="inlineStr">
        <is>
          <t>Q4</t>
        </is>
      </c>
      <c r="B21" t="n">
        <v>8</v>
      </c>
      <c r="C21" s="30" t="n">
        <v>-0.1003859238888405</v>
      </c>
      <c r="D21" s="30" t="n">
        <v>-0.0105997250482171</v>
      </c>
      <c r="E21" s="30" t="n">
        <v>0.0466425678305542</v>
      </c>
      <c r="F21" s="30" t="n"/>
      <c r="G21" s="30" t="n">
        <v>0.5</v>
      </c>
    </row>
    <row r="22">
      <c r="A22" t="inlineStr">
        <is>
          <t>Q5 Most Expensive</t>
        </is>
      </c>
      <c r="B22" t="n">
        <v>9</v>
      </c>
      <c r="C22" s="30" t="n">
        <v>-0.08439746291096839</v>
      </c>
      <c r="D22" s="30" t="n">
        <v>0.005035411055723138</v>
      </c>
      <c r="E22" s="30" t="n">
        <v>0.1070272331117028</v>
      </c>
      <c r="F22" s="30" t="n">
        <v>0.1110228899906136</v>
      </c>
      <c r="G22" s="30" t="n">
        <v>0.4285714285714285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40</v>
      </c>
    </row>
    <row r="27">
      <c r="A27" s="2" t="inlineStr">
        <is>
          <t>Backtest start</t>
        </is>
      </c>
      <c r="B27" t="inlineStr">
        <is>
          <t>2016-06-30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4283.05</v>
      </c>
      <c r="C2" s="25" t="n">
        <v>82.79000000000001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4620.65</v>
      </c>
      <c r="C3" s="25" t="n">
        <v>70.56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4891.35</v>
      </c>
      <c r="C4" s="25" t="n">
        <v>60.54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5292.5</v>
      </c>
      <c r="C5" s="25" t="n">
        <v>34.69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5135.35</v>
      </c>
      <c r="C6" s="25" t="n">
        <v>37.73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5340.7</v>
      </c>
      <c r="C7" s="25" t="n">
        <v>29.25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5250.7</v>
      </c>
      <c r="C8" s="25" t="n">
        <v>33.17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5078.65</v>
      </c>
      <c r="C9" s="25" t="n">
        <v>31.57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5330.75</v>
      </c>
      <c r="C10" s="25" t="n">
        <v>33.52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5161.8</v>
      </c>
      <c r="C11" s="25" t="n">
        <v>33.05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4514.6</v>
      </c>
      <c r="C12" s="25" t="n">
        <v>28.87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4801.45</v>
      </c>
      <c r="C13" s="25" t="n">
        <v>31.59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4719.2</v>
      </c>
      <c r="C14" s="25" t="n">
        <v>30.39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4194.15</v>
      </c>
      <c r="C15" s="25" t="n">
        <v>24.37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3848.55</v>
      </c>
      <c r="C16" s="25" t="n">
        <v>22.84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4205.9</v>
      </c>
      <c r="C17" s="25" t="n">
        <v>22.85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4399</v>
      </c>
      <c r="C18" s="25" t="n">
        <v>22.75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4265.9</v>
      </c>
      <c r="C19" s="25" t="n">
        <v>19.04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4310.4</v>
      </c>
      <c r="C20" s="25" t="n">
        <v>19.28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4461.35</v>
      </c>
      <c r="C21" s="25" t="n">
        <v>20.78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4341.95</v>
      </c>
      <c r="C22" s="25" t="n">
        <v>20.28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4297.15</v>
      </c>
      <c r="C23" s="25" t="n">
        <v>20.08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4127.4</v>
      </c>
      <c r="C24" s="25" t="n">
        <v>19.83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4097.7</v>
      </c>
      <c r="C25" s="25" t="n">
        <v>16.24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4436.25</v>
      </c>
      <c r="C26" s="25" t="n">
        <v>17.05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4625.15</v>
      </c>
      <c r="C27" s="25" t="n">
        <v>18.76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4899.5</v>
      </c>
      <c r="C28" s="25" t="n">
        <v>19.43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5294.75</v>
      </c>
      <c r="C29" s="25" t="n">
        <v>22.84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5619.4</v>
      </c>
      <c r="C30" s="25" t="n">
        <v>24.54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5883.3</v>
      </c>
      <c r="C31" s="25" t="n">
        <v>25.39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5817.95</v>
      </c>
      <c r="C32" s="25" t="n">
        <v>23.92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6539.5</v>
      </c>
      <c r="C33" s="25" t="n">
        <v>26.43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7132.1</v>
      </c>
      <c r="C34" s="25" t="n">
        <v>28.81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7435.4</v>
      </c>
      <c r="C35" s="25" t="n">
        <v>29.3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7351.65</v>
      </c>
      <c r="C36" s="25" t="n">
        <v>29.22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7029.95</v>
      </c>
      <c r="C37" s="25" t="n">
        <v>22.83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7861.2</v>
      </c>
      <c r="C38" s="25" t="n">
        <v>25.13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7726.75</v>
      </c>
      <c r="C39" s="25" t="n">
        <v>23.65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8575.6</v>
      </c>
      <c r="C40" s="25" t="n">
        <v>26.31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8946.9</v>
      </c>
      <c r="C41" s="25" t="n">
        <v>27.2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9168.950000000001</v>
      </c>
      <c r="C42" s="25" t="n">
        <v>27.62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9206.85</v>
      </c>
      <c r="C43" s="25" t="n">
        <v>32.43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8986</v>
      </c>
      <c r="C44" s="25" t="n">
        <v>32.16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8984.950000000001</v>
      </c>
      <c r="C45" s="25" t="n">
        <v>31.12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8937.200000000001</v>
      </c>
      <c r="C46" s="25" t="n">
        <v>30.88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8049.35</v>
      </c>
      <c r="C47" s="25" t="n">
        <v>25.74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7095.75</v>
      </c>
      <c r="C48" s="25" t="n">
        <v>22.14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7724.65</v>
      </c>
      <c r="C49" s="25" t="n">
        <v>30.01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7943.4</v>
      </c>
      <c r="C50" s="25" t="n">
        <v>30.9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8561.5</v>
      </c>
      <c r="C51" s="25" t="n">
        <v>33.06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9187.299999999999</v>
      </c>
      <c r="C52" s="25" t="n">
        <v>35.38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8671.85</v>
      </c>
      <c r="C53" s="25" t="n">
        <v>33.4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8261.549999999999</v>
      </c>
      <c r="C54" s="25" t="n">
        <v>32.41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8395.4</v>
      </c>
      <c r="C55" s="25" t="n">
        <v>29.13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8842.65</v>
      </c>
      <c r="C56" s="25" t="n">
        <v>30.56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8699.6</v>
      </c>
      <c r="C57" s="25" t="n">
        <v>32.27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8606.1</v>
      </c>
      <c r="C58" s="25" t="n">
        <v>31.9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8189.35</v>
      </c>
      <c r="C59" s="25" t="n">
        <v>29.53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8302.299999999999</v>
      </c>
      <c r="C60" s="25" t="n">
        <v>29.9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7465.05</v>
      </c>
      <c r="C61" s="25" t="n">
        <v>24.26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8786.6</v>
      </c>
      <c r="C62" s="25" t="n">
        <v>28.06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8951.35</v>
      </c>
      <c r="C63" s="25" t="n">
        <v>30.16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9332.549999999999</v>
      </c>
      <c r="C64" s="25" t="n">
        <v>31.84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9644.450000000001</v>
      </c>
      <c r="C65" s="25" t="n">
        <v>31.87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9937.700000000001</v>
      </c>
      <c r="C66" s="25" t="n">
        <v>31.81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9632.950000000001</v>
      </c>
      <c r="C67" s="25" t="n">
        <v>35.06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42551</v>
      </c>
      <c r="B2" s="24" t="n">
        <v>3095.04</v>
      </c>
      <c r="C2" s="25" t="n">
        <v>38.3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IF(C2="","",(COUNTIFS($D$2:$D$43,D2,$C$2:$C$43,"&gt;0",$C$2:$C$43,"&lt;"&amp;C2)+(COUNTIFS($D$2:$D$43,D2,$C$2:$C$43,C2)+1)/2)/COUNTIFS($D$2:$D$43,D2,$C$2:$C$43,"&gt;0"))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42643</v>
      </c>
      <c r="B3" s="24" t="n">
        <v>3361.47</v>
      </c>
      <c r="C3" s="25" t="n">
        <v>59.82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IF(C3="","",(COUNTIFS($D$2:$D$43,D3,$C$2:$C$43,"&gt;0",$C$2:$C$43,"&lt;"&amp;C3)+(COUNTIFS($D$2:$D$43,D3,$C$2:$C$43,C3)+1)/2)/COUNTIFS($D$2:$D$43,D3,$C$2:$C$43,"&gt;0"))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42735</v>
      </c>
      <c r="B4" s="24" t="n">
        <v>3065.15</v>
      </c>
      <c r="C4" s="25" t="n">
        <v>63.23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IF(C4="","",(COUNTIFS($D$2:$D$43,D4,$C$2:$C$43,"&gt;0",$C$2:$C$43,"&lt;"&amp;C4)+(COUNTIFS($D$2:$D$43,D4,$C$2:$C$43,C4)+1)/2)/COUNTIFS($D$2:$D$43,D4,$C$2:$C$43,"&gt;0"))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 t="n"/>
    </row>
    <row r="5">
      <c r="A5" s="31" t="n">
        <v>42825</v>
      </c>
      <c r="B5" s="24" t="n">
        <v>3822.79</v>
      </c>
      <c r="C5" s="25" t="n">
        <v>56.37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IF(C5="","",(COUNTIFS($D$2:$D$43,D5,$C$2:$C$43,"&gt;0",$C$2:$C$43,"&lt;"&amp;C5)+(COUNTIFS($D$2:$D$43,D5,$C$2:$C$43,C5)+1)/2)/COUNTIFS($D$2:$D$43,D5,$C$2:$C$43,"&gt;0"))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 t="n"/>
    </row>
    <row r="6">
      <c r="A6" s="31" t="n">
        <v>42916</v>
      </c>
      <c r="B6" s="24" t="n">
        <v>4143.79</v>
      </c>
      <c r="C6" s="25" t="n">
        <v>41.57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IF(C6="","",(COUNTIFS($D$2:$D$43,D6,$C$2:$C$43,"&gt;0",$C$2:$C$43,"&lt;"&amp;C6)+(COUNTIFS($D$2:$D$43,D6,$C$2:$C$43,C6)+1)/2)/COUNTIFS($D$2:$D$43,D6,$C$2:$C$43,"&gt;0"))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43008</v>
      </c>
      <c r="B7" s="24" t="n">
        <v>4115.69</v>
      </c>
      <c r="C7" s="25" t="n">
        <v>37.37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IF(C7="","",(COUNTIFS($D$2:$D$43,D7,$C$2:$C$43,"&gt;0",$C$2:$C$43,"&lt;"&amp;C7)+(COUNTIFS($D$2:$D$43,D7,$C$2:$C$43,C7)+1)/2)/COUNTIFS($D$2:$D$43,D7,$C$2:$C$43,"&gt;0"))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43100</v>
      </c>
      <c r="B8" s="24" t="n">
        <v>4731.14</v>
      </c>
      <c r="C8" s="25" t="n">
        <v>57.77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IF(C8="","",(COUNTIFS($D$2:$D$43,D8,$C$2:$C$43,"&gt;0",$C$2:$C$43,"&lt;"&amp;C8)+(COUNTIFS($D$2:$D$43,D8,$C$2:$C$43,C8)+1)/2)/COUNTIFS($D$2:$D$43,D8,$C$2:$C$43,"&gt;0"))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43190</v>
      </c>
      <c r="B9" s="24" t="n">
        <v>3994.75</v>
      </c>
      <c r="C9" s="25" t="n">
        <v>79.25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IF(C9="","",(COUNTIFS($D$2:$D$43,D9,$C$2:$C$43,"&gt;0",$C$2:$C$43,"&lt;"&amp;C9)+(COUNTIFS($D$2:$D$43,D9,$C$2:$C$43,C9)+1)/2)/COUNTIFS($D$2:$D$43,D9,$C$2:$C$43,"&gt;0"))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43281</v>
      </c>
      <c r="B10" s="24" t="n">
        <v>3628.85</v>
      </c>
      <c r="C10" s="25" t="n"/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IF(C10="","",(COUNTIFS($D$2:$D$43,D10,$C$2:$C$43,"&gt;0",$C$2:$C$43,"&lt;"&amp;C10)+(COUNTIFS($D$2:$D$43,D10,$C$2:$C$43,C10)+1)/2)/COUNTIFS($D$2:$D$43,D10,$C$2:$C$43,"&gt;0"))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43373</v>
      </c>
      <c r="B11" s="24" t="n">
        <v>2963.3</v>
      </c>
      <c r="C11" s="25" t="n"/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IF(C11="","",(COUNTIFS($D$2:$D$43,D11,$C$2:$C$43,"&gt;0",$C$2:$C$43,"&lt;"&amp;C11)+(COUNTIFS($D$2:$D$43,D11,$C$2:$C$43,C11)+1)/2)/COUNTIFS($D$2:$D$43,D11,$C$2:$C$43,"&gt;0"))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43465</v>
      </c>
      <c r="B12" s="24" t="n">
        <v>3170.29</v>
      </c>
      <c r="C12" s="25" t="n">
        <v>55.77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IF(C12="","",(COUNTIFS($D$2:$D$43,D12,$C$2:$C$43,"&gt;0",$C$2:$C$43,"&lt;"&amp;C12)+(COUNTIFS($D$2:$D$43,D12,$C$2:$C$43,C12)+1)/2)/COUNTIFS($D$2:$D$43,D12,$C$2:$C$43,"&gt;0"))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43555</v>
      </c>
      <c r="B13" s="24" t="n">
        <v>3257.3</v>
      </c>
      <c r="C13" s="25" t="n">
        <v>23.09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IF(C13="","",(COUNTIFS($D$2:$D$43,D13,$C$2:$C$43,"&gt;0",$C$2:$C$43,"&lt;"&amp;C13)+(COUNTIFS($D$2:$D$43,D13,$C$2:$C$43,C13)+1)/2)/COUNTIFS($D$2:$D$43,D13,$C$2:$C$43,"&gt;0"))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43646</v>
      </c>
      <c r="B14" s="24" t="n">
        <v>2993.75</v>
      </c>
      <c r="C14" s="25" t="n">
        <v>16.25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IF(C14="","",(COUNTIFS($D$2:$D$43,D14,$C$2:$C$43,"&gt;0",$C$2:$C$43,"&lt;"&amp;C14)+(COUNTIFS($D$2:$D$43,D14,$C$2:$C$43,C14)+1)/2)/COUNTIFS($D$2:$D$43,D14,$C$2:$C$43,"&gt;0"))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43738</v>
      </c>
      <c r="B15" s="24" t="n">
        <v>2680.45</v>
      </c>
      <c r="C15" s="25" t="n">
        <v>22.89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IF(C15="","",(COUNTIFS($D$2:$D$43,D15,$C$2:$C$43,"&gt;0",$C$2:$C$43,"&lt;"&amp;C15)+(COUNTIFS($D$2:$D$43,D15,$C$2:$C$43,C15)+1)/2)/COUNTIFS($D$2:$D$43,D15,$C$2:$C$43,"&gt;0"))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43830</v>
      </c>
      <c r="B16" s="24" t="n">
        <v>2813.2</v>
      </c>
      <c r="C16" s="25" t="n">
        <v>22.73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IF(C16="","",(COUNTIFS($D$2:$D$43,D16,$C$2:$C$43,"&gt;0",$C$2:$C$43,"&lt;"&amp;C16)+(COUNTIFS($D$2:$D$43,D16,$C$2:$C$43,C16)+1)/2)/COUNTIFS($D$2:$D$43,D16,$C$2:$C$43,"&gt;0"))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43921</v>
      </c>
      <c r="B17" s="24" t="n">
        <v>1743.15</v>
      </c>
      <c r="C17" s="25" t="n">
        <v>13.57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IF(C17="","",(COUNTIFS($D$2:$D$43,D17,$C$2:$C$43,"&gt;0",$C$2:$C$43,"&lt;"&amp;C17)+(COUNTIFS($D$2:$D$43,D17,$C$2:$C$43,C17)+1)/2)/COUNTIFS($D$2:$D$43,D17,$C$2:$C$43,"&gt;0"))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44012</v>
      </c>
      <c r="B18" s="24" t="n">
        <v>2178.2</v>
      </c>
      <c r="C18" s="25" t="n">
        <v>17.83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IF(C18="","",(COUNTIFS($D$2:$D$43,D18,$C$2:$C$43,"&gt;0",$C$2:$C$43,"&lt;"&amp;C18)+(COUNTIFS($D$2:$D$43,D18,$C$2:$C$43,C18)+1)/2)/COUNTIFS($D$2:$D$43,D18,$C$2:$C$43,"&gt;0"))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44104</v>
      </c>
      <c r="B19" s="24" t="n">
        <v>2911.4</v>
      </c>
      <c r="C19" s="25" t="n">
        <v>29.31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IF(C19="","",(COUNTIFS($D$2:$D$43,D19,$C$2:$C$43,"&gt;0",$C$2:$C$43,"&lt;"&amp;C19)+(COUNTIFS($D$2:$D$43,D19,$C$2:$C$43,C19)+1)/2)/COUNTIFS($D$2:$D$43,D19,$C$2:$C$43,"&gt;0"))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44196</v>
      </c>
      <c r="B20" s="24" t="n">
        <v>3535.05</v>
      </c>
      <c r="C20" s="25" t="n">
        <v>36.74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IF(C20="","",(COUNTIFS($D$2:$D$43,D20,$C$2:$C$43,"&gt;0",$C$2:$C$43,"&lt;"&amp;C20)+(COUNTIFS($D$2:$D$43,D20,$C$2:$C$43,C20)+1)/2)/COUNTIFS($D$2:$D$43,D20,$C$2:$C$43,"&gt;0"))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44286</v>
      </c>
      <c r="B21" s="24" t="n">
        <v>4055.4</v>
      </c>
      <c r="C21" s="25" t="n">
        <v>64.36</v>
      </c>
      <c r="D21" s="2" t="inlineStr">
        <is>
          <t>Consolidated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IF(C21="","",(COUNTIFS($D$2:$D$43,D21,$C$2:$C$43,"&gt;0",$C$2:$C$43,"&lt;"&amp;C21)+(COUNTIFS($D$2:$D$43,D21,$C$2:$C$43,C21)+1)/2)/COUNTIFS($D$2:$D$43,D21,$C$2:$C$43,"&gt;0"))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44377</v>
      </c>
      <c r="B22" s="24" t="n">
        <v>4891.35</v>
      </c>
      <c r="C22" s="25" t="n">
        <v>60.54</v>
      </c>
      <c r="D22" s="2" t="inlineStr">
        <is>
          <t>Consolidated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IF(C22="","",(COUNTIFS($D$2:$D$43,D22,$C$2:$C$43,"&gt;0",$C$2:$C$43,"&lt;"&amp;C22)+(COUNTIFS($D$2:$D$43,D22,$C$2:$C$43,C22)+1)/2)/COUNTIFS($D$2:$D$43,D22,$C$2:$C$43,"&gt;0"))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44469</v>
      </c>
      <c r="B23" s="24" t="n">
        <v>5340.7</v>
      </c>
      <c r="C23" s="25" t="n">
        <v>29.25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IF(C23="","",(COUNTIFS($D$2:$D$43,D23,$C$2:$C$43,"&gt;0",$C$2:$C$43,"&lt;"&amp;C23)+(COUNTIFS($D$2:$D$43,D23,$C$2:$C$43,C23)+1)/2)/COUNTIFS($D$2:$D$43,D23,$C$2:$C$43,"&gt;0"))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44561</v>
      </c>
      <c r="B24" s="24" t="n">
        <v>5330.75</v>
      </c>
      <c r="C24" s="25" t="n">
        <v>33.52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IF(C24="","",(COUNTIFS($D$2:$D$43,D24,$C$2:$C$43,"&gt;0",$C$2:$C$43,"&lt;"&amp;C24)+(COUNTIFS($D$2:$D$43,D24,$C$2:$C$43,C24)+1)/2)/COUNTIFS($D$2:$D$43,D24,$C$2:$C$43,"&gt;0"))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 t="n"/>
      <c r="L24" s="30" t="n"/>
    </row>
    <row r="25">
      <c r="A25" s="31" t="n">
        <v>44651</v>
      </c>
      <c r="B25" s="24" t="n">
        <v>4801.45</v>
      </c>
      <c r="C25" s="25" t="n">
        <v>31.59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IF(C25="","",(COUNTIFS($D$2:$D$43,D25,$C$2:$C$43,"&gt;0",$C$2:$C$43,"&lt;"&amp;C25)+(COUNTIFS($D$2:$D$43,D25,$C$2:$C$43,C25)+1)/2)/COUNTIFS($D$2:$D$43,D25,$C$2:$C$43,"&gt;0"))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 t="n"/>
      <c r="L25" s="30" t="n"/>
    </row>
    <row r="26">
      <c r="A26" s="31" t="n">
        <v>44742</v>
      </c>
      <c r="B26" s="24" t="n">
        <v>3848.55</v>
      </c>
      <c r="C26" s="25" t="n">
        <v>22.84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IF(C26="","",(COUNTIFS($D$2:$D$43,D26,$C$2:$C$43,"&gt;0",$C$2:$C$43,"&lt;"&amp;C26)+(COUNTIFS($D$2:$D$43,D26,$C$2:$C$43,C26)+1)/2)/COUNTIFS($D$2:$D$43,D26,$C$2:$C$43,"&gt;0"))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44834</v>
      </c>
      <c r="B27" s="24" t="n">
        <v>4265.9</v>
      </c>
      <c r="C27" s="25" t="n">
        <v>19.04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IF(C27="","",(COUNTIFS($D$2:$D$43,D27,$C$2:$C$43,"&gt;0",$C$2:$C$43,"&lt;"&amp;C27)+(COUNTIFS($D$2:$D$43,D27,$C$2:$C$43,C27)+1)/2)/COUNTIFS($D$2:$D$43,D27,$C$2:$C$43,"&gt;0"))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44926</v>
      </c>
      <c r="B28" s="24" t="n">
        <v>4341.95</v>
      </c>
      <c r="C28" s="25" t="n">
        <v>20.28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IF(C28="","",(COUNTIFS($D$2:$D$43,D28,$C$2:$C$43,"&gt;0",$C$2:$C$43,"&lt;"&amp;C28)+(COUNTIFS($D$2:$D$43,D28,$C$2:$C$43,C28)+1)/2)/COUNTIFS($D$2:$D$43,D28,$C$2:$C$43,"&gt;0"))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45016</v>
      </c>
      <c r="B29" s="24" t="n">
        <v>4097.7</v>
      </c>
      <c r="C29" s="25" t="n">
        <v>16.24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IF(C29="","",(COUNTIFS($D$2:$D$43,D29,$C$2:$C$43,"&gt;0",$C$2:$C$43,"&lt;"&amp;C29)+(COUNTIFS($D$2:$D$43,D29,$C$2:$C$43,C29)+1)/2)/COUNTIFS($D$2:$D$43,D29,$C$2:$C$43,"&gt;0"))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45107</v>
      </c>
      <c r="B30" s="24" t="n">
        <v>4899.5</v>
      </c>
      <c r="C30" s="25" t="n">
        <v>19.43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IF(C30="","",(COUNTIFS($D$2:$D$43,D30,$C$2:$C$43,"&gt;0",$C$2:$C$43,"&lt;"&amp;C30)+(COUNTIFS($D$2:$D$43,D30,$C$2:$C$43,C30)+1)/2)/COUNTIFS($D$2:$D$43,D30,$C$2:$C$43,"&gt;0"))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45199</v>
      </c>
      <c r="B31" s="24" t="n">
        <v>5883.3</v>
      </c>
      <c r="C31" s="25" t="n">
        <v>25.39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IF(C31="","",(COUNTIFS($D$2:$D$43,D31,$C$2:$C$43,"&gt;0",$C$2:$C$43,"&lt;"&amp;C31)+(COUNTIFS($D$2:$D$43,D31,$C$2:$C$43,C31)+1)/2)/COUNTIFS($D$2:$D$43,D31,$C$2:$C$43,"&gt;0"))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45291</v>
      </c>
      <c r="B32" s="24" t="n">
        <v>7132.1</v>
      </c>
      <c r="C32" s="25" t="n">
        <v>28.81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IF(C32="","",(COUNTIFS($D$2:$D$43,D32,$C$2:$C$43,"&gt;0",$C$2:$C$43,"&lt;"&amp;C32)+(COUNTIFS($D$2:$D$43,D32,$C$2:$C$43,C32)+1)/2)/COUNTIFS($D$2:$D$43,D32,$C$2:$C$43,"&gt;0"))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 t="n"/>
      <c r="K32" s="30" t="n"/>
      <c r="L32" s="30" t="n"/>
    </row>
    <row r="33">
      <c r="A33" s="31" t="n">
        <v>45382</v>
      </c>
      <c r="B33" s="24" t="n">
        <v>7029.95</v>
      </c>
      <c r="C33" s="25" t="n">
        <v>22.83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IF(C33="","",(COUNTIFS($D$2:$D$43,D33,$C$2:$C$43,"&gt;0",$C$2:$C$43,"&lt;"&amp;C33)+(COUNTIFS($D$2:$D$43,D33,$C$2:$C$43,C33)+1)/2)/COUNTIFS($D$2:$D$43,D33,$C$2:$C$43,"&gt;0"))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 t="n"/>
      <c r="K33" s="30" t="n"/>
      <c r="L33" s="30" t="n"/>
    </row>
    <row r="34">
      <c r="A34" s="31" t="n">
        <v>45473</v>
      </c>
      <c r="B34" s="24" t="n">
        <v>8575.6</v>
      </c>
      <c r="C34" s="25" t="n">
        <v>26.31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IF(C34="","",(COUNTIFS($D$2:$D$43,D34,$C$2:$C$43,"&gt;0",$C$2:$C$43,"&lt;"&amp;C34)+(COUNTIFS($D$2:$D$43,D34,$C$2:$C$43,C34)+1)/2)/COUNTIFS($D$2:$D$43,D34,$C$2:$C$43,"&gt;0"))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45565</v>
      </c>
      <c r="B35" s="24" t="n">
        <v>9206.85</v>
      </c>
      <c r="C35" s="25" t="n">
        <v>32.43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IF(C35="","",(COUNTIFS($D$2:$D$43,D35,$C$2:$C$43,"&gt;0",$C$2:$C$43,"&lt;"&amp;C35)+(COUNTIFS($D$2:$D$43,D35,$C$2:$C$43,C35)+1)/2)/COUNTIFS($D$2:$D$43,D35,$C$2:$C$43,"&gt;0"))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45657</v>
      </c>
      <c r="B36" s="24" t="n">
        <v>8937.200000000001</v>
      </c>
      <c r="C36" s="25" t="n">
        <v>30.88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IF(C36="","",(COUNTIFS($D$2:$D$43,D36,$C$2:$C$43,"&gt;0",$C$2:$C$43,"&lt;"&amp;C36)+(COUNTIFS($D$2:$D$43,D36,$C$2:$C$43,C36)+1)/2)/COUNTIFS($D$2:$D$43,D36,$C$2:$C$43,"&gt;0"))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45747</v>
      </c>
      <c r="B37" s="24" t="n">
        <v>7724.65</v>
      </c>
      <c r="C37" s="25" t="n">
        <v>30.01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IF(C37="","",(COUNTIFS($D$2:$D$43,D37,$C$2:$C$43,"&gt;0",$C$2:$C$43,"&lt;"&amp;C37)+(COUNTIFS($D$2:$D$43,D37,$C$2:$C$43,C37)+1)/2)/COUNTIFS($D$2:$D$43,D37,$C$2:$C$43,"&gt;0"))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45838</v>
      </c>
      <c r="B38" s="24" t="n">
        <v>9187.299999999999</v>
      </c>
      <c r="C38" s="25" t="n">
        <v>35.38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IF(C38="","",(COUNTIFS($D$2:$D$43,D38,$C$2:$C$43,"&gt;0",$C$2:$C$43,"&lt;"&amp;C38)+(COUNTIFS($D$2:$D$43,D38,$C$2:$C$43,C38)+1)/2)/COUNTIFS($D$2:$D$43,D38,$C$2:$C$43,"&gt;0"))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45930</v>
      </c>
      <c r="B39" s="24" t="n">
        <v>8395.4</v>
      </c>
      <c r="C39" s="25" t="n">
        <v>29.13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IF(C39="","",(COUNTIFS($D$2:$D$43,D39,$C$2:$C$43,"&gt;0",$C$2:$C$43,"&lt;"&amp;C39)+(COUNTIFS($D$2:$D$43,D39,$C$2:$C$43,C39)+1)/2)/COUNTIFS($D$2:$D$43,D39,$C$2:$C$43,"&gt;0"))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46022</v>
      </c>
      <c r="B40" s="24" t="n">
        <v>8606.1</v>
      </c>
      <c r="C40" s="25" t="n">
        <v>31.9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IF(C40="","",(COUNTIFS($D$2:$D$43,D40,$C$2:$C$43,"&gt;0",$C$2:$C$43,"&lt;"&amp;C40)+(COUNTIFS($D$2:$D$43,D40,$C$2:$C$43,C40)+1)/2)/COUNTIFS($D$2:$D$43,D40,$C$2:$C$43,"&gt;0"))</f>
        <v/>
      </c>
      <c r="H40">
        <f>IF(G40="","",IF(G40&lt;=20%,"Q1 Cheapest",IF(G40&lt;=40%,"Q2",IF(G40&lt;=60%,"Q3",IF(G40&lt;=80%,"Q4","Q5 Most Expensive")))))</f>
        <v/>
      </c>
      <c r="I40" s="30" t="n"/>
      <c r="J40" s="30" t="n"/>
      <c r="K40" s="30" t="n"/>
      <c r="L40" s="30" t="n"/>
    </row>
    <row r="41">
      <c r="A41" s="31" t="n">
        <v>46112</v>
      </c>
      <c r="B41" s="24" t="n">
        <v>7465.05</v>
      </c>
      <c r="C41" s="25" t="n">
        <v>24.26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IF(C41="","",(COUNTIFS($D$2:$D$43,D41,$C$2:$C$43,"&gt;0",$C$2:$C$43,"&lt;"&amp;C41)+(COUNTIFS($D$2:$D$43,D41,$C$2:$C$43,C41)+1)/2)/COUNTIFS($D$2:$D$43,D41,$C$2:$C$43,"&gt;0"))</f>
        <v/>
      </c>
      <c r="H41">
        <f>IF(G41="","",IF(G41&lt;=20%,"Q1 Cheapest",IF(G41&lt;=40%,"Q2",IF(G41&lt;=60%,"Q3",IF(G41&lt;=80%,"Q4","Q5 Most Expensive")))))</f>
        <v/>
      </c>
      <c r="I41" s="30" t="n"/>
      <c r="J41" s="30" t="n"/>
      <c r="K41" s="30" t="n"/>
      <c r="L41" s="30" t="n"/>
    </row>
    <row r="42">
      <c r="A42" s="31" t="n">
        <v>46203</v>
      </c>
      <c r="B42" s="24" t="n">
        <v>9332.549999999999</v>
      </c>
      <c r="C42" s="25" t="n">
        <v>31.84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IF(C42="","",(COUNTIFS($D$2:$D$43,D42,$C$2:$C$43,"&gt;0",$C$2:$C$43,"&lt;"&amp;C42)+(COUNTIFS($D$2:$D$43,D42,$C$2:$C$43,C42)+1)/2)/COUNTIFS($D$2:$D$43,D42,$C$2:$C$43,"&gt;0"))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46295</v>
      </c>
      <c r="B43" s="24" t="n">
        <v>9632.950000000001</v>
      </c>
      <c r="C43" s="25" t="n">
        <v>35.06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IF(C43="","",(COUNTIFS($D$2:$D$43,D43,$C$2:$C$43,"&gt;0",$C$2:$C$43,"&lt;"&amp;C43)+(COUNTIFS($D$2:$D$43,D43,$C$2:$C$43,C43)+1)/2)/COUNTIFS($D$2:$D$43,D43,$C$2:$C$43,"&gt;0"))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8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9956.65</v>
      </c>
      <c r="C2" s="25" t="n">
        <v>31.87</v>
      </c>
      <c r="D2" s="26" t="n">
        <v>0.742424242424</v>
      </c>
      <c r="E2" s="26" t="n">
        <v>0.225829820798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9948.15</v>
      </c>
      <c r="C3" s="25" t="n">
        <v>31.85</v>
      </c>
      <c r="D3" s="26" t="n">
        <v>0.734848484848</v>
      </c>
      <c r="E3" s="26" t="n">
        <v>0.225578775388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9904.85</v>
      </c>
      <c r="C4" s="25" t="n">
        <v>31.71</v>
      </c>
      <c r="D4" s="26" t="n">
        <v>0.7045454545449999</v>
      </c>
      <c r="E4" s="26" t="n">
        <v>0.225390109018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10002.5</v>
      </c>
      <c r="C5" s="25" t="n">
        <v>32.02</v>
      </c>
      <c r="D5" s="26" t="n">
        <v>0.765151515152</v>
      </c>
      <c r="E5" s="26" t="n">
        <v>0.180984491286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9839.700000000001</v>
      </c>
      <c r="C6" s="25" t="n">
        <v>31.5</v>
      </c>
      <c r="D6" s="26" t="n">
        <v>0.674242424242</v>
      </c>
      <c r="E6" s="26" t="n">
        <v>0.181025076268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9883.450000000001</v>
      </c>
      <c r="C7" s="25" t="n">
        <v>31.64</v>
      </c>
      <c r="D7" s="26" t="n">
        <v>0.7045454545449999</v>
      </c>
      <c r="E7" s="26" t="n">
        <v>0.180884887967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9696.25</v>
      </c>
      <c r="C8" s="25" t="n">
        <v>31.04</v>
      </c>
      <c r="D8" s="26" t="n">
        <v>0.659090909091</v>
      </c>
      <c r="E8" s="26" t="n">
        <v>0.181032426367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9628.049999999999</v>
      </c>
      <c r="C9" s="25" t="n">
        <v>30.82</v>
      </c>
      <c r="D9" s="26" t="n">
        <v>0.628787878788</v>
      </c>
      <c r="E9" s="26" t="n">
        <v>0.181215346681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9632.950000000001</v>
      </c>
      <c r="C10" s="25" t="n">
        <v>35.06</v>
      </c>
      <c r="D10" s="26" t="n">
        <v>0.9104477611939999</v>
      </c>
      <c r="E10" s="26" t="n">
        <v>-0.0466629183604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9534.700000000001</v>
      </c>
      <c r="C11" s="25" t="n">
        <v>34.73</v>
      </c>
      <c r="D11" s="26" t="n">
        <v>0.902985074627</v>
      </c>
      <c r="E11" s="26" t="n">
        <v>-0.0474318012693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9560.950000000001</v>
      </c>
      <c r="C12" s="25" t="n">
        <v>34.83</v>
      </c>
      <c r="D12" s="26" t="n">
        <v>0.902985074627</v>
      </c>
      <c r="E12" s="26" t="n">
        <v>-0.0477027710172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9700.9</v>
      </c>
      <c r="C13" s="25" t="n">
        <v>35.34</v>
      </c>
      <c r="D13" s="26" t="n">
        <v>0.9179104477609999</v>
      </c>
      <c r="E13" s="26" t="n">
        <v>-0.0474897083184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9728.5</v>
      </c>
      <c r="C14" s="25" t="n">
        <v>35.44</v>
      </c>
      <c r="D14" s="26" t="n">
        <v>0.932835820896</v>
      </c>
      <c r="E14" s="26" t="n">
        <v>-0.0476520895142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9486.799999999999</v>
      </c>
      <c r="C15" s="25" t="n">
        <v>34.56</v>
      </c>
      <c r="D15" s="26" t="n">
        <v>0.888059701493</v>
      </c>
      <c r="E15" s="26" t="n">
        <v>-0.047725404525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9550.4</v>
      </c>
      <c r="C16" s="25" t="n">
        <v>34.79</v>
      </c>
      <c r="D16" s="26" t="n">
        <v>0.902985074627</v>
      </c>
      <c r="E16" s="26" t="n">
        <v>-0.0476182458368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9698.35</v>
      </c>
      <c r="C17" s="25" t="n">
        <v>35.33</v>
      </c>
      <c r="D17" s="26" t="n">
        <v>0.9179104477609999</v>
      </c>
      <c r="E17" s="26" t="n">
        <v>-0.047444829597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12" customWidth="1" min="3" max="3"/>
    <col width="32" customWidth="1" min="4" max="4"/>
    <col width="15" customWidth="1" min="5" max="5"/>
  </cols>
  <sheetData>
    <row r="1">
      <c r="A1" s="35" t="inlineStr">
        <is>
          <t>NIFTY Smallcap 50 Composition</t>
        </is>
      </c>
    </row>
    <row r="2">
      <c r="A2" s="2" t="inlineStr">
        <is>
          <t>As of</t>
        </is>
      </c>
      <c r="B2" s="4" t="inlineStr">
        <is>
          <t>Retrieved 2026-10-12</t>
        </is>
      </c>
      <c r="D2" s="2" t="inlineStr">
        <is>
          <t>Weight coverage</t>
        </is>
      </c>
      <c r="E2" s="4" t="inlineStr">
        <is>
          <t>Not published</t>
        </is>
      </c>
    </row>
    <row r="3">
      <c r="A3" s="2" t="inlineStr">
        <is>
          <t>Source</t>
        </is>
      </c>
      <c r="B3" s="17" t="inlineStr">
        <is>
          <t>NSE Indices — Index Constituent CSV</t>
        </is>
      </c>
      <c r="D3" s="2" t="inlineStr">
        <is>
          <t>Top 10 weight</t>
        </is>
      </c>
      <c r="E3" s="4" t="inlineStr">
        <is>
          <t>Not published</t>
        </is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Acutaas Chemicals Ltd.</t>
        </is>
      </c>
      <c r="C6" t="inlineStr">
        <is>
          <t>ACUTAAS</t>
        </is>
      </c>
      <c r="D6" t="inlineStr">
        <is>
          <t>Healthcare</t>
        </is>
      </c>
    </row>
    <row r="7">
      <c r="A7" t="n">
        <v>2</v>
      </c>
      <c r="B7" t="inlineStr">
        <is>
          <t>Aegis Logistics Ltd.</t>
        </is>
      </c>
      <c r="C7" t="inlineStr">
        <is>
          <t>AEGISLOG</t>
        </is>
      </c>
      <c r="D7" t="inlineStr">
        <is>
          <t>Oil Gas &amp; Consumable Fuels</t>
        </is>
      </c>
    </row>
    <row r="8">
      <c r="A8" t="n">
        <v>3</v>
      </c>
      <c r="B8" t="inlineStr">
        <is>
          <t>Affle 3i Ltd.</t>
        </is>
      </c>
      <c r="C8" t="inlineStr">
        <is>
          <t>AFFLE</t>
        </is>
      </c>
      <c r="D8" t="inlineStr">
        <is>
          <t>Information Technology</t>
        </is>
      </c>
    </row>
    <row r="9">
      <c r="A9" t="n">
        <v>4</v>
      </c>
      <c r="B9" t="inlineStr">
        <is>
          <t>Amara Raja Energy &amp; Mobility Ltd.</t>
        </is>
      </c>
      <c r="C9" t="inlineStr">
        <is>
          <t>ARE&amp;M</t>
        </is>
      </c>
      <c r="D9" t="inlineStr">
        <is>
          <t>Automobile and Auto Components</t>
        </is>
      </c>
    </row>
    <row r="10">
      <c r="A10" t="n">
        <v>5</v>
      </c>
      <c r="B10" t="inlineStr">
        <is>
          <t>Amber Enterprises India Ltd.</t>
        </is>
      </c>
      <c r="C10" t="inlineStr">
        <is>
          <t>AMBER</t>
        </is>
      </c>
      <c r="D10" t="inlineStr">
        <is>
          <t>Consumer Durables</t>
        </is>
      </c>
    </row>
    <row r="11">
      <c r="A11" t="n">
        <v>6</v>
      </c>
      <c r="B11" t="inlineStr">
        <is>
          <t>Anand Rathi Wealth Ltd.</t>
        </is>
      </c>
      <c r="C11" t="inlineStr">
        <is>
          <t>ANANDRATHI</t>
        </is>
      </c>
      <c r="D11" t="inlineStr">
        <is>
          <t>Financial Services</t>
        </is>
      </c>
    </row>
    <row r="12">
      <c r="A12" t="n">
        <v>7</v>
      </c>
      <c r="B12" t="inlineStr">
        <is>
          <t>Angel One Ltd.</t>
        </is>
      </c>
      <c r="C12" t="inlineStr">
        <is>
          <t>ANGELONE</t>
        </is>
      </c>
      <c r="D12" t="inlineStr">
        <is>
          <t>Financial Services</t>
        </is>
      </c>
    </row>
    <row r="13">
      <c r="A13" t="n">
        <v>8</v>
      </c>
      <c r="B13" t="inlineStr">
        <is>
          <t>Apollo Tyres Ltd.</t>
        </is>
      </c>
      <c r="C13" t="inlineStr">
        <is>
          <t>APOLLOTYRE</t>
        </is>
      </c>
      <c r="D13" t="inlineStr">
        <is>
          <t>Automobile and Auto Components</t>
        </is>
      </c>
    </row>
    <row r="14">
      <c r="A14" t="n">
        <v>9</v>
      </c>
      <c r="B14" t="inlineStr">
        <is>
          <t>Ather Energy Ltd.</t>
        </is>
      </c>
      <c r="C14" t="inlineStr">
        <is>
          <t>ATHERENERG</t>
        </is>
      </c>
      <c r="D14" t="inlineStr">
        <is>
          <t>Automobile and Auto Components</t>
        </is>
      </c>
    </row>
    <row r="15">
      <c r="A15" t="n">
        <v>10</v>
      </c>
      <c r="B15" t="inlineStr">
        <is>
          <t>Bandhan Bank Ltd.</t>
        </is>
      </c>
      <c r="C15" t="inlineStr">
        <is>
          <t>BANDHANBNK</t>
        </is>
      </c>
      <c r="D15" t="inlineStr">
        <is>
          <t>Financial Services</t>
        </is>
      </c>
    </row>
    <row r="16">
      <c r="A16" t="n">
        <v>11</v>
      </c>
      <c r="B16" t="inlineStr">
        <is>
          <t>Central Depository Services (India) Ltd.</t>
        </is>
      </c>
      <c r="C16" t="inlineStr">
        <is>
          <t>CDSL</t>
        </is>
      </c>
      <c r="D16" t="inlineStr">
        <is>
          <t>Financial Services</t>
        </is>
      </c>
    </row>
    <row r="17">
      <c r="A17" t="n">
        <v>12</v>
      </c>
      <c r="B17" t="inlineStr">
        <is>
          <t>City Union Bank Ltd.</t>
        </is>
      </c>
      <c r="C17" t="inlineStr">
        <is>
          <t>CUB</t>
        </is>
      </c>
      <c r="D17" t="inlineStr">
        <is>
          <t>Financial Services</t>
        </is>
      </c>
    </row>
    <row r="18">
      <c r="A18" t="n">
        <v>13</v>
      </c>
      <c r="B18" t="inlineStr">
        <is>
          <t>Computer Age Management Services Ltd.</t>
        </is>
      </c>
      <c r="C18" t="inlineStr">
        <is>
          <t>CAMS</t>
        </is>
      </c>
      <c r="D18" t="inlineStr">
        <is>
          <t>Financial Services</t>
        </is>
      </c>
    </row>
    <row r="19">
      <c r="A19" t="n">
        <v>14</v>
      </c>
      <c r="B19" t="inlineStr">
        <is>
          <t>Crompton Greaves Consumer Electricals Ltd.</t>
        </is>
      </c>
      <c r="C19" t="inlineStr">
        <is>
          <t>CROMPTON</t>
        </is>
      </c>
      <c r="D19" t="inlineStr">
        <is>
          <t>Consumer Durables</t>
        </is>
      </c>
    </row>
    <row r="20">
      <c r="A20" t="n">
        <v>15</v>
      </c>
      <c r="B20" t="inlineStr">
        <is>
          <t>Delhivery Ltd.</t>
        </is>
      </c>
      <c r="C20" t="inlineStr">
        <is>
          <t>DELHIVERY</t>
        </is>
      </c>
      <c r="D20" t="inlineStr">
        <is>
          <t>Services</t>
        </is>
      </c>
    </row>
    <row r="21">
      <c r="A21" t="n">
        <v>16</v>
      </c>
      <c r="B21" t="inlineStr">
        <is>
          <t>Dr. Lal Path Labs Ltd.</t>
        </is>
      </c>
      <c r="C21" t="inlineStr">
        <is>
          <t>LALPATHLAB</t>
        </is>
      </c>
      <c r="D21" t="inlineStr">
        <is>
          <t>Healthcare</t>
        </is>
      </c>
    </row>
    <row r="22">
      <c r="A22" t="n">
        <v>17</v>
      </c>
      <c r="B22" t="inlineStr">
        <is>
          <t>Gland Pharma Ltd.</t>
        </is>
      </c>
      <c r="C22" t="inlineStr">
        <is>
          <t>GLAND</t>
        </is>
      </c>
      <c r="D22" t="inlineStr">
        <is>
          <t>Healthcare</t>
        </is>
      </c>
    </row>
    <row r="23">
      <c r="A23" t="n">
        <v>18</v>
      </c>
      <c r="B23" t="inlineStr">
        <is>
          <t>Great Eastern Shipping Co. Ltd.</t>
        </is>
      </c>
      <c r="C23" t="inlineStr">
        <is>
          <t>GESHIP</t>
        </is>
      </c>
      <c r="D23" t="inlineStr">
        <is>
          <t>Services</t>
        </is>
      </c>
    </row>
    <row r="24">
      <c r="A24" t="n">
        <v>19</v>
      </c>
      <c r="B24" t="inlineStr">
        <is>
          <t>HFCL Ltd.</t>
        </is>
      </c>
      <c r="C24" t="inlineStr">
        <is>
          <t>HFCL</t>
        </is>
      </c>
      <c r="D24" t="inlineStr">
        <is>
          <t>Telecommunication</t>
        </is>
      </c>
    </row>
    <row r="25">
      <c r="A25" t="n">
        <v>20</v>
      </c>
      <c r="B25" t="inlineStr">
        <is>
          <t>Himadri Speciality Chemical Ltd.</t>
        </is>
      </c>
      <c r="C25" t="inlineStr">
        <is>
          <t>HSCL</t>
        </is>
      </c>
      <c r="D25" t="inlineStr">
        <is>
          <t>Chemicals</t>
        </is>
      </c>
    </row>
    <row r="26">
      <c r="A26" t="n">
        <v>21</v>
      </c>
      <c r="B26" t="inlineStr">
        <is>
          <t>IIFL Finance Ltd.</t>
        </is>
      </c>
      <c r="C26" t="inlineStr">
        <is>
          <t>IIFL</t>
        </is>
      </c>
      <c r="D26" t="inlineStr">
        <is>
          <t>Financial Services</t>
        </is>
      </c>
    </row>
    <row r="27">
      <c r="A27" t="n">
        <v>22</v>
      </c>
      <c r="B27" t="inlineStr">
        <is>
          <t>Indraprastha Gas Ltd.</t>
        </is>
      </c>
      <c r="C27" t="inlineStr">
        <is>
          <t>IGL</t>
        </is>
      </c>
      <c r="D27" t="inlineStr">
        <is>
          <t>Oil Gas &amp; Consumable Fuels</t>
        </is>
      </c>
    </row>
    <row r="28">
      <c r="A28" t="n">
        <v>23</v>
      </c>
      <c r="B28" t="inlineStr">
        <is>
          <t>Inox Wind Ltd.</t>
        </is>
      </c>
      <c r="C28" t="inlineStr">
        <is>
          <t>INOXWIND</t>
        </is>
      </c>
      <c r="D28" t="inlineStr">
        <is>
          <t>Capital Goods</t>
        </is>
      </c>
    </row>
    <row r="29">
      <c r="A29" t="n">
        <v>24</v>
      </c>
      <c r="B29" t="inlineStr">
        <is>
          <t>Karur Vysya Bank Ltd.</t>
        </is>
      </c>
      <c r="C29" t="inlineStr">
        <is>
          <t>KARURVYSYA</t>
        </is>
      </c>
      <c r="D29" t="inlineStr">
        <is>
          <t>Financial Services</t>
        </is>
      </c>
    </row>
    <row r="30">
      <c r="A30" t="n">
        <v>25</v>
      </c>
      <c r="B30" t="inlineStr">
        <is>
          <t>Kaynes Technology India Ltd.</t>
        </is>
      </c>
      <c r="C30" t="inlineStr">
        <is>
          <t>KAYNES</t>
        </is>
      </c>
      <c r="D30" t="inlineStr">
        <is>
          <t>Capital Goods</t>
        </is>
      </c>
    </row>
    <row r="31">
      <c r="A31" t="n">
        <v>26</v>
      </c>
      <c r="B31" t="inlineStr">
        <is>
          <t>Kfin Technologies Ltd.</t>
        </is>
      </c>
      <c r="C31" t="inlineStr">
        <is>
          <t>KFINTECH</t>
        </is>
      </c>
      <c r="D31" t="inlineStr">
        <is>
          <t>Financial Services</t>
        </is>
      </c>
    </row>
    <row r="32">
      <c r="A32" t="n">
        <v>27</v>
      </c>
      <c r="B32" t="inlineStr">
        <is>
          <t>Kirloskar Oil Eng Ltd.</t>
        </is>
      </c>
      <c r="C32" t="inlineStr">
        <is>
          <t>KIRLOSENG</t>
        </is>
      </c>
      <c r="D32" t="inlineStr">
        <is>
          <t>Capital Goods</t>
        </is>
      </c>
    </row>
    <row r="33">
      <c r="A33" t="n">
        <v>28</v>
      </c>
      <c r="B33" t="inlineStr">
        <is>
          <t>KPIT Technologies Ltd.</t>
        </is>
      </c>
      <c r="C33" t="inlineStr">
        <is>
          <t>KPITTECH</t>
        </is>
      </c>
      <c r="D33" t="inlineStr">
        <is>
          <t>Information Technology</t>
        </is>
      </c>
    </row>
    <row r="34">
      <c r="A34" t="n">
        <v>29</v>
      </c>
      <c r="B34" t="inlineStr">
        <is>
          <t>Manappuram Finance Ltd.</t>
        </is>
      </c>
      <c r="C34" t="inlineStr">
        <is>
          <t>MANAPPURAM</t>
        </is>
      </c>
      <c r="D34" t="inlineStr">
        <is>
          <t>Financial Services</t>
        </is>
      </c>
    </row>
    <row r="35">
      <c r="A35" t="n">
        <v>30</v>
      </c>
      <c r="B35" t="inlineStr">
        <is>
          <t>MTAR Technologies Ltd.</t>
        </is>
      </c>
      <c r="C35" t="inlineStr">
        <is>
          <t>MTARTECH</t>
        </is>
      </c>
      <c r="D35" t="inlineStr">
        <is>
          <t>Capital Goods</t>
        </is>
      </c>
    </row>
    <row r="36">
      <c r="A36" t="n">
        <v>31</v>
      </c>
      <c r="B36" t="inlineStr">
        <is>
          <t>NATCO Pharma Ltd.</t>
        </is>
      </c>
      <c r="C36" t="inlineStr">
        <is>
          <t>NATCOPHARM</t>
        </is>
      </c>
      <c r="D36" t="inlineStr">
        <is>
          <t>Healthcare</t>
        </is>
      </c>
    </row>
    <row r="37">
      <c r="A37" t="n">
        <v>32</v>
      </c>
      <c r="B37" t="inlineStr">
        <is>
          <t>Navin Fluorine International Ltd.</t>
        </is>
      </c>
      <c r="C37" t="inlineStr">
        <is>
          <t>NAVINFLUOR</t>
        </is>
      </c>
      <c r="D37" t="inlineStr">
        <is>
          <t>Chemicals</t>
        </is>
      </c>
    </row>
    <row r="38">
      <c r="A38" t="n">
        <v>33</v>
      </c>
      <c r="B38" t="inlineStr">
        <is>
          <t>NBCC (India) Ltd.</t>
        </is>
      </c>
      <c r="C38" t="inlineStr">
        <is>
          <t>NBCC</t>
        </is>
      </c>
      <c r="D38" t="inlineStr">
        <is>
          <t>Construction</t>
        </is>
      </c>
    </row>
    <row r="39">
      <c r="A39" t="n">
        <v>34</v>
      </c>
      <c r="B39" t="inlineStr">
        <is>
          <t>Neuland Laboratories Ltd.</t>
        </is>
      </c>
      <c r="C39" t="inlineStr">
        <is>
          <t>NEULANDLAB</t>
        </is>
      </c>
      <c r="D39" t="inlineStr">
        <is>
          <t>Healthcare</t>
        </is>
      </c>
    </row>
    <row r="40">
      <c r="A40" t="n">
        <v>35</v>
      </c>
      <c r="B40" t="inlineStr">
        <is>
          <t>Onesource Specialty Pharma Ltd.</t>
        </is>
      </c>
      <c r="C40" t="inlineStr">
        <is>
          <t>ONESOURCE</t>
        </is>
      </c>
      <c r="D40" t="inlineStr">
        <is>
          <t>Healthcare</t>
        </is>
      </c>
    </row>
    <row r="41">
      <c r="A41" t="n">
        <v>36</v>
      </c>
      <c r="B41" t="inlineStr">
        <is>
          <t>PG Electroplast Ltd.</t>
        </is>
      </c>
      <c r="C41" t="inlineStr">
        <is>
          <t>PGEL</t>
        </is>
      </c>
      <c r="D41" t="inlineStr">
        <is>
          <t>Consumer Durables</t>
        </is>
      </c>
    </row>
    <row r="42">
      <c r="A42" t="n">
        <v>37</v>
      </c>
      <c r="B42" t="inlineStr">
        <is>
          <t>Piramal Pharma Ltd.</t>
        </is>
      </c>
      <c r="C42" t="inlineStr">
        <is>
          <t>PPLPHARMA</t>
        </is>
      </c>
      <c r="D42" t="inlineStr">
        <is>
          <t>Healthcare</t>
        </is>
      </c>
    </row>
    <row r="43">
      <c r="A43" t="n">
        <v>38</v>
      </c>
      <c r="B43" t="inlineStr">
        <is>
          <t>PNB Housing Finance Ltd.</t>
        </is>
      </c>
      <c r="C43" t="inlineStr">
        <is>
          <t>PNBHOUSING</t>
        </is>
      </c>
      <c r="D43" t="inlineStr">
        <is>
          <t>Financial Services</t>
        </is>
      </c>
    </row>
    <row r="44">
      <c r="A44" t="n">
        <v>39</v>
      </c>
      <c r="B44" t="inlineStr">
        <is>
          <t>Poonawalla Fincorp Ltd.</t>
        </is>
      </c>
      <c r="C44" t="inlineStr">
        <is>
          <t>POONAWALLA</t>
        </is>
      </c>
      <c r="D44" t="inlineStr">
        <is>
          <t>Financial Services</t>
        </is>
      </c>
    </row>
    <row r="45">
      <c r="A45" t="n">
        <v>40</v>
      </c>
      <c r="B45" t="inlineStr">
        <is>
          <t>RBL Bank Ltd.</t>
        </is>
      </c>
      <c r="C45" t="inlineStr">
        <is>
          <t>RBLBANK</t>
        </is>
      </c>
      <c r="D45" t="inlineStr">
        <is>
          <t>Financial Services</t>
        </is>
      </c>
    </row>
    <row r="46">
      <c r="A46" t="n">
        <v>41</v>
      </c>
      <c r="B46" t="inlineStr">
        <is>
          <t>Redington Ltd.</t>
        </is>
      </c>
      <c r="C46" t="inlineStr">
        <is>
          <t>REDINGTON</t>
        </is>
      </c>
      <c r="D46" t="inlineStr">
        <is>
          <t>Services</t>
        </is>
      </c>
    </row>
    <row r="47">
      <c r="A47" t="n">
        <v>42</v>
      </c>
      <c r="B47" t="inlineStr">
        <is>
          <t>Sai Life Sciences Ltd.</t>
        </is>
      </c>
      <c r="C47" t="inlineStr">
        <is>
          <t>SAILIFE</t>
        </is>
      </c>
      <c r="D47" t="inlineStr">
        <is>
          <t>Healthcare</t>
        </is>
      </c>
    </row>
    <row r="48">
      <c r="A48" t="n">
        <v>43</v>
      </c>
      <c r="B48" t="inlineStr">
        <is>
          <t>Sona BLW Precision Forgings Ltd.</t>
        </is>
      </c>
      <c r="C48" t="inlineStr">
        <is>
          <t>SONACOMS</t>
        </is>
      </c>
      <c r="D48" t="inlineStr">
        <is>
          <t>Automobile and Auto Components</t>
        </is>
      </c>
    </row>
    <row r="49">
      <c r="A49" t="n">
        <v>44</v>
      </c>
      <c r="B49" t="inlineStr">
        <is>
          <t>Syngene International Ltd.</t>
        </is>
      </c>
      <c r="C49" t="inlineStr">
        <is>
          <t>SYNGENE</t>
        </is>
      </c>
      <c r="D49" t="inlineStr">
        <is>
          <t>Healthcare</t>
        </is>
      </c>
    </row>
    <row r="50">
      <c r="A50" t="n">
        <v>45</v>
      </c>
      <c r="B50" t="inlineStr">
        <is>
          <t>Tata Chemicals Ltd.</t>
        </is>
      </c>
      <c r="C50" t="inlineStr">
        <is>
          <t>TATACHEM</t>
        </is>
      </c>
      <c r="D50" t="inlineStr">
        <is>
          <t>Chemicals</t>
        </is>
      </c>
    </row>
    <row r="51">
      <c r="A51" t="n">
        <v>46</v>
      </c>
      <c r="B51" t="inlineStr">
        <is>
          <t>Tata Elxsi Ltd.</t>
        </is>
      </c>
      <c r="C51" t="inlineStr">
        <is>
          <t>TATAELXSI</t>
        </is>
      </c>
      <c r="D51" t="inlineStr">
        <is>
          <t>Information Technology</t>
        </is>
      </c>
    </row>
    <row r="52">
      <c r="A52" t="n">
        <v>47</v>
      </c>
      <c r="B52" t="inlineStr">
        <is>
          <t>Tata Technologies Ltd.</t>
        </is>
      </c>
      <c r="C52" t="inlineStr">
        <is>
          <t>TATATECH</t>
        </is>
      </c>
      <c r="D52" t="inlineStr">
        <is>
          <t>Information Technology</t>
        </is>
      </c>
    </row>
    <row r="53">
      <c r="A53" t="n">
        <v>48</v>
      </c>
      <c r="B53" t="inlineStr">
        <is>
          <t>TD Power Systems Ltd.</t>
        </is>
      </c>
      <c r="C53" t="inlineStr">
        <is>
          <t>TDPOWERSYS</t>
        </is>
      </c>
      <c r="D53" t="inlineStr">
        <is>
          <t>Capital Goods</t>
        </is>
      </c>
    </row>
    <row r="54">
      <c r="A54" t="n">
        <v>49</v>
      </c>
      <c r="B54" t="inlineStr">
        <is>
          <t>Welspun Corp Ltd.</t>
        </is>
      </c>
      <c r="C54" t="inlineStr">
        <is>
          <t>WELCORP</t>
        </is>
      </c>
      <c r="D54" t="inlineStr">
        <is>
          <t>Capital Goods</t>
        </is>
      </c>
    </row>
    <row r="55">
      <c r="A55" t="n">
        <v>50</v>
      </c>
      <c r="B55" t="inlineStr">
        <is>
          <t>Wockhardt Ltd.</t>
        </is>
      </c>
      <c r="C55" t="inlineStr">
        <is>
          <t>WOCKPHARMA</t>
        </is>
      </c>
      <c r="D55" t="inlineStr">
        <is>
          <t>Healthcare</t>
        </is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2026-10-12T21:25:12Z</dcterms:created>
  <dcterms:modified xsi:type="dcterms:W3CDTF">2026-10-12T21:25:45Z</dcterms:modified>
</cp:coreProperties>
</file>