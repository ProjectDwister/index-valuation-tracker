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pse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9" customWidth="1" min="5" max="5"/>
    <col width="21" customWidth="1" min="6" max="6"/>
    <col width="19" customWidth="1" min="7" max="7"/>
  </cols>
  <sheetData>
    <row r="1" ht="26" customHeight="1">
      <c r="A1" s="1" t="inlineStr">
        <is>
          <t>NIFTY Pse Valuation Tracker</t>
        </is>
      </c>
    </row>
    <row r="2">
      <c r="A2" s="2" t="inlineStr">
        <is>
          <t>As of</t>
        </is>
      </c>
      <c r="B2" s="23" t="n">
        <v>46318</v>
      </c>
      <c r="D2" s="2" t="inlineStr">
        <is>
          <t>Group</t>
        </is>
      </c>
      <c r="E2" s="4" t="inlineStr">
        <is>
          <t>Strategy / Thematic / Other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8885.75</v>
      </c>
      <c r="D5" s="2" t="inlineStr">
        <is>
          <t>P/E</t>
        </is>
      </c>
      <c r="E5" s="25" t="n">
        <v>9.99</v>
      </c>
    </row>
    <row r="6">
      <c r="A6" s="2" t="inlineStr">
        <is>
          <t>P/E percentile</t>
        </is>
      </c>
      <c r="B6" s="26" t="n">
        <v>0.5149253731343284</v>
      </c>
      <c r="D6" s="2" t="inlineStr">
        <is>
          <t>Implied EPS</t>
        </is>
      </c>
      <c r="E6" s="27" t="n">
        <v>889.4644644644644</v>
      </c>
    </row>
    <row r="7">
      <c r="A7" s="2" t="inlineStr">
        <is>
          <t>YoY implied EPS growth</t>
        </is>
      </c>
      <c r="B7" s="26" t="n">
        <v>0.08083505657738366</v>
      </c>
      <c r="D7" s="2" t="inlineStr">
        <is>
          <t>Earnings yield</t>
        </is>
      </c>
      <c r="E7" s="10" t="n">
        <v>0.1001001001001001</v>
      </c>
    </row>
    <row r="8">
      <c r="A8" s="2" t="inlineStr">
        <is>
          <t>Valuation score</t>
        </is>
      </c>
      <c r="B8" s="28" t="n">
        <v>48.50746268656716</v>
      </c>
      <c r="D8" s="2" t="inlineStr">
        <is>
          <t>Growth score</t>
        </is>
      </c>
      <c r="E8" s="28" t="n">
        <v>52.33402263095346</v>
      </c>
    </row>
    <row r="9">
      <c r="A9" s="2" t="inlineStr">
        <is>
          <t>Composite score</t>
        </is>
      </c>
      <c r="B9" s="28" t="n">
        <v>49.65543066988305</v>
      </c>
      <c r="D9" s="2" t="inlineStr">
        <is>
          <t>Signal</t>
        </is>
      </c>
      <c r="E9" s="12" t="inlineStr">
        <is>
          <t>HOLD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7.270305211561255</v>
      </c>
      <c r="C13" s="15" t="n">
        <v>6466.678131494537</v>
      </c>
      <c r="D13" s="30" t="n">
        <v>-0.272241720564439</v>
      </c>
    </row>
    <row r="14">
      <c r="A14" t="inlineStr">
        <is>
          <t>HOLD → SELL</t>
        </is>
      </c>
      <c r="B14" s="29" t="n">
        <v>11.11355065605307</v>
      </c>
      <c r="C14" s="15" t="n">
        <v>9885.108382584944</v>
      </c>
      <c r="D14" s="30" t="n">
        <v>0.1124675331384457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8</v>
      </c>
      <c r="C18" s="30" t="n">
        <v>0.365306703084248</v>
      </c>
      <c r="D18" s="30" t="n">
        <v>0.3332954276386275</v>
      </c>
      <c r="E18" s="30" t="n">
        <v>0.328147655909417</v>
      </c>
      <c r="F18" s="30" t="n"/>
      <c r="G18" s="30" t="n">
        <v>0</v>
      </c>
    </row>
    <row r="19">
      <c r="A19" t="inlineStr">
        <is>
          <t>Q2</t>
        </is>
      </c>
      <c r="B19" t="n">
        <v>9</v>
      </c>
      <c r="C19" s="30" t="n">
        <v>0.371152264845733</v>
      </c>
      <c r="D19" s="30" t="n">
        <v>0.2879692484943599</v>
      </c>
      <c r="E19" s="30" t="n">
        <v>0.2043214210656309</v>
      </c>
      <c r="F19" s="30" t="n">
        <v>0.1287781696551022</v>
      </c>
      <c r="G19" s="30" t="n">
        <v>0</v>
      </c>
    </row>
    <row r="20">
      <c r="A20" t="inlineStr">
        <is>
          <t>Q3</t>
        </is>
      </c>
      <c r="B20" t="n">
        <v>8</v>
      </c>
      <c r="C20" s="30" t="n">
        <v>0.03679711973238464</v>
      </c>
      <c r="D20" s="30" t="n">
        <v>0.0462515327216334</v>
      </c>
      <c r="E20" s="30" t="n">
        <v>0.205400318169531</v>
      </c>
      <c r="F20" s="30" t="n"/>
      <c r="G20" s="30" t="n">
        <v>0</v>
      </c>
    </row>
    <row r="21">
      <c r="A21" t="inlineStr">
        <is>
          <t>Q4</t>
        </is>
      </c>
      <c r="B21" t="n">
        <v>9</v>
      </c>
      <c r="C21" s="30" t="n">
        <v>-0.01560536424732312</v>
      </c>
      <c r="D21" s="30" t="n">
        <v>-0.02126125583912941</v>
      </c>
      <c r="E21" s="30" t="n">
        <v>0.01435009279235056</v>
      </c>
      <c r="F21" s="30" t="n">
        <v>0.1215161733022436</v>
      </c>
      <c r="G21" s="30" t="n">
        <v>0.5</v>
      </c>
    </row>
    <row r="22">
      <c r="A22" t="inlineStr">
        <is>
          <t>Q5 Most Expensive</t>
        </is>
      </c>
      <c r="B22" t="n">
        <v>10</v>
      </c>
      <c r="C22" s="30" t="n">
        <v>-0.02612528304530704</v>
      </c>
      <c r="D22" s="30" t="n">
        <v>-0.1337621850380084</v>
      </c>
      <c r="E22" s="30" t="n">
        <v>0.003776895891633769</v>
      </c>
      <c r="F22" s="30" t="n">
        <v>0.1034494099301289</v>
      </c>
      <c r="G22" s="30" t="n">
        <v>1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44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3175.85</v>
      </c>
      <c r="C2" s="25" t="n">
        <v>9.81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3516.75</v>
      </c>
      <c r="C3" s="25" t="n">
        <v>8.5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3609.45</v>
      </c>
      <c r="C4" s="25" t="n">
        <v>7.35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3584.95</v>
      </c>
      <c r="C5" s="25" t="n">
        <v>7.29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3646.4</v>
      </c>
      <c r="C6" s="25" t="n">
        <v>6.36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4096.7</v>
      </c>
      <c r="C7" s="25" t="n">
        <v>7.06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4005.65</v>
      </c>
      <c r="C8" s="25" t="n">
        <v>6.9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3820.05</v>
      </c>
      <c r="C9" s="25" t="n">
        <v>5.93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3835.25</v>
      </c>
      <c r="C10" s="25" t="n">
        <v>5.91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4156.35</v>
      </c>
      <c r="C11" s="25" t="n">
        <v>6.4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3955.3</v>
      </c>
      <c r="C12" s="25" t="n">
        <v>5.69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4086.25</v>
      </c>
      <c r="C13" s="25" t="n">
        <v>5.88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4234.2</v>
      </c>
      <c r="C14" s="25" t="n">
        <v>6.09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4081.95</v>
      </c>
      <c r="C15" s="25" t="n">
        <v>5.96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3819.95</v>
      </c>
      <c r="C16" s="25" t="n">
        <v>5.56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4017.6</v>
      </c>
      <c r="C17" s="25" t="n">
        <v>5.84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4236.6</v>
      </c>
      <c r="C18" s="25" t="n">
        <v>7.08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3990.6</v>
      </c>
      <c r="C19" s="25" t="n">
        <v>6.71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4276.55</v>
      </c>
      <c r="C20" s="25" t="n">
        <v>7.19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4455.9</v>
      </c>
      <c r="C21" s="25" t="n">
        <v>8.41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4367</v>
      </c>
      <c r="C22" s="25" t="n">
        <v>8.289999999999999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4399.95</v>
      </c>
      <c r="C23" s="25" t="n">
        <v>8.56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4389.5</v>
      </c>
      <c r="C24" s="25" t="n">
        <v>8.5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4474</v>
      </c>
      <c r="C25" s="25" t="n">
        <v>8.56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4683.15</v>
      </c>
      <c r="C26" s="25" t="n">
        <v>8.960000000000001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4799.65</v>
      </c>
      <c r="C27" s="25" t="n">
        <v>9.109999999999999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5081.6</v>
      </c>
      <c r="C28" s="25" t="n">
        <v>9.550000000000001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5511.05</v>
      </c>
      <c r="C29" s="25" t="n">
        <v>9.289999999999999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5456.6</v>
      </c>
      <c r="C30" s="25" t="n">
        <v>7.8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5991.75</v>
      </c>
      <c r="C31" s="25" t="n">
        <v>8.57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5887.4</v>
      </c>
      <c r="C32" s="25" t="n">
        <v>8.01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6779.05</v>
      </c>
      <c r="C33" s="25" t="n">
        <v>8.07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7854.95</v>
      </c>
      <c r="C34" s="25" t="n">
        <v>9.33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8670.25</v>
      </c>
      <c r="C35" s="25" t="n">
        <v>9.880000000000001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9138.85</v>
      </c>
      <c r="C36" s="25" t="n">
        <v>10.27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9122.15</v>
      </c>
      <c r="C37" s="25" t="n">
        <v>10.27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9993.35</v>
      </c>
      <c r="C38" s="25" t="n">
        <v>11.25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10511.1</v>
      </c>
      <c r="C39" s="25" t="n">
        <v>11.51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10685.5</v>
      </c>
      <c r="C40" s="25" t="n">
        <v>11.66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11684.2</v>
      </c>
      <c r="C41" s="25" t="n">
        <v>13.39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11493.6</v>
      </c>
      <c r="C42" s="25" t="n">
        <v>13.43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11286</v>
      </c>
      <c r="C43" s="25" t="n">
        <v>13.31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10175.25</v>
      </c>
      <c r="C44" s="25" t="n">
        <v>13.05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10121.45</v>
      </c>
      <c r="C45" s="25" t="n">
        <v>13.11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9532.200000000001</v>
      </c>
      <c r="C46" s="25" t="n">
        <v>12.35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9278.65</v>
      </c>
      <c r="C47" s="25" t="n">
        <v>12.13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8064.05</v>
      </c>
      <c r="C48" s="25" t="n">
        <v>10.43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9342.700000000001</v>
      </c>
      <c r="C49" s="25" t="n">
        <v>12.17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9559</v>
      </c>
      <c r="C50" s="25" t="n">
        <v>12.45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9867.950000000001</v>
      </c>
      <c r="C51" s="25" t="n">
        <v>12.66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10093.65</v>
      </c>
      <c r="C52" s="25" t="n">
        <v>12.94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9682.700000000001</v>
      </c>
      <c r="C53" s="25" t="n">
        <v>12.35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9202.450000000001</v>
      </c>
      <c r="C54" s="25" t="n">
        <v>11.2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9800.85</v>
      </c>
      <c r="C55" s="25" t="n">
        <v>11.93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10062.95</v>
      </c>
      <c r="C56" s="25" t="n">
        <v>11.85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9744.299999999999</v>
      </c>
      <c r="C57" s="25" t="n">
        <v>11.15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9853.65</v>
      </c>
      <c r="C58" s="25" t="n">
        <v>11.23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10171.25</v>
      </c>
      <c r="C59" s="25" t="n">
        <v>11.34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10456.1</v>
      </c>
      <c r="C60" s="25" t="n">
        <v>11.34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9559</v>
      </c>
      <c r="C61" s="25" t="n">
        <v>10.35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10629.05</v>
      </c>
      <c r="C62" s="25" t="n">
        <v>11.51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10227.35</v>
      </c>
      <c r="C63" s="25" t="n">
        <v>10.55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9980.700000000001</v>
      </c>
      <c r="C64" s="25" t="n">
        <v>10.16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9941.9</v>
      </c>
      <c r="C65" s="25" t="n">
        <v>11.11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9704.4</v>
      </c>
      <c r="C66" s="25" t="n">
        <v>11.01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9360.4</v>
      </c>
      <c r="C67" s="25" t="n">
        <v>10.54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3131.55</v>
      </c>
      <c r="C2" s="25" t="n">
        <v>11.81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IF(C2="","",(COUNTIFS($D$2:$D$45,D2,$C$2:$C$45,"&gt;0",$C$2:$C$45,"&lt;"&amp;C2)+(COUNTIFS($D$2:$D$45,D2,$C$2:$C$45,C2)+1)/2)/COUNTIFS($D$2:$D$45,D2,$C$2:$C$45,"&gt;0"))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42460</v>
      </c>
      <c r="B3" s="24" t="n">
        <v>2846.6</v>
      </c>
      <c r="C3" s="25" t="n">
        <v>10.55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IF(C3="","",(COUNTIFS($D$2:$D$45,D3,$C$2:$C$45,"&gt;0",$C$2:$C$45,"&lt;"&amp;C3)+(COUNTIFS($D$2:$D$45,D3,$C$2:$C$45,C3)+1)/2)/COUNTIFS($D$2:$D$45,D3,$C$2:$C$45,"&gt;0"))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42551</v>
      </c>
      <c r="B4" s="24" t="n">
        <v>3168.75</v>
      </c>
      <c r="C4" s="25" t="n">
        <v>12.15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IF(C4="","",(COUNTIFS($D$2:$D$45,D4,$C$2:$C$45,"&gt;0",$C$2:$C$45,"&lt;"&amp;C4)+(COUNTIFS($D$2:$D$45,D4,$C$2:$C$45,C4)+1)/2)/COUNTIFS($D$2:$D$45,D4,$C$2:$C$45,"&gt;0"))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42643</v>
      </c>
      <c r="B5" s="24" t="n">
        <v>3497.6</v>
      </c>
      <c r="C5" s="25" t="n">
        <v>13.41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IF(C5="","",(COUNTIFS($D$2:$D$45,D5,$C$2:$C$45,"&gt;0",$C$2:$C$45,"&lt;"&amp;C5)+(COUNTIFS($D$2:$D$45,D5,$C$2:$C$45,C5)+1)/2)/COUNTIFS($D$2:$D$45,D5,$C$2:$C$45,"&gt;0"))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42735</v>
      </c>
      <c r="B6" s="24" t="n">
        <v>3692.7</v>
      </c>
      <c r="C6" s="25" t="n">
        <v>12.95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IF(C6="","",(COUNTIFS($D$2:$D$45,D6,$C$2:$C$45,"&gt;0",$C$2:$C$45,"&lt;"&amp;C6)+(COUNTIFS($D$2:$D$45,D6,$C$2:$C$45,C6)+1)/2)/COUNTIFS($D$2:$D$45,D6,$C$2:$C$45,"&gt;0"))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42825</v>
      </c>
      <c r="B7" s="24" t="n">
        <v>4009.95</v>
      </c>
      <c r="C7" s="25" t="n">
        <v>12.93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IF(C7="","",(COUNTIFS($D$2:$D$45,D7,$C$2:$C$45,"&gt;0",$C$2:$C$45,"&lt;"&amp;C7)+(COUNTIFS($D$2:$D$45,D7,$C$2:$C$45,C7)+1)/2)/COUNTIFS($D$2:$D$45,D7,$C$2:$C$45,"&gt;0"))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42916</v>
      </c>
      <c r="B8" s="24" t="n">
        <v>3776.05</v>
      </c>
      <c r="C8" s="25" t="n">
        <v>12.37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IF(C8="","",(COUNTIFS($D$2:$D$45,D8,$C$2:$C$45,"&gt;0",$C$2:$C$45,"&lt;"&amp;C8)+(COUNTIFS($D$2:$D$45,D8,$C$2:$C$45,C8)+1)/2)/COUNTIFS($D$2:$D$45,D8,$C$2:$C$45,"&gt;0"))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43008</v>
      </c>
      <c r="B9" s="24" t="n">
        <v>4048.8</v>
      </c>
      <c r="C9" s="25" t="n">
        <v>14.18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IF(C9="","",(COUNTIFS($D$2:$D$45,D9,$C$2:$C$45,"&gt;0",$C$2:$C$45,"&lt;"&amp;C9)+(COUNTIFS($D$2:$D$45,D9,$C$2:$C$45,C9)+1)/2)/COUNTIFS($D$2:$D$45,D9,$C$2:$C$45,"&gt;0"))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43100</v>
      </c>
      <c r="B10" s="24" t="n">
        <v>4303.25</v>
      </c>
      <c r="C10" s="25" t="n">
        <v>14.64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IF(C10="","",(COUNTIFS($D$2:$D$45,D10,$C$2:$C$45,"&gt;0",$C$2:$C$45,"&lt;"&amp;C10)+(COUNTIFS($D$2:$D$45,D10,$C$2:$C$45,C10)+1)/2)/COUNTIFS($D$2:$D$45,D10,$C$2:$C$45,"&gt;0"))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43190</v>
      </c>
      <c r="B11" s="24" t="n">
        <v>3845.3</v>
      </c>
      <c r="C11" s="25" t="n">
        <v>12.42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IF(C11="","",(COUNTIFS($D$2:$D$45,D11,$C$2:$C$45,"&gt;0",$C$2:$C$45,"&lt;"&amp;C11)+(COUNTIFS($D$2:$D$45,D11,$C$2:$C$45,C11)+1)/2)/COUNTIFS($D$2:$D$45,D11,$C$2:$C$45,"&gt;0"))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43281</v>
      </c>
      <c r="B12" s="24" t="n">
        <v>3527.45</v>
      </c>
      <c r="C12" s="25" t="n">
        <v>10.94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IF(C12="","",(COUNTIFS($D$2:$D$45,D12,$C$2:$C$45,"&gt;0",$C$2:$C$45,"&lt;"&amp;C12)+(COUNTIFS($D$2:$D$45,D12,$C$2:$C$45,C12)+1)/2)/COUNTIFS($D$2:$D$45,D12,$C$2:$C$45,"&gt;0"))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43373</v>
      </c>
      <c r="B13" s="24" t="n">
        <v>3560.45</v>
      </c>
      <c r="C13" s="25" t="n">
        <v>11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IF(C13="","",(COUNTIFS($D$2:$D$45,D13,$C$2:$C$45,"&gt;0",$C$2:$C$45,"&lt;"&amp;C13)+(COUNTIFS($D$2:$D$45,D13,$C$2:$C$45,C13)+1)/2)/COUNTIFS($D$2:$D$45,D13,$C$2:$C$45,"&gt;0"))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43465</v>
      </c>
      <c r="B14" s="24" t="n">
        <v>3389.35</v>
      </c>
      <c r="C14" s="25" t="n">
        <v>10.62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IF(C14="","",(COUNTIFS($D$2:$D$45,D14,$C$2:$C$45,"&gt;0",$C$2:$C$45,"&lt;"&amp;C14)+(COUNTIFS($D$2:$D$45,D14,$C$2:$C$45,C14)+1)/2)/COUNTIFS($D$2:$D$45,D14,$C$2:$C$45,"&gt;0"))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43555</v>
      </c>
      <c r="B15" s="24" t="n">
        <v>3584.6</v>
      </c>
      <c r="C15" s="25" t="n">
        <v>10.92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IF(C15="","",(COUNTIFS($D$2:$D$45,D15,$C$2:$C$45,"&gt;0",$C$2:$C$45,"&lt;"&amp;C15)+(COUNTIFS($D$2:$D$45,D15,$C$2:$C$45,C15)+1)/2)/COUNTIFS($D$2:$D$45,D15,$C$2:$C$45,"&gt;0"))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43646</v>
      </c>
      <c r="B16" s="24" t="n">
        <v>3657.25</v>
      </c>
      <c r="C16" s="25" t="n">
        <v>10.72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IF(C16="","",(COUNTIFS($D$2:$D$45,D16,$C$2:$C$45,"&gt;0",$C$2:$C$45,"&lt;"&amp;C16)+(COUNTIFS($D$2:$D$45,D16,$C$2:$C$45,C16)+1)/2)/COUNTIFS($D$2:$D$45,D16,$C$2:$C$45,"&gt;0"))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43738</v>
      </c>
      <c r="B17" s="24" t="n">
        <v>3243.7</v>
      </c>
      <c r="C17" s="25" t="n">
        <v>9.390000000000001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IF(C17="","",(COUNTIFS($D$2:$D$45,D17,$C$2:$C$45,"&gt;0",$C$2:$C$45,"&lt;"&amp;C17)+(COUNTIFS($D$2:$D$45,D17,$C$2:$C$45,C17)+1)/2)/COUNTIFS($D$2:$D$45,D17,$C$2:$C$45,"&gt;0"))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43830</v>
      </c>
      <c r="B18" s="24" t="n">
        <v>3226.6</v>
      </c>
      <c r="C18" s="25" t="n">
        <v>9.81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IF(C18="","",(COUNTIFS($D$2:$D$45,D18,$C$2:$C$45,"&gt;0",$C$2:$C$45,"&lt;"&amp;C18)+(COUNTIFS($D$2:$D$45,D18,$C$2:$C$45,C18)+1)/2)/COUNTIFS($D$2:$D$45,D18,$C$2:$C$45,"&gt;0"))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43921</v>
      </c>
      <c r="B19" s="24" t="n">
        <v>2214.15</v>
      </c>
      <c r="C19" s="25" t="n">
        <v>6.99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IF(C19="","",(COUNTIFS($D$2:$D$45,D19,$C$2:$C$45,"&gt;0",$C$2:$C$45,"&lt;"&amp;C19)+(COUNTIFS($D$2:$D$45,D19,$C$2:$C$45,C19)+1)/2)/COUNTIFS($D$2:$D$45,D19,$C$2:$C$45,"&gt;0"))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44012</v>
      </c>
      <c r="B20" s="24" t="n">
        <v>2493.95</v>
      </c>
      <c r="C20" s="25" t="n">
        <v>9.33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IF(C20="","",(COUNTIFS($D$2:$D$45,D20,$C$2:$C$45,"&gt;0",$C$2:$C$45,"&lt;"&amp;C20)+(COUNTIFS($D$2:$D$45,D20,$C$2:$C$45,C20)+1)/2)/COUNTIFS($D$2:$D$45,D20,$C$2:$C$45,"&gt;0"))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44104</v>
      </c>
      <c r="B21" s="24" t="n">
        <v>2260.45</v>
      </c>
      <c r="C21" s="25" t="n">
        <v>9.539999999999999</v>
      </c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IF(C21="","",(COUNTIFS($D$2:$D$45,D21,$C$2:$C$45,"&gt;0",$C$2:$C$45,"&lt;"&amp;C21)+(COUNTIFS($D$2:$D$45,D21,$C$2:$C$45,C21)+1)/2)/COUNTIFS($D$2:$D$45,D21,$C$2:$C$45,"&gt;0"))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44196</v>
      </c>
      <c r="B22" s="24" t="n">
        <v>2797.1</v>
      </c>
      <c r="C22" s="25" t="n">
        <v>10.65</v>
      </c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IF(C22="","",(COUNTIFS($D$2:$D$45,D22,$C$2:$C$45,"&gt;0",$C$2:$C$45,"&lt;"&amp;C22)+(COUNTIFS($D$2:$D$45,D22,$C$2:$C$45,C22)+1)/2)/COUNTIFS($D$2:$D$45,D22,$C$2:$C$45,"&gt;0"))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44286</v>
      </c>
      <c r="B23" s="24" t="n">
        <v>3100.55</v>
      </c>
      <c r="C23" s="25" t="n">
        <v>9.58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IF(C23="","",(COUNTIFS($D$2:$D$45,D23,$C$2:$C$45,"&gt;0",$C$2:$C$45,"&lt;"&amp;C23)+(COUNTIFS($D$2:$D$45,D23,$C$2:$C$45,C23)+1)/2)/COUNTIFS($D$2:$D$45,D23,$C$2:$C$45,"&gt;0"))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44377</v>
      </c>
      <c r="B24" s="24" t="n">
        <v>3609.45</v>
      </c>
      <c r="C24" s="25" t="n">
        <v>7.35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IF(C24="","",(COUNTIFS($D$2:$D$45,D24,$C$2:$C$45,"&gt;0",$C$2:$C$45,"&lt;"&amp;C24)+(COUNTIFS($D$2:$D$45,D24,$C$2:$C$45,C24)+1)/2)/COUNTIFS($D$2:$D$45,D24,$C$2:$C$45,"&gt;0"))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44469</v>
      </c>
      <c r="B25" s="24" t="n">
        <v>4096.7</v>
      </c>
      <c r="C25" s="25" t="n">
        <v>7.06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IF(C25="","",(COUNTIFS($D$2:$D$45,D25,$C$2:$C$45,"&gt;0",$C$2:$C$45,"&lt;"&amp;C25)+(COUNTIFS($D$2:$D$45,D25,$C$2:$C$45,C25)+1)/2)/COUNTIFS($D$2:$D$45,D25,$C$2:$C$45,"&gt;0"))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44561</v>
      </c>
      <c r="B26" s="24" t="n">
        <v>3835.25</v>
      </c>
      <c r="C26" s="25" t="n">
        <v>5.91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IF(C26="","",(COUNTIFS($D$2:$D$45,D26,$C$2:$C$45,"&gt;0",$C$2:$C$45,"&lt;"&amp;C26)+(COUNTIFS($D$2:$D$45,D26,$C$2:$C$45,C26)+1)/2)/COUNTIFS($D$2:$D$45,D26,$C$2:$C$45,"&gt;0"))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44651</v>
      </c>
      <c r="B27" s="24" t="n">
        <v>4086.25</v>
      </c>
      <c r="C27" s="25" t="n">
        <v>5.88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IF(C27="","",(COUNTIFS($D$2:$D$45,D27,$C$2:$C$45,"&gt;0",$C$2:$C$45,"&lt;"&amp;C27)+(COUNTIFS($D$2:$D$45,D27,$C$2:$C$45,C27)+1)/2)/COUNTIFS($D$2:$D$45,D27,$C$2:$C$45,"&gt;0"))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44742</v>
      </c>
      <c r="B28" s="24" t="n">
        <v>3819.95</v>
      </c>
      <c r="C28" s="25" t="n">
        <v>5.56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IF(C28="","",(COUNTIFS($D$2:$D$45,D28,$C$2:$C$45,"&gt;0",$C$2:$C$45,"&lt;"&amp;C28)+(COUNTIFS($D$2:$D$45,D28,$C$2:$C$45,C28)+1)/2)/COUNTIFS($D$2:$D$45,D28,$C$2:$C$45,"&gt;0"))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44834</v>
      </c>
      <c r="B29" s="24" t="n">
        <v>3990.6</v>
      </c>
      <c r="C29" s="25" t="n">
        <v>6.71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IF(C29="","",(COUNTIFS($D$2:$D$45,D29,$C$2:$C$45,"&gt;0",$C$2:$C$45,"&lt;"&amp;C29)+(COUNTIFS($D$2:$D$45,D29,$C$2:$C$45,C29)+1)/2)/COUNTIFS($D$2:$D$45,D29,$C$2:$C$45,"&gt;0"))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44926</v>
      </c>
      <c r="B30" s="24" t="n">
        <v>4367</v>
      </c>
      <c r="C30" s="25" t="n">
        <v>8.289999999999999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IF(C30="","",(COUNTIFS($D$2:$D$45,D30,$C$2:$C$45,"&gt;0",$C$2:$C$45,"&lt;"&amp;C30)+(COUNTIFS($D$2:$D$45,D30,$C$2:$C$45,C30)+1)/2)/COUNTIFS($D$2:$D$45,D30,$C$2:$C$45,"&gt;0"))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45016</v>
      </c>
      <c r="B31" s="24" t="n">
        <v>4474</v>
      </c>
      <c r="C31" s="25" t="n">
        <v>8.56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IF(C31="","",(COUNTIFS($D$2:$D$45,D31,$C$2:$C$45,"&gt;0",$C$2:$C$45,"&lt;"&amp;C31)+(COUNTIFS($D$2:$D$45,D31,$C$2:$C$45,C31)+1)/2)/COUNTIFS($D$2:$D$45,D31,$C$2:$C$45,"&gt;0"))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45107</v>
      </c>
      <c r="B32" s="24" t="n">
        <v>5081.6</v>
      </c>
      <c r="C32" s="25" t="n">
        <v>9.550000000000001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IF(C32="","",(COUNTIFS($D$2:$D$45,D32,$C$2:$C$45,"&gt;0",$C$2:$C$45,"&lt;"&amp;C32)+(COUNTIFS($D$2:$D$45,D32,$C$2:$C$45,C32)+1)/2)/COUNTIFS($D$2:$D$45,D32,$C$2:$C$45,"&gt;0"))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45199</v>
      </c>
      <c r="B33" s="24" t="n">
        <v>5991.75</v>
      </c>
      <c r="C33" s="25" t="n">
        <v>8.57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IF(C33="","",(COUNTIFS($D$2:$D$45,D33,$C$2:$C$45,"&gt;0",$C$2:$C$45,"&lt;"&amp;C33)+(COUNTIFS($D$2:$D$45,D33,$C$2:$C$45,C33)+1)/2)/COUNTIFS($D$2:$D$45,D33,$C$2:$C$45,"&gt;0"))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 t="n"/>
      <c r="L33" s="30" t="n"/>
    </row>
    <row r="34">
      <c r="A34" s="31" t="n">
        <v>45291</v>
      </c>
      <c r="B34" s="24" t="n">
        <v>7854.95</v>
      </c>
      <c r="C34" s="25" t="n">
        <v>9.33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IF(C34="","",(COUNTIFS($D$2:$D$45,D34,$C$2:$C$45,"&gt;0",$C$2:$C$45,"&lt;"&amp;C34)+(COUNTIFS($D$2:$D$45,D34,$C$2:$C$45,C34)+1)/2)/COUNTIFS($D$2:$D$45,D34,$C$2:$C$45,"&gt;0"))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45382</v>
      </c>
      <c r="B35" s="24" t="n">
        <v>9122.15</v>
      </c>
      <c r="C35" s="25" t="n">
        <v>10.27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IF(C35="","",(COUNTIFS($D$2:$D$45,D35,$C$2:$C$45,"&gt;0",$C$2:$C$45,"&lt;"&amp;C35)+(COUNTIFS($D$2:$D$45,D35,$C$2:$C$45,C35)+1)/2)/COUNTIFS($D$2:$D$45,D35,$C$2:$C$45,"&gt;0"))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45473</v>
      </c>
      <c r="B36" s="24" t="n">
        <v>10685.5</v>
      </c>
      <c r="C36" s="25" t="n">
        <v>11.66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IF(C36="","",(COUNTIFS($D$2:$D$45,D36,$C$2:$C$45,"&gt;0",$C$2:$C$45,"&lt;"&amp;C36)+(COUNTIFS($D$2:$D$45,D36,$C$2:$C$45,C36)+1)/2)/COUNTIFS($D$2:$D$45,D36,$C$2:$C$45,"&gt;0"))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45565</v>
      </c>
      <c r="B37" s="24" t="n">
        <v>11286</v>
      </c>
      <c r="C37" s="25" t="n">
        <v>13.31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IF(C37="","",(COUNTIFS($D$2:$D$45,D37,$C$2:$C$45,"&gt;0",$C$2:$C$45,"&lt;"&amp;C37)+(COUNTIFS($D$2:$D$45,D37,$C$2:$C$45,C37)+1)/2)/COUNTIFS($D$2:$D$45,D37,$C$2:$C$45,"&gt;0"))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45657</v>
      </c>
      <c r="B38" s="24" t="n">
        <v>9532.200000000001</v>
      </c>
      <c r="C38" s="25" t="n">
        <v>12.35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IF(C38="","",(COUNTIFS($D$2:$D$45,D38,$C$2:$C$45,"&gt;0",$C$2:$C$45,"&lt;"&amp;C38)+(COUNTIFS($D$2:$D$45,D38,$C$2:$C$45,C38)+1)/2)/COUNTIFS($D$2:$D$45,D38,$C$2:$C$45,"&gt;0"))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45747</v>
      </c>
      <c r="B39" s="24" t="n">
        <v>9342.700000000001</v>
      </c>
      <c r="C39" s="25" t="n">
        <v>12.17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IF(C39="","",(COUNTIFS($D$2:$D$45,D39,$C$2:$C$45,"&gt;0",$C$2:$C$45,"&lt;"&amp;C39)+(COUNTIFS($D$2:$D$45,D39,$C$2:$C$45,C39)+1)/2)/COUNTIFS($D$2:$D$45,D39,$C$2:$C$45,"&gt;0"))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45838</v>
      </c>
      <c r="B40" s="24" t="n">
        <v>10093.65</v>
      </c>
      <c r="C40" s="25" t="n">
        <v>12.94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IF(C40="","",(COUNTIFS($D$2:$D$45,D40,$C$2:$C$45,"&gt;0",$C$2:$C$45,"&lt;"&amp;C40)+(COUNTIFS($D$2:$D$45,D40,$C$2:$C$45,C40)+1)/2)/COUNTIFS($D$2:$D$45,D40,$C$2:$C$45,"&gt;0"))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45930</v>
      </c>
      <c r="B41" s="24" t="n">
        <v>9800.85</v>
      </c>
      <c r="C41" s="25" t="n">
        <v>11.93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IF(C41="","",(COUNTIFS($D$2:$D$45,D41,$C$2:$C$45,"&gt;0",$C$2:$C$45,"&lt;"&amp;C41)+(COUNTIFS($D$2:$D$45,D41,$C$2:$C$45,C41)+1)/2)/COUNTIFS($D$2:$D$45,D41,$C$2:$C$45,"&gt;0"))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 t="n"/>
      <c r="K41" s="30" t="n"/>
      <c r="L41" s="30" t="n"/>
    </row>
    <row r="42">
      <c r="A42" s="31" t="n">
        <v>46022</v>
      </c>
      <c r="B42" s="24" t="n">
        <v>9853.65</v>
      </c>
      <c r="C42" s="25" t="n">
        <v>11.23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IF(C42="","",(COUNTIFS($D$2:$D$45,D42,$C$2:$C$45,"&gt;0",$C$2:$C$45,"&lt;"&amp;C42)+(COUNTIFS($D$2:$D$45,D42,$C$2:$C$45,C42)+1)/2)/COUNTIFS($D$2:$D$45,D42,$C$2:$C$45,"&gt;0"))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46112</v>
      </c>
      <c r="B43" s="24" t="n">
        <v>9559</v>
      </c>
      <c r="C43" s="25" t="n">
        <v>10.35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IF(C43="","",(COUNTIFS($D$2:$D$45,D43,$C$2:$C$45,"&gt;0",$C$2:$C$45,"&lt;"&amp;C43)+(COUNTIFS($D$2:$D$45,D43,$C$2:$C$45,C43)+1)/2)/COUNTIFS($D$2:$D$45,D43,$C$2:$C$45,"&gt;0"))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46203</v>
      </c>
      <c r="B44" s="24" t="n">
        <v>9980.700000000001</v>
      </c>
      <c r="C44" s="25" t="n">
        <v>10.16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IF(C44="","",(COUNTIFS($D$2:$D$45,D44,$C$2:$C$45,"&gt;0",$C$2:$C$45,"&lt;"&amp;C44)+(COUNTIFS($D$2:$D$45,D44,$C$2:$C$45,C44)+1)/2)/COUNTIFS($D$2:$D$45,D44,$C$2:$C$45,"&gt;0"))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  <row r="45">
      <c r="A45" s="31" t="n">
        <v>46295</v>
      </c>
      <c r="B45" s="24" t="n">
        <v>9360.4</v>
      </c>
      <c r="C45" s="25" t="n">
        <v>10.54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IF(C45="","",(COUNTIFS($D$2:$D$45,D45,$C$2:$C$45,"&gt;0",$C$2:$C$45,"&lt;"&amp;C45)+(COUNTIFS($D$2:$D$45,D45,$C$2:$C$45,C45)+1)/2)/COUNTIFS($D$2:$D$45,D45,$C$2:$C$45,"&gt;0"))</f>
        <v/>
      </c>
      <c r="H45">
        <f>IF(G45="","",IF(G45&lt;=20%,"Q1 Cheapest",IF(G45&lt;=40%,"Q2",IF(G45&lt;=60%,"Q3",IF(G45&lt;=80%,"Q4","Q5 Most Expensive")))))</f>
        <v/>
      </c>
      <c r="I45" s="30" t="n"/>
      <c r="J45" s="30" t="n"/>
      <c r="K45" s="30" t="n"/>
      <c r="L4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7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9597</v>
      </c>
      <c r="C2" s="25" t="n">
        <v>10.89</v>
      </c>
      <c r="D2" s="26" t="n">
        <v>0.613636363636</v>
      </c>
      <c r="E2" s="26" t="n">
        <v>0.07295218549430001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9604</v>
      </c>
      <c r="C3" s="25" t="n">
        <v>10.9</v>
      </c>
      <c r="D3" s="26" t="n">
        <v>0.613636363636</v>
      </c>
      <c r="E3" s="26" t="n">
        <v>0.0730490359553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9616.700000000001</v>
      </c>
      <c r="C4" s="25" t="n">
        <v>10.91</v>
      </c>
      <c r="D4" s="26" t="n">
        <v>0.613636363636</v>
      </c>
      <c r="E4" s="26" t="n">
        <v>0.0730037794471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9637.6</v>
      </c>
      <c r="C5" s="25" t="n">
        <v>10.94</v>
      </c>
      <c r="D5" s="26" t="n">
        <v>0.613636363636</v>
      </c>
      <c r="E5" s="26" t="n">
        <v>0.07261464065040001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9555.450000000001</v>
      </c>
      <c r="C6" s="25" t="n">
        <v>10.84</v>
      </c>
      <c r="D6" s="26" t="n">
        <v>0.613636363636</v>
      </c>
      <c r="E6" s="26" t="n">
        <v>0.07345137443370001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9572.85</v>
      </c>
      <c r="C7" s="25" t="n">
        <v>10.86</v>
      </c>
      <c r="D7" s="26" t="n">
        <v>0.613636363636</v>
      </c>
      <c r="E7" s="26" t="n">
        <v>0.0734781688358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9390.299999999999</v>
      </c>
      <c r="C8" s="25" t="n">
        <v>10.66</v>
      </c>
      <c r="D8" s="26" t="n">
        <v>0.613636363636</v>
      </c>
      <c r="E8" s="26" t="n">
        <v>0.0724170190934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9343.700000000001</v>
      </c>
      <c r="C9" s="25" t="n">
        <v>10.6</v>
      </c>
      <c r="D9" s="26" t="n">
        <v>0.613636363636</v>
      </c>
      <c r="E9" s="26" t="n">
        <v>0.0733160892345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9360.4</v>
      </c>
      <c r="C10" s="25" t="n">
        <v>10.54</v>
      </c>
      <c r="D10" s="26" t="n">
        <v>0.597014925373</v>
      </c>
      <c r="E10" s="26" t="n">
        <v>0.08101195846589999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9208.65</v>
      </c>
      <c r="C11" s="25" t="n">
        <v>10.37</v>
      </c>
      <c r="D11" s="26" t="n">
        <v>0.5746268656720001</v>
      </c>
      <c r="E11" s="26" t="n">
        <v>0.0815380273105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9283.549999999999</v>
      </c>
      <c r="C12" s="25" t="n">
        <v>10.45</v>
      </c>
      <c r="D12" s="26" t="n">
        <v>0.5895522388060001</v>
      </c>
      <c r="E12" s="26" t="n">
        <v>0.08188181476960001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9346.450000000001</v>
      </c>
      <c r="C13" s="25" t="n">
        <v>10.52</v>
      </c>
      <c r="D13" s="26" t="n">
        <v>0.5895522388060001</v>
      </c>
      <c r="E13" s="26" t="n">
        <v>0.0819849862172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9232.35</v>
      </c>
      <c r="C14" s="25" t="n">
        <v>10.39</v>
      </c>
      <c r="D14" s="26" t="n">
        <v>0.5746268656720001</v>
      </c>
      <c r="E14" s="26" t="n">
        <v>0.0818885195826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9010.450000000001</v>
      </c>
      <c r="C15" s="25" t="n">
        <v>10.15</v>
      </c>
      <c r="D15" s="26" t="n">
        <v>0.514925373134</v>
      </c>
      <c r="E15" s="26" t="n">
        <v>0.08044633246129999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9077.75</v>
      </c>
      <c r="C16" s="25" t="n">
        <v>10.22</v>
      </c>
      <c r="D16" s="26" t="n">
        <v>0.529850746269</v>
      </c>
      <c r="E16" s="26" t="n">
        <v>0.0809656227946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9098.6</v>
      </c>
      <c r="C17" s="25" t="n">
        <v>10.24</v>
      </c>
      <c r="D17" s="26" t="n">
        <v>0.529850746269</v>
      </c>
      <c r="E17" s="26" t="n">
        <v>0.081875648863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9196.6</v>
      </c>
      <c r="C18" s="25" t="n">
        <v>10.35</v>
      </c>
      <c r="D18" s="26" t="n">
        <v>0.567164179104</v>
      </c>
      <c r="E18" s="26" t="n">
        <v>0.0815400997812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9280.799999999999</v>
      </c>
      <c r="C19" s="25" t="n">
        <v>10.45</v>
      </c>
      <c r="D19" s="26" t="n">
        <v>0.5895522388060001</v>
      </c>
      <c r="E19" s="26" t="n">
        <v>0.0809565776156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9257.15</v>
      </c>
      <c r="C20" s="25" t="n">
        <v>10.41</v>
      </c>
      <c r="D20" s="26" t="n">
        <v>0.5746268656720001</v>
      </c>
      <c r="E20" s="26" t="n">
        <v>0.0822509565654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9247.299999999999</v>
      </c>
      <c r="C21" s="25" t="n">
        <v>10.39</v>
      </c>
      <c r="D21" s="26" t="n">
        <v>0.5746268656720001</v>
      </c>
      <c r="E21" s="26" t="n">
        <v>0.0835040326826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9190.6</v>
      </c>
      <c r="C22" s="25" t="n">
        <v>10.33</v>
      </c>
      <c r="D22" s="26" t="n">
        <v>0.559701492537</v>
      </c>
      <c r="E22" s="26" t="n">
        <v>0.0835140388896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  <row r="23">
      <c r="A23" s="31" t="n">
        <v>46316</v>
      </c>
      <c r="B23" s="24" t="n">
        <v>9094.4</v>
      </c>
      <c r="C23" s="25" t="n">
        <v>10.22</v>
      </c>
      <c r="D23" s="26" t="n">
        <v>0.529850746269</v>
      </c>
      <c r="E23" s="26" t="n">
        <v>0.0818023292924</v>
      </c>
      <c r="F23" s="34">
        <f>IF(D23="","",100*(1-D23))</f>
        <v/>
      </c>
      <c r="G23" s="34">
        <f>IF(E23="","",IF(E23&lt;=0,20,IF(E23&lt;5%,20+400*E23,IF(E23&lt;10%,40+400*(E23-5%),IF(E23&lt;15%,60+400*(E23-10%),IF(E23&lt;25%,80+200*(E23-15%),100))))))</f>
        <v/>
      </c>
      <c r="H23" s="34">
        <f>IF(OR(F23="",G23=""),"",70%*F23+30%*G23)</f>
        <v/>
      </c>
      <c r="I23">
        <f>IF(H23="","",IF(H23&gt;=70,"BUY",IF(H23&gt;=40,"HOLD","SELL")))</f>
        <v/>
      </c>
    </row>
    <row r="24">
      <c r="A24" s="31" t="n">
        <v>46317</v>
      </c>
      <c r="B24" s="24" t="n">
        <v>9034.35</v>
      </c>
      <c r="C24" s="25" t="n">
        <v>10.15</v>
      </c>
      <c r="D24" s="26" t="n">
        <v>0.514925373134</v>
      </c>
      <c r="E24" s="26" t="n">
        <v>0.0820706699021</v>
      </c>
      <c r="F24" s="34">
        <f>IF(D24="","",100*(1-D24))</f>
        <v/>
      </c>
      <c r="G24" s="34">
        <f>IF(E24="","",IF(E24&lt;=0,20,IF(E24&lt;5%,20+400*E24,IF(E24&lt;10%,40+400*(E24-5%),IF(E24&lt;15%,60+400*(E24-10%),IF(E24&lt;25%,80+200*(E24-15%),100))))))</f>
        <v/>
      </c>
      <c r="H24" s="34">
        <f>IF(OR(F24="",G24=""),"",70%*F24+30%*G24)</f>
        <v/>
      </c>
      <c r="I24">
        <f>IF(H24="","",IF(H24&gt;=70,"BUY",IF(H24&gt;=40,"HOLD","SELL")))</f>
        <v/>
      </c>
    </row>
    <row r="25">
      <c r="A25" s="31" t="n">
        <v>46318</v>
      </c>
      <c r="B25" s="24" t="n">
        <v>8885.75</v>
      </c>
      <c r="C25" s="25" t="n">
        <v>9.99</v>
      </c>
      <c r="D25" s="26" t="n">
        <v>0.514925373134</v>
      </c>
      <c r="E25" s="26" t="n">
        <v>0.08083505657740001</v>
      </c>
      <c r="F25" s="34">
        <f>IF(D25="","",100*(1-D25))</f>
        <v/>
      </c>
      <c r="G25" s="34">
        <f>IF(E25="","",IF(E25&lt;=0,20,IF(E25&lt;5%,20+400*E25,IF(E25&lt;10%,40+400*(E25-5%),IF(E25&lt;15%,60+400*(E25-10%),IF(E25&lt;25%,80+200*(E25-15%),100))))))</f>
        <v/>
      </c>
      <c r="H25" s="34">
        <f>IF(OR(F25="",G25=""),"",70%*F25+30%*G25)</f>
        <v/>
      </c>
      <c r="I25">
        <f>IF(H25="","",IF(H25&gt;=70,"BUY",IF(H25&gt;=40,"HOLD","SELL")))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41" customWidth="1" min="2" max="2"/>
    <col width="12" customWidth="1" min="3" max="3"/>
    <col width="28" customWidth="1" min="4" max="4"/>
    <col width="15" customWidth="1" min="5" max="5"/>
  </cols>
  <sheetData>
    <row r="1">
      <c r="A1" s="35" t="inlineStr">
        <is>
          <t>NIFTY Pse Composition</t>
        </is>
      </c>
    </row>
    <row r="2">
      <c r="A2" s="2" t="inlineStr">
        <is>
          <t>As of</t>
        </is>
      </c>
      <c r="B2" s="4" t="inlineStr">
        <is>
          <t>Retrieved 2026-10-23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Bharat Electronics Ltd.</t>
        </is>
      </c>
      <c r="C6" t="inlineStr">
        <is>
          <t>BEL</t>
        </is>
      </c>
      <c r="D6" t="inlineStr">
        <is>
          <t>Capital Goods</t>
        </is>
      </c>
    </row>
    <row r="7">
      <c r="A7" t="n">
        <v>2</v>
      </c>
      <c r="B7" t="inlineStr">
        <is>
          <t>Bharat Heavy Electricals Ltd.</t>
        </is>
      </c>
      <c r="C7" t="inlineStr">
        <is>
          <t>BHEL</t>
        </is>
      </c>
      <c r="D7" t="inlineStr">
        <is>
          <t>Capital Goods</t>
        </is>
      </c>
    </row>
    <row r="8">
      <c r="A8" t="n">
        <v>3</v>
      </c>
      <c r="B8" t="inlineStr">
        <is>
          <t>Bharat Petroleum Corporation Ltd.</t>
        </is>
      </c>
      <c r="C8" t="inlineStr">
        <is>
          <t>BPCL</t>
        </is>
      </c>
      <c r="D8" t="inlineStr">
        <is>
          <t>Oil Gas &amp; Consumable Fuels</t>
        </is>
      </c>
    </row>
    <row r="9">
      <c r="A9" t="n">
        <v>4</v>
      </c>
      <c r="B9" t="inlineStr">
        <is>
          <t>Coal India Ltd.</t>
        </is>
      </c>
      <c r="C9" t="inlineStr">
        <is>
          <t>COALINDIA</t>
        </is>
      </c>
      <c r="D9" t="inlineStr">
        <is>
          <t>Oil Gas &amp; Consumable Fuels</t>
        </is>
      </c>
    </row>
    <row r="10">
      <c r="A10" t="n">
        <v>5</v>
      </c>
      <c r="B10" t="inlineStr">
        <is>
          <t>Container Corporation of India Ltd.</t>
        </is>
      </c>
      <c r="C10" t="inlineStr">
        <is>
          <t>CONCOR</t>
        </is>
      </c>
      <c r="D10" t="inlineStr">
        <is>
          <t>Services</t>
        </is>
      </c>
    </row>
    <row r="11">
      <c r="A11" t="n">
        <v>6</v>
      </c>
      <c r="B11" t="inlineStr">
        <is>
          <t>GAIL (India) Ltd.</t>
        </is>
      </c>
      <c r="C11" t="inlineStr">
        <is>
          <t>GAIL</t>
        </is>
      </c>
      <c r="D11" t="inlineStr">
        <is>
          <t>Oil Gas &amp; Consumable Fuels</t>
        </is>
      </c>
    </row>
    <row r="12">
      <c r="A12" t="n">
        <v>7</v>
      </c>
      <c r="B12" t="inlineStr">
        <is>
          <t>Hindustan Aeronautics Ltd.</t>
        </is>
      </c>
      <c r="C12" t="inlineStr">
        <is>
          <t>HAL</t>
        </is>
      </c>
      <c r="D12" t="inlineStr">
        <is>
          <t>Capital Goods</t>
        </is>
      </c>
    </row>
    <row r="13">
      <c r="A13" t="n">
        <v>8</v>
      </c>
      <c r="B13" t="inlineStr">
        <is>
          <t>Hindustan Petroleum Corporation Ltd.</t>
        </is>
      </c>
      <c r="C13" t="inlineStr">
        <is>
          <t>HINDPETRO</t>
        </is>
      </c>
      <c r="D13" t="inlineStr">
        <is>
          <t>Oil Gas &amp; Consumable Fuels</t>
        </is>
      </c>
    </row>
    <row r="14">
      <c r="A14" t="n">
        <v>9</v>
      </c>
      <c r="B14" t="inlineStr">
        <is>
          <t>Indian Oil Corporation Ltd.</t>
        </is>
      </c>
      <c r="C14" t="inlineStr">
        <is>
          <t>IOC</t>
        </is>
      </c>
      <c r="D14" t="inlineStr">
        <is>
          <t>Oil Gas &amp; Consumable Fuels</t>
        </is>
      </c>
    </row>
    <row r="15">
      <c r="A15" t="n">
        <v>10</v>
      </c>
      <c r="B15" t="inlineStr">
        <is>
          <t>Indian Railway Finance Corporation Ltd.</t>
        </is>
      </c>
      <c r="C15" t="inlineStr">
        <is>
          <t>IRFC</t>
        </is>
      </c>
      <c r="D15" t="inlineStr">
        <is>
          <t>Financial Services</t>
        </is>
      </c>
    </row>
    <row r="16">
      <c r="A16" t="n">
        <v>11</v>
      </c>
      <c r="B16" t="inlineStr">
        <is>
          <t>National Aluminium Co. Ltd.</t>
        </is>
      </c>
      <c r="C16" t="inlineStr">
        <is>
          <t>NATIONALUM</t>
        </is>
      </c>
      <c r="D16" t="inlineStr">
        <is>
          <t>Metals &amp; Mining</t>
        </is>
      </c>
    </row>
    <row r="17">
      <c r="A17" t="n">
        <v>12</v>
      </c>
      <c r="B17" t="inlineStr">
        <is>
          <t>NHPC Ltd.</t>
        </is>
      </c>
      <c r="C17" t="inlineStr">
        <is>
          <t>NHPC</t>
        </is>
      </c>
      <c r="D17" t="inlineStr">
        <is>
          <t>Power</t>
        </is>
      </c>
    </row>
    <row r="18">
      <c r="A18" t="n">
        <v>13</v>
      </c>
      <c r="B18" t="inlineStr">
        <is>
          <t>NMDC Ltd.</t>
        </is>
      </c>
      <c r="C18" t="inlineStr">
        <is>
          <t>NMDC</t>
        </is>
      </c>
      <c r="D18" t="inlineStr">
        <is>
          <t>Metals &amp; Mining</t>
        </is>
      </c>
    </row>
    <row r="19">
      <c r="A19" t="n">
        <v>14</v>
      </c>
      <c r="B19" t="inlineStr">
        <is>
          <t>NTPC Ltd.</t>
        </is>
      </c>
      <c r="C19" t="inlineStr">
        <is>
          <t>NTPC</t>
        </is>
      </c>
      <c r="D19" t="inlineStr">
        <is>
          <t>Power</t>
        </is>
      </c>
    </row>
    <row r="20">
      <c r="A20" t="n">
        <v>15</v>
      </c>
      <c r="B20" t="inlineStr">
        <is>
          <t>Oil &amp; Natural Gas Corporation Ltd.</t>
        </is>
      </c>
      <c r="C20" t="inlineStr">
        <is>
          <t>ONGC</t>
        </is>
      </c>
      <c r="D20" t="inlineStr">
        <is>
          <t>Oil Gas &amp; Consumable Fuels</t>
        </is>
      </c>
    </row>
    <row r="21">
      <c r="A21" t="n">
        <v>16</v>
      </c>
      <c r="B21" t="inlineStr">
        <is>
          <t>Oil India Ltd.</t>
        </is>
      </c>
      <c r="C21" t="inlineStr">
        <is>
          <t>OIL</t>
        </is>
      </c>
      <c r="D21" t="inlineStr">
        <is>
          <t>Oil Gas &amp; Consumable Fuels</t>
        </is>
      </c>
    </row>
    <row r="22">
      <c r="A22" t="n">
        <v>17</v>
      </c>
      <c r="B22" t="inlineStr">
        <is>
          <t>Power Finance Corporation Ltd.</t>
        </is>
      </c>
      <c r="C22" t="inlineStr">
        <is>
          <t>PFC</t>
        </is>
      </c>
      <c r="D22" t="inlineStr">
        <is>
          <t>Financial Services</t>
        </is>
      </c>
    </row>
    <row r="23">
      <c r="A23" t="n">
        <v>18</v>
      </c>
      <c r="B23" t="inlineStr">
        <is>
          <t>Power Grid Corporation of India Ltd.</t>
        </is>
      </c>
      <c r="C23" t="inlineStr">
        <is>
          <t>POWERGRID</t>
        </is>
      </c>
      <c r="D23" t="inlineStr">
        <is>
          <t>Power</t>
        </is>
      </c>
    </row>
    <row r="24">
      <c r="A24" t="n">
        <v>19</v>
      </c>
      <c r="B24" t="inlineStr">
        <is>
          <t>REC Ltd.</t>
        </is>
      </c>
      <c r="C24" t="inlineStr">
        <is>
          <t>RECLTD</t>
        </is>
      </c>
      <c r="D24" t="inlineStr">
        <is>
          <t>Financial Services</t>
        </is>
      </c>
    </row>
    <row r="25">
      <c r="A25" t="n">
        <v>20</v>
      </c>
      <c r="B25" t="inlineStr">
        <is>
          <t>Steel Authority of India Ltd.</t>
        </is>
      </c>
      <c r="C25" t="inlineStr">
        <is>
          <t>SAIL</t>
        </is>
      </c>
      <c r="D25" t="inlineStr">
        <is>
          <t>Metals &amp; Mining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2026-10-23T17:27:49Z</dcterms:created>
  <dcterms:modified xsi:type="dcterms:W3CDTF">2026-10-23T17:28:15Z</dcterms:modified>
</cp:coreProperties>
</file>