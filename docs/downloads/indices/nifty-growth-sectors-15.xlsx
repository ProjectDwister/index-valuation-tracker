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Growth_Sectors15_Index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9" customWidth="1" min="5" max="5"/>
    <col width="21" customWidth="1" min="6" max="6"/>
    <col width="21" customWidth="1" min="7" max="7"/>
  </cols>
  <sheetData>
    <row r="1" ht="26" customHeight="1">
      <c r="A1" s="1" t="inlineStr">
        <is>
          <t>NIFTY Growth Sectors 15 Valuation Tracker</t>
        </is>
      </c>
    </row>
    <row r="2">
      <c r="A2" s="2" t="inlineStr">
        <is>
          <t>As of</t>
        </is>
      </c>
      <c r="B2" s="23" t="n">
        <v>46324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11026.55</v>
      </c>
      <c r="D5" s="2" t="inlineStr">
        <is>
          <t>P/E</t>
        </is>
      </c>
      <c r="E5" s="25" t="n">
        <v>25.46</v>
      </c>
    </row>
    <row r="6">
      <c r="A6" s="2" t="inlineStr">
        <is>
          <t>P/E percentile</t>
        </is>
      </c>
      <c r="B6" s="26" t="n">
        <v>0.03731343283582089</v>
      </c>
      <c r="D6" s="2" t="inlineStr">
        <is>
          <t>Implied EPS</t>
        </is>
      </c>
      <c r="E6" s="27" t="n">
        <v>433.0930871956009</v>
      </c>
    </row>
    <row r="7">
      <c r="A7" s="2" t="inlineStr">
        <is>
          <t>YoY implied EPS growth</t>
        </is>
      </c>
      <c r="B7" s="26" t="n">
        <v>0.1401846814441026</v>
      </c>
      <c r="D7" s="2" t="inlineStr">
        <is>
          <t>Earnings yield</t>
        </is>
      </c>
      <c r="E7" s="10" t="n">
        <v>0.03927729772191673</v>
      </c>
    </row>
    <row r="8">
      <c r="A8" s="2" t="inlineStr">
        <is>
          <t>Valuation score</t>
        </is>
      </c>
      <c r="B8" s="28" t="n">
        <v>96.26865671641791</v>
      </c>
      <c r="D8" s="2" t="inlineStr">
        <is>
          <t>Growth score</t>
        </is>
      </c>
      <c r="E8" s="28" t="n">
        <v>76.07387257764103</v>
      </c>
    </row>
    <row r="9">
      <c r="A9" s="2" t="inlineStr">
        <is>
          <t>Composite score</t>
        </is>
      </c>
      <c r="B9" s="28" t="n">
        <v>90.21022147478484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31.34770573650849</v>
      </c>
      <c r="C13" s="15" t="n">
        <v>13576.47465392371</v>
      </c>
      <c r="D13" s="30" t="n">
        <v>0.2312531711118808</v>
      </c>
    </row>
    <row r="14">
      <c r="A14" t="inlineStr">
        <is>
          <t>HOLD → SELL</t>
        </is>
      </c>
      <c r="B14" s="29" t="n">
        <v>34.24233772761937</v>
      </c>
      <c r="C14" s="15" t="n">
        <v>14830.11975924907</v>
      </c>
      <c r="D14" s="30" t="n">
        <v>0.3449464936221278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0.1087434357554746</v>
      </c>
      <c r="D18" s="30" t="n">
        <v>0.06669447838489395</v>
      </c>
      <c r="E18" s="30" t="n">
        <v>0.08055979143027592</v>
      </c>
      <c r="F18" s="30" t="n">
        <v>0.0707047893936249</v>
      </c>
      <c r="G18" s="30" t="n">
        <v>0</v>
      </c>
    </row>
    <row r="19">
      <c r="A19" t="inlineStr">
        <is>
          <t>Q2</t>
        </is>
      </c>
      <c r="B19" t="n">
        <v>9</v>
      </c>
      <c r="C19" s="30" t="n">
        <v>0.117157840998747</v>
      </c>
      <c r="D19" s="30" t="n">
        <v>0.1035320558040763</v>
      </c>
      <c r="E19" s="30" t="n">
        <v>0.1216743905225881</v>
      </c>
      <c r="F19" s="30" t="n">
        <v>0.08068618805354166</v>
      </c>
      <c r="G19" s="30" t="n">
        <v>0</v>
      </c>
    </row>
    <row r="20">
      <c r="A20" t="inlineStr">
        <is>
          <t>Q3</t>
        </is>
      </c>
      <c r="B20" t="n">
        <v>8</v>
      </c>
      <c r="C20" s="30" t="n">
        <v>0.1017563836590807</v>
      </c>
      <c r="D20" s="30" t="n">
        <v>0.0478043481235022</v>
      </c>
      <c r="E20" s="30" t="n">
        <v>0.06439494816872449</v>
      </c>
      <c r="F20" s="30" t="n"/>
      <c r="G20" s="30" t="n">
        <v>0.4</v>
      </c>
    </row>
    <row r="21">
      <c r="A21" t="inlineStr">
        <is>
          <t>Q4</t>
        </is>
      </c>
      <c r="B21" t="n">
        <v>9</v>
      </c>
      <c r="C21" s="30" t="n">
        <v>-0.02642901907229511</v>
      </c>
      <c r="D21" s="30" t="n">
        <v>0.09183931919317856</v>
      </c>
      <c r="E21" s="30" t="n">
        <v>0.1090208524061915</v>
      </c>
      <c r="F21" s="30" t="n"/>
      <c r="G21" s="30" t="n">
        <v>0.1428571428571428</v>
      </c>
    </row>
    <row r="22">
      <c r="A22" t="inlineStr">
        <is>
          <t>Q5 Most Expensive</t>
        </is>
      </c>
      <c r="B22" t="n">
        <v>10</v>
      </c>
      <c r="C22" s="30" t="n">
        <v>0.03334537225595802</v>
      </c>
      <c r="D22" s="30" t="n">
        <v>0.1132151766490532</v>
      </c>
      <c r="E22" s="30" t="n">
        <v>0.07507571310185668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7138.3</v>
      </c>
      <c r="C2" s="25" t="n">
        <v>37.65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7546.25</v>
      </c>
      <c r="C3" s="25" t="n">
        <v>38.96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7620.3</v>
      </c>
      <c r="C4" s="25" t="n">
        <v>34.85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7464.5</v>
      </c>
      <c r="C5" s="25" t="n">
        <v>32.89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7831.3</v>
      </c>
      <c r="C6" s="25" t="n">
        <v>33.63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7976.65</v>
      </c>
      <c r="C7" s="25" t="n">
        <v>36.56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7713.85</v>
      </c>
      <c r="C8" s="25" t="n">
        <v>35.05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7593</v>
      </c>
      <c r="C9" s="25" t="n">
        <v>33.48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7685.55</v>
      </c>
      <c r="C10" s="25" t="n">
        <v>33.99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7614.35</v>
      </c>
      <c r="C11" s="25" t="n">
        <v>34.17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7375.9</v>
      </c>
      <c r="C12" s="25" t="n">
        <v>31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7496.5</v>
      </c>
      <c r="C13" s="25" t="n">
        <v>33.38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7794.25</v>
      </c>
      <c r="C14" s="25" t="n">
        <v>34.68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7830.1</v>
      </c>
      <c r="C15" s="25" t="n">
        <v>34.26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7760.05</v>
      </c>
      <c r="C16" s="25" t="n">
        <v>35.32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8503.299999999999</v>
      </c>
      <c r="C17" s="25" t="n">
        <v>38.27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8798.700000000001</v>
      </c>
      <c r="C18" s="25" t="n">
        <v>35.63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8862.299999999999</v>
      </c>
      <c r="C19" s="25" t="n">
        <v>34.63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9100.85</v>
      </c>
      <c r="C20" s="25" t="n">
        <v>35.07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9047.549999999999</v>
      </c>
      <c r="C21" s="25" t="n">
        <v>33.48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8642.299999999999</v>
      </c>
      <c r="C22" s="25" t="n">
        <v>32.16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8835.35</v>
      </c>
      <c r="C23" s="25" t="n">
        <v>31.86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8552.950000000001</v>
      </c>
      <c r="C24" s="25" t="n">
        <v>30.22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8604.25</v>
      </c>
      <c r="C25" s="25" t="n">
        <v>32.55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8813</v>
      </c>
      <c r="C26" s="25" t="n">
        <v>33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9337</v>
      </c>
      <c r="C27" s="25" t="n">
        <v>32.43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9611.799999999999</v>
      </c>
      <c r="C28" s="25" t="n">
        <v>33.46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9709.700000000001</v>
      </c>
      <c r="C29" s="25" t="n">
        <v>33.17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9655.35</v>
      </c>
      <c r="C30" s="25" t="n">
        <v>32.25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9869.549999999999</v>
      </c>
      <c r="C31" s="25" t="n">
        <v>31.27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9644.75</v>
      </c>
      <c r="C32" s="25" t="n">
        <v>29.82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10169.1</v>
      </c>
      <c r="C33" s="25" t="n">
        <v>31.19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10787.7</v>
      </c>
      <c r="C34" s="25" t="n">
        <v>33.04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10911.5</v>
      </c>
      <c r="C35" s="25" t="n">
        <v>33.31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11154.7</v>
      </c>
      <c r="C36" s="25" t="n">
        <v>33.75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10941.75</v>
      </c>
      <c r="C37" s="25" t="n">
        <v>32.25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10674.9</v>
      </c>
      <c r="C38" s="25" t="n">
        <v>30.73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10535.55</v>
      </c>
      <c r="C39" s="25" t="n">
        <v>30.01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11093.4</v>
      </c>
      <c r="C40" s="25" t="n">
        <v>31.58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12355.9</v>
      </c>
      <c r="C41" s="25" t="n">
        <v>34.77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12690.9</v>
      </c>
      <c r="C42" s="25" t="n">
        <v>35.17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12814.55</v>
      </c>
      <c r="C43" s="25" t="n">
        <v>31.55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11678.5</v>
      </c>
      <c r="C44" s="25" t="n">
        <v>28.47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11901.1</v>
      </c>
      <c r="C45" s="25" t="n">
        <v>28.89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11845.6</v>
      </c>
      <c r="C46" s="25" t="n">
        <v>28.79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11830.25</v>
      </c>
      <c r="C47" s="25" t="n">
        <v>28.24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10563.8</v>
      </c>
      <c r="C48" s="25" t="n">
        <v>25.1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10690.9</v>
      </c>
      <c r="C49" s="25" t="n">
        <v>33.54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11159.6</v>
      </c>
      <c r="C50" s="25" t="n">
        <v>34.87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11200</v>
      </c>
      <c r="C51" s="25" t="n">
        <v>34.28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11530.85</v>
      </c>
      <c r="C52" s="25" t="n">
        <v>34.43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11474.85</v>
      </c>
      <c r="C53" s="25" t="n">
        <v>33.74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11634.85</v>
      </c>
      <c r="C54" s="25" t="n">
        <v>33.51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11574.5</v>
      </c>
      <c r="C55" s="25" t="n">
        <v>30.8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12013.45</v>
      </c>
      <c r="C56" s="25" t="n">
        <v>31.61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12428.5</v>
      </c>
      <c r="C57" s="25" t="n">
        <v>32.23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12483.55</v>
      </c>
      <c r="C58" s="25" t="n">
        <v>32.33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11972.6</v>
      </c>
      <c r="C59" s="25" t="n">
        <v>31.42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11458.05</v>
      </c>
      <c r="C60" s="25" t="n">
        <v>29.47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10408.35</v>
      </c>
      <c r="C61" s="25" t="n">
        <v>28.21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10948</v>
      </c>
      <c r="C62" s="25" t="n">
        <v>29.07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10733.25</v>
      </c>
      <c r="C63" s="25" t="n">
        <v>27.91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10565.2</v>
      </c>
      <c r="C64" s="25" t="n">
        <v>26.63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11655.75</v>
      </c>
      <c r="C65" s="25" t="n">
        <v>28.96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11638.05</v>
      </c>
      <c r="C66" s="25" t="n">
        <v>28.27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10539.5</v>
      </c>
      <c r="C67" s="25" t="n">
        <v>24.57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5192.15</v>
      </c>
      <c r="C2" s="25" t="n">
        <v>25.16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5146.3</v>
      </c>
      <c r="C3" s="25" t="n">
        <v>24.6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5386.75</v>
      </c>
      <c r="C4" s="25" t="n">
        <v>25.04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5436.65</v>
      </c>
      <c r="C5" s="25" t="n">
        <v>24.54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5196.1</v>
      </c>
      <c r="C6" s="25" t="n">
        <v>22.45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5559.65</v>
      </c>
      <c r="C7" s="25" t="n">
        <v>29.49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6017.85</v>
      </c>
      <c r="C8" s="25" t="n">
        <v>31.34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6027.85</v>
      </c>
      <c r="C9" s="25" t="n">
        <v>32.12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6576.85</v>
      </c>
      <c r="C10" s="25" t="n">
        <v>33.65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6216</v>
      </c>
      <c r="C11" s="25" t="n">
        <v>31.63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6783.6</v>
      </c>
      <c r="C12" s="25" t="n">
        <v>33.25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6539.25</v>
      </c>
      <c r="C13" s="25" t="n">
        <v>33.21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6480</v>
      </c>
      <c r="C14" s="25" t="n">
        <v>34.6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6144.05</v>
      </c>
      <c r="C15" s="25" t="n">
        <v>35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5961.95</v>
      </c>
      <c r="C16" s="25" t="n">
        <v>33.07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6133.5</v>
      </c>
      <c r="C17" s="25" t="n">
        <v>32.6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6410.9</v>
      </c>
      <c r="C18" s="25" t="n">
        <v>31.55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4521.5</v>
      </c>
      <c r="C19" s="25" t="n">
        <v>19.93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5210.65</v>
      </c>
      <c r="C20" s="25" t="n">
        <v>24.96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5245.3</v>
      </c>
      <c r="C21" s="25" t="n">
        <v>26.16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7063.25</v>
      </c>
      <c r="C22" s="25" t="n">
        <v>34.49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7150.75</v>
      </c>
      <c r="C23" s="25" t="n">
        <v>37.7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7620.3</v>
      </c>
      <c r="C24" s="25" t="n">
        <v>34.85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7976.65</v>
      </c>
      <c r="C25" s="25" t="n">
        <v>36.56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7685.55</v>
      </c>
      <c r="C26" s="25" t="n">
        <v>33.99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7496.5</v>
      </c>
      <c r="C27" s="25" t="n">
        <v>33.38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7760.05</v>
      </c>
      <c r="C28" s="25" t="n">
        <v>35.32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8862.299999999999</v>
      </c>
      <c r="C29" s="25" t="n">
        <v>34.63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8642.299999999999</v>
      </c>
      <c r="C30" s="25" t="n">
        <v>32.16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8604.25</v>
      </c>
      <c r="C31" s="25" t="n">
        <v>32.55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9611.799999999999</v>
      </c>
      <c r="C32" s="25" t="n">
        <v>33.46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9869.549999999999</v>
      </c>
      <c r="C33" s="25" t="n">
        <v>31.27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10787.7</v>
      </c>
      <c r="C34" s="25" t="n">
        <v>33.04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10941.75</v>
      </c>
      <c r="C35" s="25" t="n">
        <v>32.25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11093.4</v>
      </c>
      <c r="C36" s="25" t="n">
        <v>31.58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12814.55</v>
      </c>
      <c r="C37" s="25" t="n">
        <v>31.55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11845.6</v>
      </c>
      <c r="C38" s="25" t="n">
        <v>28.79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10690.9</v>
      </c>
      <c r="C39" s="25" t="n">
        <v>33.54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11530.85</v>
      </c>
      <c r="C40" s="25" t="n">
        <v>34.43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11574.5</v>
      </c>
      <c r="C41" s="25" t="n">
        <v>30.8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12483.55</v>
      </c>
      <c r="C42" s="25" t="n">
        <v>32.33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10408.35</v>
      </c>
      <c r="C43" s="25" t="n">
        <v>28.21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10565.2</v>
      </c>
      <c r="C44" s="25" t="n">
        <v>26.63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10539.5</v>
      </c>
      <c r="C45" s="25" t="n">
        <v>24.57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8" customWidth="1" min="4" max="4"/>
    <col width="16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10899.75</v>
      </c>
      <c r="C2" s="25" t="n">
        <v>26.47</v>
      </c>
      <c r="D2" s="26" t="n">
        <v>0.0227272727273</v>
      </c>
      <c r="E2" s="26" t="n">
        <v>0.185941820224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10942.1</v>
      </c>
      <c r="C3" s="25" t="n">
        <v>26.58</v>
      </c>
      <c r="D3" s="26" t="n">
        <v>0.0227272727273</v>
      </c>
      <c r="E3" s="26" t="n">
        <v>0.185338576013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10879.4</v>
      </c>
      <c r="C4" s="25" t="n">
        <v>26.43</v>
      </c>
      <c r="D4" s="26" t="n">
        <v>0.0227272727273</v>
      </c>
      <c r="E4" s="26" t="n">
        <v>0.185441773834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10896.4</v>
      </c>
      <c r="C5" s="25" t="n">
        <v>26.47</v>
      </c>
      <c r="D5" s="26" t="n">
        <v>0.0227272727273</v>
      </c>
      <c r="E5" s="26" t="n">
        <v>0.185589335635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10790.95</v>
      </c>
      <c r="C6" s="25" t="n">
        <v>26.21</v>
      </c>
      <c r="D6" s="26" t="n">
        <v>0.0227272727273</v>
      </c>
      <c r="E6" s="26" t="n">
        <v>0.185618168873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10829.3</v>
      </c>
      <c r="C7" s="25" t="n">
        <v>26.3</v>
      </c>
      <c r="D7" s="26" t="n">
        <v>0.0227272727273</v>
      </c>
      <c r="E7" s="26" t="n">
        <v>0.185815571422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10732.15</v>
      </c>
      <c r="C8" s="25" t="n">
        <v>26.07</v>
      </c>
      <c r="D8" s="26" t="n">
        <v>0.0227272727273</v>
      </c>
      <c r="E8" s="26" t="n">
        <v>0.185567039958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10636.4</v>
      </c>
      <c r="C9" s="25" t="n">
        <v>25.84</v>
      </c>
      <c r="D9" s="26" t="n">
        <v>0.0227272727273</v>
      </c>
      <c r="E9" s="26" t="n">
        <v>0.185371158824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10539.5</v>
      </c>
      <c r="C10" s="25" t="n">
        <v>24.57</v>
      </c>
      <c r="D10" s="26" t="n">
        <v>0.0149253731343</v>
      </c>
      <c r="E10" s="26" t="n">
        <v>0.141466917094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10487.55</v>
      </c>
      <c r="C11" s="25" t="n">
        <v>24.45</v>
      </c>
      <c r="D11" s="26" t="n">
        <v>0.00746268656716</v>
      </c>
      <c r="E11" s="26" t="n">
        <v>0.141589765894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10465.95</v>
      </c>
      <c r="C12" s="25" t="n">
        <v>24.4</v>
      </c>
      <c r="D12" s="26" t="n">
        <v>0.00746268656716</v>
      </c>
      <c r="E12" s="26" t="n">
        <v>0.14144960945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10503.4</v>
      </c>
      <c r="C13" s="25" t="n">
        <v>24.49</v>
      </c>
      <c r="D13" s="26" t="n">
        <v>0.00746268656716</v>
      </c>
      <c r="E13" s="26" t="n">
        <v>0.14160670908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10339.65</v>
      </c>
      <c r="C14" s="25" t="n">
        <v>24.1</v>
      </c>
      <c r="D14" s="26" t="n">
        <v>0.00746268656716</v>
      </c>
      <c r="E14" s="26" t="n">
        <v>0.141831284637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10235.55</v>
      </c>
      <c r="C15" s="25" t="n">
        <v>23.86</v>
      </c>
      <c r="D15" s="26" t="n">
        <v>0.00746268656716</v>
      </c>
      <c r="E15" s="26" t="n">
        <v>0.141762990644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10422.6</v>
      </c>
      <c r="C16" s="25" t="n">
        <v>24.3</v>
      </c>
      <c r="D16" s="26" t="n">
        <v>0.00746268656716</v>
      </c>
      <c r="E16" s="26" t="n">
        <v>0.141446578151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10382.85</v>
      </c>
      <c r="C17" s="25" t="n">
        <v>24.08</v>
      </c>
      <c r="D17" s="26" t="n">
        <v>0.00746268656716</v>
      </c>
      <c r="E17" s="26" t="n">
        <v>0.146601272179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10662.05</v>
      </c>
      <c r="C18" s="25" t="n">
        <v>24.63</v>
      </c>
      <c r="D18" s="26" t="n">
        <v>0.0223880597015</v>
      </c>
      <c r="E18" s="26" t="n">
        <v>0.151466846922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10670.75</v>
      </c>
      <c r="C19" s="25" t="n">
        <v>24.65</v>
      </c>
      <c r="D19" s="26" t="n">
        <v>0.0223880597015</v>
      </c>
      <c r="E19" s="26" t="n">
        <v>0.151415699789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10805.15</v>
      </c>
      <c r="C20" s="25" t="n">
        <v>24.96</v>
      </c>
      <c r="D20" s="26" t="n">
        <v>0.0223880597015</v>
      </c>
      <c r="E20" s="26" t="n">
        <v>0.149894365636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11025.45</v>
      </c>
      <c r="C21" s="25" t="n">
        <v>25.38</v>
      </c>
      <c r="D21" s="26" t="n">
        <v>0.0373134328358</v>
      </c>
      <c r="E21" s="26" t="n">
        <v>0.153736769306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10919.1</v>
      </c>
      <c r="C22" s="25" t="n">
        <v>25.13</v>
      </c>
      <c r="D22" s="26" t="n">
        <v>0.0373134328358</v>
      </c>
      <c r="E22" s="26" t="n">
        <v>0.146512677029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10988.55</v>
      </c>
      <c r="C23" s="25" t="n">
        <v>25.29</v>
      </c>
      <c r="D23" s="26" t="n">
        <v>0.0373134328358</v>
      </c>
      <c r="E23" s="26" t="n">
        <v>0.146246019183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10916.2</v>
      </c>
      <c r="C24" s="25" t="n">
        <v>25.12</v>
      </c>
      <c r="D24" s="26" t="n">
        <v>0.0373134328358</v>
      </c>
      <c r="E24" s="26" t="n">
        <v>0.146405154284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  <row r="25">
      <c r="A25" s="31" t="n">
        <v>46318</v>
      </c>
      <c r="B25" s="24" t="n">
        <v>10889.35</v>
      </c>
      <c r="C25" s="25" t="n">
        <v>25.06</v>
      </c>
      <c r="D25" s="26" t="n">
        <v>0.0223880597015</v>
      </c>
      <c r="E25" s="26" t="n">
        <v>0.146327873293</v>
      </c>
      <c r="F25" s="34">
        <f>IF(D25="","",100*(1-D25))</f>
        <v/>
      </c>
      <c r="G25" s="34">
        <f>IF(E25="","",IF(E25&lt;=0,20,IF(E25&lt;5%,20+400*E25,IF(E25&lt;10%,40+400*(E25-5%),IF(E25&lt;15%,60+400*(E25-10%),IF(E25&lt;25%,80+200*(E25-15%),100))))))</f>
        <v/>
      </c>
      <c r="H25" s="34">
        <f>IF(OR(F25="",G25=""),"",70%*F25+30%*G25)</f>
        <v/>
      </c>
      <c r="I25">
        <f>IF(H25="","",IF(H25&gt;=70,"BUY",IF(H25&gt;=40,"HOLD","SELL")))</f>
        <v/>
      </c>
    </row>
    <row r="26">
      <c r="A26" s="31" t="n">
        <v>46321</v>
      </c>
      <c r="B26" s="24" t="n">
        <v>10927.15</v>
      </c>
      <c r="C26" s="25" t="n">
        <v>25.15</v>
      </c>
      <c r="D26" s="26" t="n">
        <v>0.0373134328358</v>
      </c>
      <c r="E26" s="26" t="n">
        <v>0.145579073658</v>
      </c>
      <c r="F26" s="34">
        <f>IF(D26="","",100*(1-D26))</f>
        <v/>
      </c>
      <c r="G26" s="34">
        <f>IF(E26="","",IF(E26&lt;=0,20,IF(E26&lt;5%,20+400*E26,IF(E26&lt;10%,40+400*(E26-5%),IF(E26&lt;15%,60+400*(E26-10%),IF(E26&lt;25%,80+200*(E26-15%),100))))))</f>
        <v/>
      </c>
      <c r="H26" s="34">
        <f>IF(OR(F26="",G26=""),"",70%*F26+30%*G26)</f>
        <v/>
      </c>
      <c r="I26">
        <f>IF(H26="","",IF(H26&gt;=70,"BUY",IF(H26&gt;=40,"HOLD","SELL")))</f>
        <v/>
      </c>
    </row>
    <row r="27">
      <c r="A27" s="31" t="n">
        <v>46322</v>
      </c>
      <c r="B27" s="24" t="n">
        <v>10978.4</v>
      </c>
      <c r="C27" s="25" t="n">
        <v>25.16</v>
      </c>
      <c r="D27" s="26" t="n">
        <v>0.0373134328358</v>
      </c>
      <c r="E27" s="26" t="n">
        <v>0.150763532536</v>
      </c>
      <c r="F27" s="34">
        <f>IF(D27="","",100*(1-D27))</f>
        <v/>
      </c>
      <c r="G27" s="34">
        <f>IF(E27="","",IF(E27&lt;=0,20,IF(E27&lt;5%,20+400*E27,IF(E27&lt;10%,40+400*(E27-5%),IF(E27&lt;15%,60+400*(E27-10%),IF(E27&lt;25%,80+200*(E27-15%),100))))))</f>
        <v/>
      </c>
      <c r="H27" s="34">
        <f>IF(OR(F27="",G27=""),"",70%*F27+30%*G27)</f>
        <v/>
      </c>
      <c r="I27">
        <f>IF(H27="","",IF(H27&gt;=70,"BUY",IF(H27&gt;=40,"HOLD","SELL")))</f>
        <v/>
      </c>
    </row>
    <row r="28">
      <c r="A28" s="31" t="n">
        <v>46323</v>
      </c>
      <c r="B28" s="24" t="n">
        <v>10931.05</v>
      </c>
      <c r="C28" s="25" t="n">
        <v>25.24</v>
      </c>
      <c r="D28" s="26" t="n">
        <v>0.0373134328358</v>
      </c>
      <c r="E28" s="26" t="n">
        <v>0.141888553203</v>
      </c>
      <c r="F28" s="34">
        <f>IF(D28="","",100*(1-D28))</f>
        <v/>
      </c>
      <c r="G28" s="34">
        <f>IF(E28="","",IF(E28&lt;=0,20,IF(E28&lt;5%,20+400*E28,IF(E28&lt;10%,40+400*(E28-5%),IF(E28&lt;15%,60+400*(E28-10%),IF(E28&lt;25%,80+200*(E28-15%),100))))))</f>
        <v/>
      </c>
      <c r="H28" s="34">
        <f>IF(OR(F28="",G28=""),"",70%*F28+30%*G28)</f>
        <v/>
      </c>
      <c r="I28">
        <f>IF(H28="","",IF(H28&gt;=70,"BUY",IF(H28&gt;=40,"HOLD","SELL")))</f>
        <v/>
      </c>
    </row>
    <row r="29">
      <c r="A29" s="31" t="n">
        <v>46324</v>
      </c>
      <c r="B29" s="24" t="n">
        <v>11026.55</v>
      </c>
      <c r="C29" s="25" t="n">
        <v>25.46</v>
      </c>
      <c r="D29" s="26" t="n">
        <v>0.0373134328358</v>
      </c>
      <c r="E29" s="26" t="n">
        <v>0.140184681444</v>
      </c>
      <c r="F29" s="34">
        <f>IF(D29="","",100*(1-D29))</f>
        <v/>
      </c>
      <c r="G29" s="34">
        <f>IF(E29="","",IF(E29&lt;=0,20,IF(E29&lt;5%,20+400*E29,IF(E29&lt;10%,40+400*(E29-5%),IF(E29&lt;15%,60+400*(E29-10%),IF(E29&lt;25%,80+200*(E29-15%),100))))))</f>
        <v/>
      </c>
      <c r="H29" s="34">
        <f>IF(OR(F29="",G29=""),"",70%*F29+30%*G29)</f>
        <v/>
      </c>
      <c r="I29">
        <f>IF(H29="","",IF(H29&gt;=70,"BUY",IF(H29&gt;=40,"HOLD","SELL")))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 Growth Sectors 15 Composition</t>
        </is>
      </c>
    </row>
    <row r="2">
      <c r="A2" s="2" t="inlineStr">
        <is>
          <t>As of</t>
        </is>
      </c>
      <c r="B2" s="4" t="inlineStr">
        <is>
          <t>Retrieved 2026-10-29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Apollo Hospitals Enterprise Ltd.</t>
        </is>
      </c>
      <c r="C6" t="inlineStr">
        <is>
          <t>APOLLOHOSP</t>
        </is>
      </c>
      <c r="D6" t="inlineStr">
        <is>
          <t>Healthcare</t>
        </is>
      </c>
    </row>
    <row r="7">
      <c r="A7" t="n">
        <v>2</v>
      </c>
      <c r="B7" t="inlineStr">
        <is>
          <t>Cipla Ltd.</t>
        </is>
      </c>
      <c r="C7" t="inlineStr">
        <is>
          <t>CIPLA</t>
        </is>
      </c>
      <c r="D7" t="inlineStr">
        <is>
          <t>Healthcare</t>
        </is>
      </c>
    </row>
    <row r="8">
      <c r="A8" t="n">
        <v>3</v>
      </c>
      <c r="B8" t="inlineStr">
        <is>
          <t>Divi's Laboratories Ltd.</t>
        </is>
      </c>
      <c r="C8" t="inlineStr">
        <is>
          <t>DIVISLAB</t>
        </is>
      </c>
      <c r="D8" t="inlineStr">
        <is>
          <t>Healthcare</t>
        </is>
      </c>
    </row>
    <row r="9">
      <c r="A9" t="n">
        <v>4</v>
      </c>
      <c r="B9" t="inlineStr">
        <is>
          <t>Eicher Motors Ltd.</t>
        </is>
      </c>
      <c r="C9" t="inlineStr">
        <is>
          <t>EICHERMOT</t>
        </is>
      </c>
      <c r="D9" t="inlineStr">
        <is>
          <t>Automobile and Auto Components</t>
        </is>
      </c>
    </row>
    <row r="10">
      <c r="A10" t="n">
        <v>5</v>
      </c>
      <c r="B10" t="inlineStr">
        <is>
          <t>HCL Technologies Ltd.</t>
        </is>
      </c>
      <c r="C10" t="inlineStr">
        <is>
          <t>HCLTECH</t>
        </is>
      </c>
      <c r="D10" t="inlineStr">
        <is>
          <t>Information Technology</t>
        </is>
      </c>
    </row>
    <row r="11">
      <c r="A11" t="n">
        <v>6</v>
      </c>
      <c r="B11" t="inlineStr">
        <is>
          <t>Hindustan Unilever Ltd.</t>
        </is>
      </c>
      <c r="C11" t="inlineStr">
        <is>
          <t>HINDUNILVR</t>
        </is>
      </c>
      <c r="D11" t="inlineStr">
        <is>
          <t>Fast Moving Consumer Goods</t>
        </is>
      </c>
    </row>
    <row r="12">
      <c r="A12" t="n">
        <v>7</v>
      </c>
      <c r="B12" t="inlineStr">
        <is>
          <t>Infosys Ltd.</t>
        </is>
      </c>
      <c r="C12" t="inlineStr">
        <is>
          <t>INFY</t>
        </is>
      </c>
      <c r="D12" t="inlineStr">
        <is>
          <t>Information Technology</t>
        </is>
      </c>
    </row>
    <row r="13">
      <c r="A13" t="n">
        <v>8</v>
      </c>
      <c r="B13" t="inlineStr">
        <is>
          <t>Mahindra &amp; Mahindra Ltd.</t>
        </is>
      </c>
      <c r="C13" t="inlineStr">
        <is>
          <t>M&amp;M</t>
        </is>
      </c>
      <c r="D13" t="inlineStr">
        <is>
          <t>Automobile and Auto Components</t>
        </is>
      </c>
    </row>
    <row r="14">
      <c r="A14" t="n">
        <v>9</v>
      </c>
      <c r="B14" t="inlineStr">
        <is>
          <t>Maruti Suzuki India Ltd.</t>
        </is>
      </c>
      <c r="C14" t="inlineStr">
        <is>
          <t>MARUTI</t>
        </is>
      </c>
      <c r="D14" t="inlineStr">
        <is>
          <t>Automobile and Auto Components</t>
        </is>
      </c>
    </row>
    <row r="15">
      <c r="A15" t="n">
        <v>10</v>
      </c>
      <c r="B15" t="inlineStr">
        <is>
          <t>Nestle India Ltd.</t>
        </is>
      </c>
      <c r="C15" t="inlineStr">
        <is>
          <t>NESTLEIND</t>
        </is>
      </c>
      <c r="D15" t="inlineStr">
        <is>
          <t>Fast Moving Consumer Goods</t>
        </is>
      </c>
    </row>
    <row r="16">
      <c r="A16" t="n">
        <v>11</v>
      </c>
      <c r="B16" t="inlineStr">
        <is>
          <t>Sun Pharmaceutical Industries Ltd.</t>
        </is>
      </c>
      <c r="C16" t="inlineStr">
        <is>
          <t>SUNPHARMA</t>
        </is>
      </c>
      <c r="D16" t="inlineStr">
        <is>
          <t>Healthcare</t>
        </is>
      </c>
    </row>
    <row r="17">
      <c r="A17" t="n">
        <v>12</v>
      </c>
      <c r="B17" t="inlineStr">
        <is>
          <t>Tata Consultancy Services Ltd.</t>
        </is>
      </c>
      <c r="C17" t="inlineStr">
        <is>
          <t>TCS</t>
        </is>
      </c>
      <c r="D17" t="inlineStr">
        <is>
          <t>Information Technology</t>
        </is>
      </c>
    </row>
    <row r="18">
      <c r="A18" t="n">
        <v>13</v>
      </c>
      <c r="B18" t="inlineStr">
        <is>
          <t>Tech Mahindra Ltd.</t>
        </is>
      </c>
      <c r="C18" t="inlineStr">
        <is>
          <t>TECHM</t>
        </is>
      </c>
      <c r="D18" t="inlineStr">
        <is>
          <t>Information Technology</t>
        </is>
      </c>
    </row>
    <row r="19">
      <c r="A19" t="n">
        <v>14</v>
      </c>
      <c r="B19" t="inlineStr">
        <is>
          <t>Titan Company Ltd.</t>
        </is>
      </c>
      <c r="C19" t="inlineStr">
        <is>
          <t>TITAN</t>
        </is>
      </c>
      <c r="D19" t="inlineStr">
        <is>
          <t>Consumer Durables</t>
        </is>
      </c>
    </row>
    <row r="20">
      <c r="A20" t="n">
        <v>15</v>
      </c>
      <c r="B20" t="inlineStr">
        <is>
          <t>TVS Motor Company Ltd.</t>
        </is>
      </c>
      <c r="C20" t="inlineStr">
        <is>
          <t>TVSMOTOR</t>
        </is>
      </c>
      <c r="D20" t="inlineStr">
        <is>
          <t>Automobile and Auto Components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2026-10-29T18:39:42Z</dcterms:created>
  <dcterms:modified xsi:type="dcterms:W3CDTF">2026-10-29T18:40:11Z</dcterms:modified>
</cp:coreProperties>
</file>