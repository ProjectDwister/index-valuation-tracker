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IndexConstituent/ind_nifty500Value50_list.csv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1" customWidth="1" min="4" max="4"/>
    <col width="29" customWidth="1" min="5" max="5"/>
    <col width="17" customWidth="1" min="6" max="6"/>
    <col width="19" customWidth="1" min="7" max="7"/>
  </cols>
  <sheetData>
    <row r="1" ht="26" customHeight="1">
      <c r="A1" s="1" t="inlineStr">
        <is>
          <t>Nifty500 Value 50 Valuation Tracker</t>
        </is>
      </c>
    </row>
    <row r="2">
      <c r="A2" s="2" t="inlineStr">
        <is>
          <t>As of</t>
        </is>
      </c>
      <c r="B2" s="23" t="n">
        <v>46309</v>
      </c>
      <c r="D2" s="2" t="inlineStr">
        <is>
          <t>Group</t>
        </is>
      </c>
      <c r="E2" s="4" t="inlineStr">
        <is>
          <t>Strategy / Thematic / Other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14975.05</v>
      </c>
      <c r="D5" s="2" t="inlineStr">
        <is>
          <t>P/E</t>
        </is>
      </c>
      <c r="E5" s="25" t="n">
        <v>9.75</v>
      </c>
    </row>
    <row r="6">
      <c r="A6" s="2" t="inlineStr">
        <is>
          <t>P/E percentile</t>
        </is>
      </c>
      <c r="B6" s="26" t="n">
        <v>0.5149253731343284</v>
      </c>
      <c r="D6" s="2" t="inlineStr">
        <is>
          <t>Implied EPS</t>
        </is>
      </c>
      <c r="E6" s="27" t="n">
        <v>1535.902564102564</v>
      </c>
    </row>
    <row r="7">
      <c r="A7" s="2" t="inlineStr">
        <is>
          <t>YoY implied EPS growth</t>
        </is>
      </c>
      <c r="B7" s="26" t="n">
        <v>0.07470689841294553</v>
      </c>
      <c r="D7" s="2" t="inlineStr">
        <is>
          <t>Earnings yield</t>
        </is>
      </c>
      <c r="E7" s="10" t="n">
        <v>0.1025641025641026</v>
      </c>
    </row>
    <row r="8">
      <c r="A8" s="2" t="inlineStr">
        <is>
          <t>Valuation score</t>
        </is>
      </c>
      <c r="B8" s="28" t="n">
        <v>48.50746268656716</v>
      </c>
      <c r="D8" s="2" t="inlineStr">
        <is>
          <t>Growth score</t>
        </is>
      </c>
      <c r="E8" s="28" t="n">
        <v>49.88275936517821</v>
      </c>
    </row>
    <row r="9">
      <c r="A9" s="2" t="inlineStr">
        <is>
          <t>Composite score</t>
        </is>
      </c>
      <c r="B9" s="28" t="n">
        <v>48.92005169015047</v>
      </c>
      <c r="D9" s="2" t="inlineStr">
        <is>
          <t>Signal</t>
        </is>
      </c>
      <c r="E9" s="12" t="inlineStr">
        <is>
          <t>HOLD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7.27329084375594</v>
      </c>
      <c r="C13" s="15" t="n">
        <v>11171.06605638845</v>
      </c>
      <c r="D13" s="30" t="n">
        <v>-0.2540214519224677</v>
      </c>
    </row>
    <row r="14">
      <c r="A14" t="inlineStr">
        <is>
          <t>HOLD → SELL</t>
        </is>
      </c>
      <c r="B14" s="29" t="n">
        <v>10.11395409077579</v>
      </c>
      <c r="C14" s="15" t="n">
        <v>15534.04802123815</v>
      </c>
      <c r="D14" s="30" t="n">
        <v>0.03732862469495246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5</v>
      </c>
      <c r="C18" s="30" t="n">
        <v>0.4065796644302568</v>
      </c>
      <c r="D18" s="30" t="n">
        <v>0.3380643236729997</v>
      </c>
      <c r="E18" s="30" t="n">
        <v>0.4206292972192289</v>
      </c>
      <c r="F18" s="30" t="n"/>
      <c r="G18" s="30" t="n">
        <v>0</v>
      </c>
    </row>
    <row r="19">
      <c r="A19" t="inlineStr">
        <is>
          <t>Q2</t>
        </is>
      </c>
      <c r="B19" t="n">
        <v>7</v>
      </c>
      <c r="C19" s="30" t="n">
        <v>0.610076392548893</v>
      </c>
      <c r="D19" s="30" t="n">
        <v>0.2739740860206064</v>
      </c>
      <c r="E19" s="30" t="n">
        <v>0.2771488904712973</v>
      </c>
      <c r="F19" s="30" t="n"/>
      <c r="G19" s="30" t="n">
        <v>0</v>
      </c>
    </row>
    <row r="20">
      <c r="A20" t="inlineStr">
        <is>
          <t>Q3</t>
        </is>
      </c>
      <c r="B20" t="n">
        <v>6</v>
      </c>
      <c r="C20" s="30" t="n">
        <v>0.5448594070801231</v>
      </c>
      <c r="D20" s="30" t="n">
        <v>0.3883526241457913</v>
      </c>
      <c r="E20" s="30" t="n">
        <v>0.3714808543208867</v>
      </c>
      <c r="F20" s="30" t="n"/>
      <c r="G20" s="30" t="n">
        <v>0</v>
      </c>
    </row>
    <row r="21">
      <c r="A21" t="inlineStr">
        <is>
          <t>Q4</t>
        </is>
      </c>
      <c r="B21" t="n">
        <v>7</v>
      </c>
      <c r="C21" s="30" t="n">
        <v>0.0534092402620312</v>
      </c>
      <c r="D21" s="30" t="n">
        <v>0.3147834207472477</v>
      </c>
      <c r="E21" s="30" t="n">
        <v>0.3336478965498094</v>
      </c>
      <c r="F21" s="30" t="n"/>
      <c r="G21" s="30" t="n">
        <v>0</v>
      </c>
    </row>
    <row r="22">
      <c r="A22" t="inlineStr">
        <is>
          <t>Q5 Most Expensive</t>
        </is>
      </c>
      <c r="B22" t="n">
        <v>7</v>
      </c>
      <c r="C22" s="30" t="n">
        <v>-0.02502887843096802</v>
      </c>
      <c r="D22" s="30" t="n">
        <v>0.1160291512333091</v>
      </c>
      <c r="E22" s="30" t="n">
        <v>0.2271494281485487</v>
      </c>
      <c r="F22" s="30" t="n"/>
      <c r="G22" s="30" t="n">
        <v>0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66</v>
      </c>
    </row>
    <row r="26">
      <c r="A26" s="2" t="inlineStr">
        <is>
          <t>Quarter-end P/E observations</t>
        </is>
      </c>
      <c r="B26" t="n">
        <v>32</v>
      </c>
    </row>
    <row r="27">
      <c r="A27" s="2" t="inlineStr">
        <is>
          <t>Backtest start</t>
        </is>
      </c>
      <c r="B27" t="inlineStr">
        <is>
          <t>2018-12-31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4867.47</v>
      </c>
      <c r="C2" s="25" t="n">
        <v>13.79</v>
      </c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5402.19</v>
      </c>
      <c r="C3" s="25" t="n">
        <v>11.01</v>
      </c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5544.28</v>
      </c>
      <c r="C4" s="25" t="n">
        <v>9.26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5640.08</v>
      </c>
      <c r="C5" s="25" t="n">
        <v>9.24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5583.1</v>
      </c>
      <c r="C6" s="25" t="n">
        <v>7.81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6117.47</v>
      </c>
      <c r="C7" s="25" t="n">
        <v>8.52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6256.1</v>
      </c>
      <c r="C8" s="25" t="n">
        <v>8.67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5852.85</v>
      </c>
      <c r="C9" s="25" t="n">
        <v>7.35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5934.66</v>
      </c>
      <c r="C10" s="25" t="n">
        <v>5.8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6329.11</v>
      </c>
      <c r="C11" s="25" t="n">
        <v>6.15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6099.13</v>
      </c>
      <c r="C12" s="25" t="n">
        <v>5.52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6340.31</v>
      </c>
      <c r="C13" s="25" t="n">
        <v>5.75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6420.4</v>
      </c>
      <c r="C14" s="25" t="n">
        <v>5.82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5973.92</v>
      </c>
      <c r="C15" s="25" t="n">
        <v>5.35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5541.62</v>
      </c>
      <c r="C16" s="25" t="n">
        <v>5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6055.32</v>
      </c>
      <c r="C17" s="25" t="n">
        <v>5.41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6372.26</v>
      </c>
      <c r="C18" s="25" t="n">
        <v>6.24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6034.29</v>
      </c>
      <c r="C19" s="25" t="n">
        <v>5.91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6435.24</v>
      </c>
      <c r="C20" s="25" t="n">
        <v>6.24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6954.91</v>
      </c>
      <c r="C21" s="25" t="n">
        <v>7.54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7058.28</v>
      </c>
      <c r="C22" s="25" t="n">
        <v>7.14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7115.05</v>
      </c>
      <c r="C23" s="25" t="n">
        <v>7.3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6735.88</v>
      </c>
      <c r="C24" s="25" t="n">
        <v>7.2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6887.29</v>
      </c>
      <c r="C25" s="25" t="n">
        <v>7.34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7323.81</v>
      </c>
      <c r="C26" s="25" t="n">
        <v>7.78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7389.13</v>
      </c>
      <c r="C27" s="25" t="n">
        <v>7.83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7794.73</v>
      </c>
      <c r="C28" s="25" t="n">
        <v>8.130000000000001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8502.200000000001</v>
      </c>
      <c r="C29" s="25" t="n">
        <v>8.279999999999999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8385.799999999999</v>
      </c>
      <c r="C30" s="25" t="n">
        <v>7.2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9179.959999999999</v>
      </c>
      <c r="C31" s="25" t="n">
        <v>7.89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8882.4</v>
      </c>
      <c r="C32" s="25" t="n">
        <v>7.27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9988.459999999999</v>
      </c>
      <c r="C33" s="25" t="n">
        <v>7.47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11364.37</v>
      </c>
      <c r="C34" s="25" t="n">
        <v>9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12254.01</v>
      </c>
      <c r="C35" s="25" t="n">
        <v>9.56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12625.95</v>
      </c>
      <c r="C36" s="25" t="n">
        <v>10.05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12693.2</v>
      </c>
      <c r="C37" s="25" t="n">
        <v>10.11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14047.15</v>
      </c>
      <c r="C38" s="25" t="n">
        <v>11.75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14192.83</v>
      </c>
      <c r="C39" s="25" t="n">
        <v>11.68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14734.18</v>
      </c>
      <c r="C40" s="25" t="n">
        <v>11.8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15616.3</v>
      </c>
      <c r="C41" s="25" t="n">
        <v>12.97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15431.09</v>
      </c>
      <c r="C42" s="25" t="n">
        <v>13.09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15537.35</v>
      </c>
      <c r="C43" s="25" t="n">
        <v>13.19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14363.78</v>
      </c>
      <c r="C44" s="25" t="n">
        <v>12.64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14251.85</v>
      </c>
      <c r="C45" s="25" t="n">
        <v>12.21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13481.1</v>
      </c>
      <c r="C46" s="25" t="n">
        <v>10.81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13182.25</v>
      </c>
      <c r="C47" s="25" t="n">
        <v>10.65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12010.65</v>
      </c>
      <c r="C48" s="25" t="n">
        <v>9.359999999999999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13302.85</v>
      </c>
      <c r="C49" s="25" t="n">
        <v>10.37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13437.85</v>
      </c>
      <c r="C50" s="25" t="n">
        <v>10.49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13826.25</v>
      </c>
      <c r="C51" s="25" t="n">
        <v>10.7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14365.4</v>
      </c>
      <c r="C52" s="25" t="n">
        <v>11.01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13860.6</v>
      </c>
      <c r="C53" s="25" t="n">
        <v>10.68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13571.75</v>
      </c>
      <c r="C54" s="25" t="n">
        <v>10.06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14456.3</v>
      </c>
      <c r="C55" s="25" t="n">
        <v>10.12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15138.4</v>
      </c>
      <c r="C56" s="25" t="n">
        <v>10.38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14978.45</v>
      </c>
      <c r="C57" s="25" t="n">
        <v>9.92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15534.2</v>
      </c>
      <c r="C58" s="25" t="n">
        <v>9.789999999999999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15969.9</v>
      </c>
      <c r="C59" s="25" t="n">
        <v>9.94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16854.05</v>
      </c>
      <c r="C60" s="25" t="n">
        <v>10.42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14937.7</v>
      </c>
      <c r="C61" s="25" t="n">
        <v>9.23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16554.2</v>
      </c>
      <c r="C62" s="25" t="n">
        <v>10.15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16576.7</v>
      </c>
      <c r="C63" s="25" t="n">
        <v>10.8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16116.95</v>
      </c>
      <c r="C64" s="25" t="n">
        <v>9.83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16147.85</v>
      </c>
      <c r="C65" s="25" t="n">
        <v>10.48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16005.15</v>
      </c>
      <c r="C66" s="25" t="n">
        <v>10.42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15228.4</v>
      </c>
      <c r="C67" s="25" t="n">
        <v>9.92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14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43465</v>
      </c>
      <c r="B2" s="24" t="n">
        <v>4358.52</v>
      </c>
      <c r="C2" s="25" t="n">
        <v>14.18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IF(C2="","",(COUNTIFS($D$2:$D$33,D2,$C$2:$C$33,"&gt;0",$C$2:$C$33,"&lt;"&amp;C2)+(COUNTIFS($D$2:$D$33,D2,$C$2:$C$33,C2)+1)/2)/COUNTIFS($D$2:$D$33,D2,$C$2:$C$33,"&gt;0"))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 t="n"/>
    </row>
    <row r="3">
      <c r="A3" s="31" t="n">
        <v>43555</v>
      </c>
      <c r="B3" s="24" t="n">
        <v>4561.25</v>
      </c>
      <c r="C3" s="25" t="n">
        <v>14.33</v>
      </c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IF(C3="","",(COUNTIFS($D$2:$D$33,D3,$C$2:$C$33,"&gt;0",$C$2:$C$33,"&lt;"&amp;C3)+(COUNTIFS($D$2:$D$33,D3,$C$2:$C$33,C3)+1)/2)/COUNTIFS($D$2:$D$33,D3,$C$2:$C$33,"&gt;0"))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 t="n"/>
    </row>
    <row r="4">
      <c r="A4" s="31" t="n">
        <v>43646</v>
      </c>
      <c r="B4" s="24" t="n">
        <v>4336.29</v>
      </c>
      <c r="C4" s="25" t="n">
        <v>10.03</v>
      </c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IF(C4="","",(COUNTIFS($D$2:$D$33,D4,$C$2:$C$33,"&gt;0",$C$2:$C$33,"&lt;"&amp;C4)+(COUNTIFS($D$2:$D$33,D4,$C$2:$C$33,C4)+1)/2)/COUNTIFS($D$2:$D$33,D4,$C$2:$C$33,"&gt;0"))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 t="n"/>
    </row>
    <row r="5">
      <c r="A5" s="31" t="n">
        <v>43738</v>
      </c>
      <c r="B5" s="24" t="n">
        <v>3469.49</v>
      </c>
      <c r="C5" s="25" t="n">
        <v>10.88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IF(C5="","",(COUNTIFS($D$2:$D$33,D5,$C$2:$C$33,"&gt;0",$C$2:$C$33,"&lt;"&amp;C5)+(COUNTIFS($D$2:$D$33,D5,$C$2:$C$33,C5)+1)/2)/COUNTIFS($D$2:$D$33,D5,$C$2:$C$33,"&gt;0"))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 t="n"/>
    </row>
    <row r="6">
      <c r="A6" s="31" t="n">
        <v>43830</v>
      </c>
      <c r="B6" s="24" t="n">
        <v>3678.14</v>
      </c>
      <c r="C6" s="25" t="n">
        <v>9.48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IF(C6="","",(COUNTIFS($D$2:$D$33,D6,$C$2:$C$33,"&gt;0",$C$2:$C$33,"&lt;"&amp;C6)+(COUNTIFS($D$2:$D$33,D6,$C$2:$C$33,C6)+1)/2)/COUNTIFS($D$2:$D$33,D6,$C$2:$C$33,"&gt;0"))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 t="n"/>
    </row>
    <row r="7">
      <c r="A7" s="31" t="n">
        <v>43921</v>
      </c>
      <c r="B7" s="24" t="n">
        <v>2299.01</v>
      </c>
      <c r="C7" s="25" t="n">
        <v>5.88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IF(C7="","",(COUNTIFS($D$2:$D$33,D7,$C$2:$C$33,"&gt;0",$C$2:$C$33,"&lt;"&amp;C7)+(COUNTIFS($D$2:$D$33,D7,$C$2:$C$33,C7)+1)/2)/COUNTIFS($D$2:$D$33,D7,$C$2:$C$33,"&gt;0"))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 t="n"/>
    </row>
    <row r="8">
      <c r="A8" s="31" t="n">
        <v>44012</v>
      </c>
      <c r="B8" s="24" t="n">
        <v>2912.74</v>
      </c>
      <c r="C8" s="25" t="n">
        <v>10.29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IF(C8="","",(COUNTIFS($D$2:$D$33,D8,$C$2:$C$33,"&gt;0",$C$2:$C$33,"&lt;"&amp;C8)+(COUNTIFS($D$2:$D$33,D8,$C$2:$C$33,C8)+1)/2)/COUNTIFS($D$2:$D$33,D8,$C$2:$C$33,"&gt;0"))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 t="n"/>
    </row>
    <row r="9">
      <c r="A9" s="31" t="n">
        <v>44104</v>
      </c>
      <c r="B9" s="24" t="n">
        <v>2979.26</v>
      </c>
      <c r="C9" s="25" t="n">
        <v>10.8</v>
      </c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IF(C9="","",(COUNTIFS($D$2:$D$33,D9,$C$2:$C$33,"&gt;0",$C$2:$C$33,"&lt;"&amp;C9)+(COUNTIFS($D$2:$D$33,D9,$C$2:$C$33,C9)+1)/2)/COUNTIFS($D$2:$D$33,D9,$C$2:$C$33,"&gt;0"))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 t="n"/>
    </row>
    <row r="10">
      <c r="A10" s="31" t="n">
        <v>44196</v>
      </c>
      <c r="B10" s="24" t="n">
        <v>3911.12</v>
      </c>
      <c r="C10" s="25" t="n">
        <v>13.6</v>
      </c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IF(C10="","",(COUNTIFS($D$2:$D$33,D10,$C$2:$C$33,"&gt;0",$C$2:$C$33,"&lt;"&amp;C10)+(COUNTIFS($D$2:$D$33,D10,$C$2:$C$33,C10)+1)/2)/COUNTIFS($D$2:$D$33,D10,$C$2:$C$33,"&gt;0"))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 t="n"/>
    </row>
    <row r="11">
      <c r="A11" s="31" t="n">
        <v>44286</v>
      </c>
      <c r="B11" s="24" t="n">
        <v>4705.55</v>
      </c>
      <c r="C11" s="25" t="n">
        <v>13.35</v>
      </c>
      <c r="D11" s="2" t="inlineStr">
        <is>
          <t>Consolidated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IF(C11="","",(COUNTIFS($D$2:$D$33,D11,$C$2:$C$33,"&gt;0",$C$2:$C$33,"&lt;"&amp;C11)+(COUNTIFS($D$2:$D$33,D11,$C$2:$C$33,C11)+1)/2)/COUNTIFS($D$2:$D$33,D11,$C$2:$C$33,"&gt;0"))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 t="n"/>
    </row>
    <row r="12">
      <c r="A12" s="31" t="n">
        <v>44377</v>
      </c>
      <c r="B12" s="24" t="n">
        <v>5544.28</v>
      </c>
      <c r="C12" s="25" t="n">
        <v>9.26</v>
      </c>
      <c r="D12" s="2" t="inlineStr">
        <is>
          <t>Consolidated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IF(C12="","",(COUNTIFS($D$2:$D$33,D12,$C$2:$C$33,"&gt;0",$C$2:$C$33,"&lt;"&amp;C12)+(COUNTIFS($D$2:$D$33,D12,$C$2:$C$33,C12)+1)/2)/COUNTIFS($D$2:$D$33,D12,$C$2:$C$33,"&gt;0"))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 t="n"/>
    </row>
    <row r="13">
      <c r="A13" s="31" t="n">
        <v>44469</v>
      </c>
      <c r="B13" s="24" t="n">
        <v>6117.47</v>
      </c>
      <c r="C13" s="25" t="n">
        <v>8.52</v>
      </c>
      <c r="D13" s="2" t="inlineStr">
        <is>
          <t>Consolidated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IF(C13="","",(COUNTIFS($D$2:$D$33,D13,$C$2:$C$33,"&gt;0",$C$2:$C$33,"&lt;"&amp;C13)+(COUNTIFS($D$2:$D$33,D13,$C$2:$C$33,C13)+1)/2)/COUNTIFS($D$2:$D$33,D13,$C$2:$C$33,"&gt;0"))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 t="n"/>
    </row>
    <row r="14">
      <c r="A14" s="31" t="n">
        <v>44561</v>
      </c>
      <c r="B14" s="24" t="n">
        <v>5934.66</v>
      </c>
      <c r="C14" s="25" t="n">
        <v>5.8</v>
      </c>
      <c r="D14" s="2" t="inlineStr">
        <is>
          <t>Consolidated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IF(C14="","",(COUNTIFS($D$2:$D$33,D14,$C$2:$C$33,"&gt;0",$C$2:$C$33,"&lt;"&amp;C14)+(COUNTIFS($D$2:$D$33,D14,$C$2:$C$33,C14)+1)/2)/COUNTIFS($D$2:$D$33,D14,$C$2:$C$33,"&gt;0"))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 t="n"/>
      <c r="L14" s="30" t="n"/>
    </row>
    <row r="15">
      <c r="A15" s="31" t="n">
        <v>44651</v>
      </c>
      <c r="B15" s="24" t="n">
        <v>6340.31</v>
      </c>
      <c r="C15" s="25" t="n">
        <v>5.75</v>
      </c>
      <c r="D15" s="2" t="inlineStr">
        <is>
          <t>Consolidated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IF(C15="","",(COUNTIFS($D$2:$D$33,D15,$C$2:$C$33,"&gt;0",$C$2:$C$33,"&lt;"&amp;C15)+(COUNTIFS($D$2:$D$33,D15,$C$2:$C$33,C15)+1)/2)/COUNTIFS($D$2:$D$33,D15,$C$2:$C$33,"&gt;0"))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 t="n"/>
      <c r="L15" s="30" t="n"/>
    </row>
    <row r="16">
      <c r="A16" s="31" t="n">
        <v>44742</v>
      </c>
      <c r="B16" s="24" t="n">
        <v>5541.62</v>
      </c>
      <c r="C16" s="25" t="n">
        <v>5</v>
      </c>
      <c r="D16" s="2" t="inlineStr">
        <is>
          <t>Consolidated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IF(C16="","",(COUNTIFS($D$2:$D$33,D16,$C$2:$C$33,"&gt;0",$C$2:$C$33,"&lt;"&amp;C16)+(COUNTIFS($D$2:$D$33,D16,$C$2:$C$33,C16)+1)/2)/COUNTIFS($D$2:$D$33,D16,$C$2:$C$33,"&gt;0"))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 t="n"/>
      <c r="L16" s="30" t="n"/>
    </row>
    <row r="17">
      <c r="A17" s="31" t="n">
        <v>44834</v>
      </c>
      <c r="B17" s="24" t="n">
        <v>6034.29</v>
      </c>
      <c r="C17" s="25" t="n">
        <v>5.91</v>
      </c>
      <c r="D17" s="2" t="inlineStr">
        <is>
          <t>Consolidated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IF(C17="","",(COUNTIFS($D$2:$D$33,D17,$C$2:$C$33,"&gt;0",$C$2:$C$33,"&lt;"&amp;C17)+(COUNTIFS($D$2:$D$33,D17,$C$2:$C$33,C17)+1)/2)/COUNTIFS($D$2:$D$33,D17,$C$2:$C$33,"&gt;0"))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 t="n"/>
      <c r="L17" s="30" t="n"/>
    </row>
    <row r="18">
      <c r="A18" s="31" t="n">
        <v>44926</v>
      </c>
      <c r="B18" s="24" t="n">
        <v>7058.28</v>
      </c>
      <c r="C18" s="25" t="n">
        <v>7.14</v>
      </c>
      <c r="D18" s="2" t="inlineStr">
        <is>
          <t>Consolidated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IF(C18="","",(COUNTIFS($D$2:$D$33,D18,$C$2:$C$33,"&gt;0",$C$2:$C$33,"&lt;"&amp;C18)+(COUNTIFS($D$2:$D$33,D18,$C$2:$C$33,C18)+1)/2)/COUNTIFS($D$2:$D$33,D18,$C$2:$C$33,"&gt;0"))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 t="n"/>
      <c r="L18" s="30" t="n"/>
    </row>
    <row r="19">
      <c r="A19" s="31" t="n">
        <v>45016</v>
      </c>
      <c r="B19" s="24" t="n">
        <v>6887.29</v>
      </c>
      <c r="C19" s="25" t="n">
        <v>7.34</v>
      </c>
      <c r="D19" s="2" t="inlineStr">
        <is>
          <t>Consolidated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IF(C19="","",(COUNTIFS($D$2:$D$33,D19,$C$2:$C$33,"&gt;0",$C$2:$C$33,"&lt;"&amp;C19)+(COUNTIFS($D$2:$D$33,D19,$C$2:$C$33,C19)+1)/2)/COUNTIFS($D$2:$D$33,D19,$C$2:$C$33,"&gt;0"))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 t="n"/>
      <c r="L19" s="30" t="n"/>
    </row>
    <row r="20">
      <c r="A20" s="31" t="n">
        <v>45107</v>
      </c>
      <c r="B20" s="24" t="n">
        <v>7794.73</v>
      </c>
      <c r="C20" s="25" t="n">
        <v>8.130000000000001</v>
      </c>
      <c r="D20" s="2" t="inlineStr">
        <is>
          <t>Consolidated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IF(C20="","",(COUNTIFS($D$2:$D$33,D20,$C$2:$C$33,"&gt;0",$C$2:$C$33,"&lt;"&amp;C20)+(COUNTIFS($D$2:$D$33,D20,$C$2:$C$33,C20)+1)/2)/COUNTIFS($D$2:$D$33,D20,$C$2:$C$33,"&gt;0"))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 t="n"/>
      <c r="L20" s="30" t="n"/>
    </row>
    <row r="21">
      <c r="A21" s="31" t="n">
        <v>45199</v>
      </c>
      <c r="B21" s="24" t="n">
        <v>9179.959999999999</v>
      </c>
      <c r="C21" s="25" t="n">
        <v>7.89</v>
      </c>
      <c r="D21" s="2" t="inlineStr">
        <is>
          <t>Consolidated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IF(C21="","",(COUNTIFS($D$2:$D$33,D21,$C$2:$C$33,"&gt;0",$C$2:$C$33,"&lt;"&amp;C21)+(COUNTIFS($D$2:$D$33,D21,$C$2:$C$33,C21)+1)/2)/COUNTIFS($D$2:$D$33,D21,$C$2:$C$33,"&gt;0"))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 t="n"/>
      <c r="L21" s="30" t="n"/>
    </row>
    <row r="22">
      <c r="A22" s="31" t="n">
        <v>45291</v>
      </c>
      <c r="B22" s="24" t="n">
        <v>11364.37</v>
      </c>
      <c r="C22" s="25" t="n">
        <v>9</v>
      </c>
      <c r="D22" s="2" t="inlineStr">
        <is>
          <t>Consolidated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IF(C22="","",(COUNTIFS($D$2:$D$33,D22,$C$2:$C$33,"&gt;0",$C$2:$C$33,"&lt;"&amp;C22)+(COUNTIFS($D$2:$D$33,D22,$C$2:$C$33,C22)+1)/2)/COUNTIFS($D$2:$D$33,D22,$C$2:$C$33,"&gt;0"))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 t="n"/>
      <c r="K22" s="30" t="n"/>
      <c r="L22" s="30" t="n"/>
    </row>
    <row r="23">
      <c r="A23" s="31" t="n">
        <v>45382</v>
      </c>
      <c r="B23" s="24" t="n">
        <v>12693.2</v>
      </c>
      <c r="C23" s="25" t="n">
        <v>10.11</v>
      </c>
      <c r="D23" s="2" t="inlineStr">
        <is>
          <t>Consolidated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IF(C23="","",(COUNTIFS($D$2:$D$33,D23,$C$2:$C$33,"&gt;0",$C$2:$C$33,"&lt;"&amp;C23)+(COUNTIFS($D$2:$D$33,D23,$C$2:$C$33,C23)+1)/2)/COUNTIFS($D$2:$D$33,D23,$C$2:$C$33,"&gt;0"))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 t="n"/>
      <c r="K23" s="30" t="n"/>
      <c r="L23" s="30" t="n"/>
    </row>
    <row r="24">
      <c r="A24" s="31" t="n">
        <v>45473</v>
      </c>
      <c r="B24" s="24" t="n">
        <v>14734.18</v>
      </c>
      <c r="C24" s="25" t="n">
        <v>11.8</v>
      </c>
      <c r="D24" s="2" t="inlineStr">
        <is>
          <t>Consolidated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IF(C24="","",(COUNTIFS($D$2:$D$33,D24,$C$2:$C$33,"&gt;0",$C$2:$C$33,"&lt;"&amp;C24)+(COUNTIFS($D$2:$D$33,D24,$C$2:$C$33,C24)+1)/2)/COUNTIFS($D$2:$D$33,D24,$C$2:$C$33,"&gt;0"))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 t="n"/>
      <c r="K24" s="30" t="n"/>
      <c r="L24" s="30" t="n"/>
    </row>
    <row r="25">
      <c r="A25" s="31" t="n">
        <v>45565</v>
      </c>
      <c r="B25" s="24" t="n">
        <v>15537.35</v>
      </c>
      <c r="C25" s="25" t="n">
        <v>13.19</v>
      </c>
      <c r="D25" s="2" t="inlineStr">
        <is>
          <t>Consolidated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IF(C25="","",(COUNTIFS($D$2:$D$33,D25,$C$2:$C$33,"&gt;0",$C$2:$C$33,"&lt;"&amp;C25)+(COUNTIFS($D$2:$D$33,D25,$C$2:$C$33,C25)+1)/2)/COUNTIFS($D$2:$D$33,D25,$C$2:$C$33,"&gt;0"))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 t="n"/>
      <c r="K25" s="30" t="n"/>
      <c r="L25" s="30" t="n"/>
    </row>
    <row r="26">
      <c r="A26" s="31" t="n">
        <v>45657</v>
      </c>
      <c r="B26" s="24" t="n">
        <v>13481.1</v>
      </c>
      <c r="C26" s="25" t="n">
        <v>10.81</v>
      </c>
      <c r="D26" s="2" t="inlineStr">
        <is>
          <t>Consolidated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IF(C26="","",(COUNTIFS($D$2:$D$33,D26,$C$2:$C$33,"&gt;0",$C$2:$C$33,"&lt;"&amp;C26)+(COUNTIFS($D$2:$D$33,D26,$C$2:$C$33,C26)+1)/2)/COUNTIFS($D$2:$D$33,D26,$C$2:$C$33,"&gt;0"))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 t="n"/>
      <c r="K26" s="30" t="n"/>
      <c r="L26" s="30" t="n"/>
    </row>
    <row r="27">
      <c r="A27" s="31" t="n">
        <v>45747</v>
      </c>
      <c r="B27" s="24" t="n">
        <v>13302.85</v>
      </c>
      <c r="C27" s="25" t="n">
        <v>10.37</v>
      </c>
      <c r="D27" s="2" t="inlineStr">
        <is>
          <t>Consolidated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IF(C27="","",(COUNTIFS($D$2:$D$33,D27,$C$2:$C$33,"&gt;0",$C$2:$C$33,"&lt;"&amp;C27)+(COUNTIFS($D$2:$D$33,D27,$C$2:$C$33,C27)+1)/2)/COUNTIFS($D$2:$D$33,D27,$C$2:$C$33,"&gt;0"))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 t="n"/>
      <c r="K27" s="30" t="n"/>
      <c r="L27" s="30" t="n"/>
    </row>
    <row r="28">
      <c r="A28" s="31" t="n">
        <v>45838</v>
      </c>
      <c r="B28" s="24" t="n">
        <v>14365.4</v>
      </c>
      <c r="C28" s="25" t="n">
        <v>11.01</v>
      </c>
      <c r="D28" s="2" t="inlineStr">
        <is>
          <t>Consolidated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IF(C28="","",(COUNTIFS($D$2:$D$33,D28,$C$2:$C$33,"&gt;0",$C$2:$C$33,"&lt;"&amp;C28)+(COUNTIFS($D$2:$D$33,D28,$C$2:$C$33,C28)+1)/2)/COUNTIFS($D$2:$D$33,D28,$C$2:$C$33,"&gt;0"))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 t="n"/>
      <c r="K28" s="30" t="n"/>
      <c r="L28" s="30" t="n"/>
    </row>
    <row r="29">
      <c r="A29" s="31" t="n">
        <v>45930</v>
      </c>
      <c r="B29" s="24" t="n">
        <v>14456.3</v>
      </c>
      <c r="C29" s="25" t="n">
        <v>10.12</v>
      </c>
      <c r="D29" s="2" t="inlineStr">
        <is>
          <t>Consolidated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IF(C29="","",(COUNTIFS($D$2:$D$33,D29,$C$2:$C$33,"&gt;0",$C$2:$C$33,"&lt;"&amp;C29)+(COUNTIFS($D$2:$D$33,D29,$C$2:$C$33,C29)+1)/2)/COUNTIFS($D$2:$D$33,D29,$C$2:$C$33,"&gt;0"))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 t="n"/>
      <c r="K29" s="30" t="n"/>
      <c r="L29" s="30" t="n"/>
    </row>
    <row r="30">
      <c r="A30" s="31" t="n">
        <v>46022</v>
      </c>
      <c r="B30" s="24" t="n">
        <v>15534.2</v>
      </c>
      <c r="C30" s="25" t="n">
        <v>9.789999999999999</v>
      </c>
      <c r="D30" s="2" t="inlineStr">
        <is>
          <t>Consolidated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IF(C30="","",(COUNTIFS($D$2:$D$33,D30,$C$2:$C$33,"&gt;0",$C$2:$C$33,"&lt;"&amp;C30)+(COUNTIFS($D$2:$D$33,D30,$C$2:$C$33,C30)+1)/2)/COUNTIFS($D$2:$D$33,D30,$C$2:$C$33,"&gt;0"))</f>
        <v/>
      </c>
      <c r="H30">
        <f>IF(G30="","",IF(G30&lt;=20%,"Q1 Cheapest",IF(G30&lt;=40%,"Q2",IF(G30&lt;=60%,"Q3",IF(G30&lt;=80%,"Q4","Q5 Most Expensive")))))</f>
        <v/>
      </c>
      <c r="I30" s="30" t="n"/>
      <c r="J30" s="30" t="n"/>
      <c r="K30" s="30" t="n"/>
      <c r="L30" s="30" t="n"/>
    </row>
    <row r="31">
      <c r="A31" s="31" t="n">
        <v>46112</v>
      </c>
      <c r="B31" s="24" t="n">
        <v>14937.7</v>
      </c>
      <c r="C31" s="25" t="n">
        <v>9.23</v>
      </c>
      <c r="D31" s="2" t="inlineStr">
        <is>
          <t>Consolidated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IF(C31="","",(COUNTIFS($D$2:$D$33,D31,$C$2:$C$33,"&gt;0",$C$2:$C$33,"&lt;"&amp;C31)+(COUNTIFS($D$2:$D$33,D31,$C$2:$C$33,C31)+1)/2)/COUNTIFS($D$2:$D$33,D31,$C$2:$C$33,"&gt;0"))</f>
        <v/>
      </c>
      <c r="H31">
        <f>IF(G31="","",IF(G31&lt;=20%,"Q1 Cheapest",IF(G31&lt;=40%,"Q2",IF(G31&lt;=60%,"Q3",IF(G31&lt;=80%,"Q4","Q5 Most Expensive")))))</f>
        <v/>
      </c>
      <c r="I31" s="30" t="n"/>
      <c r="J31" s="30" t="n"/>
      <c r="K31" s="30" t="n"/>
      <c r="L31" s="30" t="n"/>
    </row>
    <row r="32">
      <c r="A32" s="31" t="n">
        <v>46203</v>
      </c>
      <c r="B32" s="24" t="n">
        <v>16116.95</v>
      </c>
      <c r="C32" s="25" t="n">
        <v>9.83</v>
      </c>
      <c r="D32" s="2" t="inlineStr">
        <is>
          <t>Consolidated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IF(C32="","",(COUNTIFS($D$2:$D$33,D32,$C$2:$C$33,"&gt;0",$C$2:$C$33,"&lt;"&amp;C32)+(COUNTIFS($D$2:$D$33,D32,$C$2:$C$33,C32)+1)/2)/COUNTIFS($D$2:$D$33,D32,$C$2:$C$33,"&gt;0"))</f>
        <v/>
      </c>
      <c r="H32">
        <f>IF(G32="","",IF(G32&lt;=20%,"Q1 Cheapest",IF(G32&lt;=40%,"Q2",IF(G32&lt;=60%,"Q3",IF(G32&lt;=80%,"Q4","Q5 Most Expensive")))))</f>
        <v/>
      </c>
      <c r="I32" s="30" t="n"/>
      <c r="J32" s="30" t="n"/>
      <c r="K32" s="30" t="n"/>
      <c r="L32" s="30" t="n"/>
    </row>
    <row r="33">
      <c r="A33" s="31" t="n">
        <v>46295</v>
      </c>
      <c r="B33" s="24" t="n">
        <v>15228.4</v>
      </c>
      <c r="C33" s="25" t="n">
        <v>9.92</v>
      </c>
      <c r="D33" s="2" t="inlineStr">
        <is>
          <t>Consolidated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IF(C33="","",(COUNTIFS($D$2:$D$33,D33,$C$2:$C$33,"&gt;0",$C$2:$C$33,"&lt;"&amp;C33)+(COUNTIFS($D$2:$D$33,D33,$C$2:$C$33,C33)+1)/2)/COUNTIFS($D$2:$D$33,D33,$C$2:$C$33,"&gt;0"))</f>
        <v/>
      </c>
      <c r="H33">
        <f>IF(G33="","",IF(G33&lt;=20%,"Q1 Cheapest",IF(G33&lt;=40%,"Q2",IF(G33&lt;=60%,"Q3",IF(G33&lt;=80%,"Q4","Q5 Most Expensive")))))</f>
        <v/>
      </c>
      <c r="I33" s="30" t="n"/>
      <c r="J33" s="30" t="n"/>
      <c r="K33" s="30" t="n"/>
      <c r="L33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17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46295</v>
      </c>
      <c r="B2" s="24" t="n">
        <v>15228.4</v>
      </c>
      <c r="C2" s="25" t="n">
        <v>9.92</v>
      </c>
      <c r="D2" s="26" t="n">
        <v>0.559701492537</v>
      </c>
      <c r="E2" s="26" t="n">
        <v>0.0746473297834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46296</v>
      </c>
      <c r="B3" s="24" t="n">
        <v>14984.2</v>
      </c>
      <c r="C3" s="25" t="n">
        <v>9.76</v>
      </c>
      <c r="D3" s="26" t="n">
        <v>0.514925373134</v>
      </c>
      <c r="E3" s="26" t="n">
        <v>0.0748421422028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46300</v>
      </c>
      <c r="B4" s="24" t="n">
        <v>15094.15</v>
      </c>
      <c r="C4" s="25" t="n">
        <v>9.83</v>
      </c>
      <c r="D4" s="26" t="n">
        <v>0.537313432836</v>
      </c>
      <c r="E4" s="26" t="n">
        <v>0.0745782638024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46301</v>
      </c>
      <c r="B5" s="24" t="n">
        <v>15131.8</v>
      </c>
      <c r="C5" s="25" t="n">
        <v>9.85</v>
      </c>
      <c r="D5" s="26" t="n">
        <v>0.544776119403</v>
      </c>
      <c r="E5" s="26" t="n">
        <v>0.0754424645938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46302</v>
      </c>
      <c r="B6" s="24" t="n">
        <v>15004.45</v>
      </c>
      <c r="C6" s="25" t="n">
        <v>9.77</v>
      </c>
      <c r="D6" s="26" t="n">
        <v>0.514925373134</v>
      </c>
      <c r="E6" s="26" t="n">
        <v>0.07546681008599999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46303</v>
      </c>
      <c r="B7" s="24" t="n">
        <v>14673.95</v>
      </c>
      <c r="C7" s="25" t="n">
        <v>9.56</v>
      </c>
      <c r="D7" s="26" t="n">
        <v>0.507462686567</v>
      </c>
      <c r="E7" s="26" t="n">
        <v>0.0749460143029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46304</v>
      </c>
      <c r="B8" s="24" t="n">
        <v>14867.5</v>
      </c>
      <c r="C8" s="25" t="n">
        <v>9.68</v>
      </c>
      <c r="D8" s="26" t="n">
        <v>0.514925373134</v>
      </c>
      <c r="E8" s="26" t="n">
        <v>0.07518583148419999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46307</v>
      </c>
      <c r="B9" s="24" t="n">
        <v>14842.8</v>
      </c>
      <c r="C9" s="25" t="n">
        <v>9.67</v>
      </c>
      <c r="D9" s="26" t="n">
        <v>0.514925373134</v>
      </c>
      <c r="E9" s="26" t="n">
        <v>0.07425734246600001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46308</v>
      </c>
      <c r="B10" s="24" t="n">
        <v>14969.15</v>
      </c>
      <c r="C10" s="25" t="n">
        <v>9.75</v>
      </c>
      <c r="D10" s="26" t="n">
        <v>0.514925373134</v>
      </c>
      <c r="E10" s="26" t="n">
        <v>0.0743469389044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46309</v>
      </c>
      <c r="B11" s="24" t="n">
        <v>14975.05</v>
      </c>
      <c r="C11" s="25" t="n">
        <v>9.75</v>
      </c>
      <c r="D11" s="26" t="n">
        <v>0.514925373134</v>
      </c>
      <c r="E11" s="26" t="n">
        <v>0.0747068984129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39" customWidth="1" min="2" max="2"/>
    <col width="12" customWidth="1" min="3" max="3"/>
    <col width="35" customWidth="1" min="4" max="4"/>
    <col width="15" customWidth="1" min="5" max="5"/>
  </cols>
  <sheetData>
    <row r="1">
      <c r="A1" s="35" t="inlineStr">
        <is>
          <t>Nifty500 Value 50 Composition</t>
        </is>
      </c>
    </row>
    <row r="2">
      <c r="A2" s="2" t="inlineStr">
        <is>
          <t>As of</t>
        </is>
      </c>
      <c r="B2" s="4" t="inlineStr">
        <is>
          <t>Retrieved 2026-10-14</t>
        </is>
      </c>
      <c r="D2" s="2" t="inlineStr">
        <is>
          <t>Weight coverage</t>
        </is>
      </c>
      <c r="E2" s="4" t="inlineStr">
        <is>
          <t>Not published</t>
        </is>
      </c>
    </row>
    <row r="3">
      <c r="A3" s="2" t="inlineStr">
        <is>
          <t>Source</t>
        </is>
      </c>
      <c r="B3" s="17" t="inlineStr">
        <is>
          <t>NSE Indices — Index Constituent CSV</t>
        </is>
      </c>
      <c r="D3" s="2" t="inlineStr">
        <is>
          <t>Top 10 weight</t>
        </is>
      </c>
      <c r="E3" s="4" t="inlineStr">
        <is>
          <t>Not published</t>
        </is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Aster DM Quality Care Ltd.</t>
        </is>
      </c>
      <c r="C6" t="inlineStr">
        <is>
          <t>ASTERDM</t>
        </is>
      </c>
      <c r="D6" t="inlineStr">
        <is>
          <t>Healthcare</t>
        </is>
      </c>
    </row>
    <row r="7">
      <c r="A7" t="n">
        <v>2</v>
      </c>
      <c r="B7" t="inlineStr">
        <is>
          <t>AWL Agri Business Ltd.</t>
        </is>
      </c>
      <c r="C7" t="inlineStr">
        <is>
          <t>AWL</t>
        </is>
      </c>
      <c r="D7" t="inlineStr">
        <is>
          <t>Fast Moving Consumer Goods</t>
        </is>
      </c>
    </row>
    <row r="8">
      <c r="A8" t="n">
        <v>3</v>
      </c>
      <c r="B8" t="inlineStr">
        <is>
          <t>Bandhan Bank Ltd.</t>
        </is>
      </c>
      <c r="C8" t="inlineStr">
        <is>
          <t>BANDHANBNK</t>
        </is>
      </c>
      <c r="D8" t="inlineStr">
        <is>
          <t>Financial Services</t>
        </is>
      </c>
    </row>
    <row r="9">
      <c r="A9" t="n">
        <v>4</v>
      </c>
      <c r="B9" t="inlineStr">
        <is>
          <t>Bank of Baroda</t>
        </is>
      </c>
      <c r="C9" t="inlineStr">
        <is>
          <t>BANKBARODA</t>
        </is>
      </c>
      <c r="D9" t="inlineStr">
        <is>
          <t>Financial Services</t>
        </is>
      </c>
    </row>
    <row r="10">
      <c r="A10" t="n">
        <v>5</v>
      </c>
      <c r="B10" t="inlineStr">
        <is>
          <t>Bank of India</t>
        </is>
      </c>
      <c r="C10" t="inlineStr">
        <is>
          <t>BANKINDIA</t>
        </is>
      </c>
      <c r="D10" t="inlineStr">
        <is>
          <t>Financial Services</t>
        </is>
      </c>
    </row>
    <row r="11">
      <c r="A11" t="n">
        <v>6</v>
      </c>
      <c r="B11" t="inlineStr">
        <is>
          <t>Bank of Maharashtra</t>
        </is>
      </c>
      <c r="C11" t="inlineStr">
        <is>
          <t>MAHABANK</t>
        </is>
      </c>
      <c r="D11" t="inlineStr">
        <is>
          <t>Financial Services</t>
        </is>
      </c>
    </row>
    <row r="12">
      <c r="A12" t="n">
        <v>7</v>
      </c>
      <c r="B12" t="inlineStr">
        <is>
          <t>Bharat Petroleum Corporation Ltd.</t>
        </is>
      </c>
      <c r="C12" t="inlineStr">
        <is>
          <t>BPCL</t>
        </is>
      </c>
      <c r="D12" t="inlineStr">
        <is>
          <t>Oil Gas &amp; Consumable Fuels</t>
        </is>
      </c>
    </row>
    <row r="13">
      <c r="A13" t="n">
        <v>8</v>
      </c>
      <c r="B13" t="inlineStr">
        <is>
          <t>Canara Bank</t>
        </is>
      </c>
      <c r="C13" t="inlineStr">
        <is>
          <t>CANBK</t>
        </is>
      </c>
      <c r="D13" t="inlineStr">
        <is>
          <t>Financial Services</t>
        </is>
      </c>
    </row>
    <row r="14">
      <c r="A14" t="n">
        <v>9</v>
      </c>
      <c r="B14" t="inlineStr">
        <is>
          <t>Castrol India Ltd.</t>
        </is>
      </c>
      <c r="C14" t="inlineStr">
        <is>
          <t>CASTROLIND</t>
        </is>
      </c>
      <c r="D14" t="inlineStr">
        <is>
          <t>Oil Gas &amp; Consumable Fuels</t>
        </is>
      </c>
    </row>
    <row r="15">
      <c r="A15" t="n">
        <v>10</v>
      </c>
      <c r="B15" t="inlineStr">
        <is>
          <t>CESC Ltd.</t>
        </is>
      </c>
      <c r="C15" t="inlineStr">
        <is>
          <t>CESC</t>
        </is>
      </c>
      <c r="D15" t="inlineStr">
        <is>
          <t>Power</t>
        </is>
      </c>
    </row>
    <row r="16">
      <c r="A16" t="n">
        <v>11</v>
      </c>
      <c r="B16" t="inlineStr">
        <is>
          <t>Chambal Fertilizers &amp; Chemicals Ltd.</t>
        </is>
      </c>
      <c r="C16" t="inlineStr">
        <is>
          <t>CHAMBLFERT</t>
        </is>
      </c>
      <c r="D16" t="inlineStr">
        <is>
          <t>Chemicals</t>
        </is>
      </c>
    </row>
    <row r="17">
      <c r="A17" t="n">
        <v>12</v>
      </c>
      <c r="B17" t="inlineStr">
        <is>
          <t>Cholamandalam Financial Holdings Ltd.</t>
        </is>
      </c>
      <c r="C17" t="inlineStr">
        <is>
          <t>CHOLAHLDNG</t>
        </is>
      </c>
      <c r="D17" t="inlineStr">
        <is>
          <t>Financial Services</t>
        </is>
      </c>
    </row>
    <row r="18">
      <c r="A18" t="n">
        <v>13</v>
      </c>
      <c r="B18" t="inlineStr">
        <is>
          <t>Coal India Ltd.</t>
        </is>
      </c>
      <c r="C18" t="inlineStr">
        <is>
          <t>COALINDIA</t>
        </is>
      </c>
      <c r="D18" t="inlineStr">
        <is>
          <t>Oil Gas &amp; Consumable Fuels</t>
        </is>
      </c>
    </row>
    <row r="19">
      <c r="A19" t="n">
        <v>14</v>
      </c>
      <c r="B19" t="inlineStr">
        <is>
          <t>Cyient Ltd.</t>
        </is>
      </c>
      <c r="C19" t="inlineStr">
        <is>
          <t>CYIENT</t>
        </is>
      </c>
      <c r="D19" t="inlineStr">
        <is>
          <t>Information Technology</t>
        </is>
      </c>
    </row>
    <row r="20">
      <c r="A20" t="n">
        <v>15</v>
      </c>
      <c r="B20" t="inlineStr">
        <is>
          <t>Federal Bank Ltd.</t>
        </is>
      </c>
      <c r="C20" t="inlineStr">
        <is>
          <t>FEDERALBNK</t>
        </is>
      </c>
      <c r="D20" t="inlineStr">
        <is>
          <t>Financial Services</t>
        </is>
      </c>
    </row>
    <row r="21">
      <c r="A21" t="n">
        <v>16</v>
      </c>
      <c r="B21" t="inlineStr">
        <is>
          <t>GAIL (India) Ltd.</t>
        </is>
      </c>
      <c r="C21" t="inlineStr">
        <is>
          <t>GAIL</t>
        </is>
      </c>
      <c r="D21" t="inlineStr">
        <is>
          <t>Oil Gas &amp; Consumable Fuels</t>
        </is>
      </c>
    </row>
    <row r="22">
      <c r="A22" t="n">
        <v>17</v>
      </c>
      <c r="B22" t="inlineStr">
        <is>
          <t>Grasim Industries Ltd.</t>
        </is>
      </c>
      <c r="C22" t="inlineStr">
        <is>
          <t>GRASIM</t>
        </is>
      </c>
      <c r="D22" t="inlineStr">
        <is>
          <t>Construction Materials</t>
        </is>
      </c>
    </row>
    <row r="23">
      <c r="A23" t="n">
        <v>18</v>
      </c>
      <c r="B23" t="inlineStr">
        <is>
          <t>Great Eastern Shipping Co. Ltd.</t>
        </is>
      </c>
      <c r="C23" t="inlineStr">
        <is>
          <t>GESHIP</t>
        </is>
      </c>
      <c r="D23" t="inlineStr">
        <is>
          <t>Services</t>
        </is>
      </c>
    </row>
    <row r="24">
      <c r="A24" t="n">
        <v>19</v>
      </c>
      <c r="B24" t="inlineStr">
        <is>
          <t>Hindalco Industries Ltd.</t>
        </is>
      </c>
      <c r="C24" t="inlineStr">
        <is>
          <t>HINDALCO</t>
        </is>
      </c>
      <c r="D24" t="inlineStr">
        <is>
          <t>Metals &amp; Mining</t>
        </is>
      </c>
    </row>
    <row r="25">
      <c r="A25" t="n">
        <v>20</v>
      </c>
      <c r="B25" t="inlineStr">
        <is>
          <t>Hindustan Petroleum Corporation Ltd.</t>
        </is>
      </c>
      <c r="C25" t="inlineStr">
        <is>
          <t>HINDPETRO</t>
        </is>
      </c>
      <c r="D25" t="inlineStr">
        <is>
          <t>Oil Gas &amp; Consumable Fuels</t>
        </is>
      </c>
    </row>
    <row r="26">
      <c r="A26" t="n">
        <v>21</v>
      </c>
      <c r="B26" t="inlineStr">
        <is>
          <t>Indian Bank</t>
        </is>
      </c>
      <c r="C26" t="inlineStr">
        <is>
          <t>INDIANB</t>
        </is>
      </c>
      <c r="D26" t="inlineStr">
        <is>
          <t>Financial Services</t>
        </is>
      </c>
    </row>
    <row r="27">
      <c r="A27" t="n">
        <v>22</v>
      </c>
      <c r="B27" t="inlineStr">
        <is>
          <t>Indian Oil Corporation Ltd.</t>
        </is>
      </c>
      <c r="C27" t="inlineStr">
        <is>
          <t>IOC</t>
        </is>
      </c>
      <c r="D27" t="inlineStr">
        <is>
          <t>Oil Gas &amp; Consumable Fuels</t>
        </is>
      </c>
    </row>
    <row r="28">
      <c r="A28" t="n">
        <v>23</v>
      </c>
      <c r="B28" t="inlineStr">
        <is>
          <t>Indraprastha Gas Ltd.</t>
        </is>
      </c>
      <c r="C28" t="inlineStr">
        <is>
          <t>IGL</t>
        </is>
      </c>
      <c r="D28" t="inlineStr">
        <is>
          <t>Oil Gas &amp; Consumable Fuels</t>
        </is>
      </c>
    </row>
    <row r="29">
      <c r="A29" t="n">
        <v>24</v>
      </c>
      <c r="B29" t="inlineStr">
        <is>
          <t>IndusInd Bank Ltd.</t>
        </is>
      </c>
      <c r="C29" t="inlineStr">
        <is>
          <t>INDUSINDBK</t>
        </is>
      </c>
      <c r="D29" t="inlineStr">
        <is>
          <t>Financial Services</t>
        </is>
      </c>
    </row>
    <row r="30">
      <c r="A30" t="n">
        <v>25</v>
      </c>
      <c r="B30" t="inlineStr">
        <is>
          <t>IRB Infrastructure Developers Ltd.</t>
        </is>
      </c>
      <c r="C30" t="inlineStr">
        <is>
          <t>IRB</t>
        </is>
      </c>
      <c r="D30" t="inlineStr">
        <is>
          <t>Construction</t>
        </is>
      </c>
    </row>
    <row r="31">
      <c r="A31" t="n">
        <v>26</v>
      </c>
      <c r="B31" t="inlineStr">
        <is>
          <t>Jaiprakash Power Ventures Ltd.</t>
        </is>
      </c>
      <c r="C31" t="inlineStr">
        <is>
          <t>JPPOWER</t>
        </is>
      </c>
      <c r="D31" t="inlineStr">
        <is>
          <t>Power</t>
        </is>
      </c>
    </row>
    <row r="32">
      <c r="A32" t="n">
        <v>27</v>
      </c>
      <c r="B32" t="inlineStr">
        <is>
          <t>Karur Vysya Bank Ltd.</t>
        </is>
      </c>
      <c r="C32" t="inlineStr">
        <is>
          <t>KARURVYSYA</t>
        </is>
      </c>
      <c r="D32" t="inlineStr">
        <is>
          <t>Financial Services</t>
        </is>
      </c>
    </row>
    <row r="33">
      <c r="A33" t="n">
        <v>28</v>
      </c>
      <c r="B33" t="inlineStr">
        <is>
          <t>LIC Housing Finance Ltd.</t>
        </is>
      </c>
      <c r="C33" t="inlineStr">
        <is>
          <t>LICHSGFIN</t>
        </is>
      </c>
      <c r="D33" t="inlineStr">
        <is>
          <t>Financial Services</t>
        </is>
      </c>
    </row>
    <row r="34">
      <c r="A34" t="n">
        <v>29</v>
      </c>
      <c r="B34" t="inlineStr">
        <is>
          <t>National Aluminium Co. Ltd.</t>
        </is>
      </c>
      <c r="C34" t="inlineStr">
        <is>
          <t>NATIONALUM</t>
        </is>
      </c>
      <c r="D34" t="inlineStr">
        <is>
          <t>Metals &amp; Mining</t>
        </is>
      </c>
    </row>
    <row r="35">
      <c r="A35" t="n">
        <v>30</v>
      </c>
      <c r="B35" t="inlineStr">
        <is>
          <t>NCC Ltd.</t>
        </is>
      </c>
      <c r="C35" t="inlineStr">
        <is>
          <t>NCC</t>
        </is>
      </c>
      <c r="D35" t="inlineStr">
        <is>
          <t>Construction</t>
        </is>
      </c>
    </row>
    <row r="36">
      <c r="A36" t="n">
        <v>31</v>
      </c>
      <c r="B36" t="inlineStr">
        <is>
          <t>NMDC Ltd.</t>
        </is>
      </c>
      <c r="C36" t="inlineStr">
        <is>
          <t>NMDC</t>
        </is>
      </c>
      <c r="D36" t="inlineStr">
        <is>
          <t>Metals &amp; Mining</t>
        </is>
      </c>
    </row>
    <row r="37">
      <c r="A37" t="n">
        <v>32</v>
      </c>
      <c r="B37" t="inlineStr">
        <is>
          <t>NTPC Ltd.</t>
        </is>
      </c>
      <c r="C37" t="inlineStr">
        <is>
          <t>NTPC</t>
        </is>
      </c>
      <c r="D37" t="inlineStr">
        <is>
          <t>Power</t>
        </is>
      </c>
    </row>
    <row r="38">
      <c r="A38" t="n">
        <v>33</v>
      </c>
      <c r="B38" t="inlineStr">
        <is>
          <t>Oil &amp; Natural Gas Corporation Ltd.</t>
        </is>
      </c>
      <c r="C38" t="inlineStr">
        <is>
          <t>ONGC</t>
        </is>
      </c>
      <c r="D38" t="inlineStr">
        <is>
          <t>Oil Gas &amp; Consumable Fuels</t>
        </is>
      </c>
    </row>
    <row r="39">
      <c r="A39" t="n">
        <v>34</v>
      </c>
      <c r="B39" t="inlineStr">
        <is>
          <t>Oil India Ltd.</t>
        </is>
      </c>
      <c r="C39" t="inlineStr">
        <is>
          <t>OIL</t>
        </is>
      </c>
      <c r="D39" t="inlineStr">
        <is>
          <t>Oil Gas &amp; Consumable Fuels</t>
        </is>
      </c>
    </row>
    <row r="40">
      <c r="A40" t="n">
        <v>35</v>
      </c>
      <c r="B40" t="inlineStr">
        <is>
          <t>Petronet LNG Ltd.</t>
        </is>
      </c>
      <c r="C40" t="inlineStr">
        <is>
          <t>PETRONET</t>
        </is>
      </c>
      <c r="D40" t="inlineStr">
        <is>
          <t>Oil Gas &amp; Consumable Fuels</t>
        </is>
      </c>
    </row>
    <row r="41">
      <c r="A41" t="n">
        <v>36</v>
      </c>
      <c r="B41" t="inlineStr">
        <is>
          <t>Power Finance Corporation Ltd.</t>
        </is>
      </c>
      <c r="C41" t="inlineStr">
        <is>
          <t>PFC</t>
        </is>
      </c>
      <c r="D41" t="inlineStr">
        <is>
          <t>Financial Services</t>
        </is>
      </c>
    </row>
    <row r="42">
      <c r="A42" t="n">
        <v>37</v>
      </c>
      <c r="B42" t="inlineStr">
        <is>
          <t>Power Grid Corporation of India Ltd.</t>
        </is>
      </c>
      <c r="C42" t="inlineStr">
        <is>
          <t>POWERGRID</t>
        </is>
      </c>
      <c r="D42" t="inlineStr">
        <is>
          <t>Power</t>
        </is>
      </c>
    </row>
    <row r="43">
      <c r="A43" t="n">
        <v>38</v>
      </c>
      <c r="B43" t="inlineStr">
        <is>
          <t>Punjab National Bank</t>
        </is>
      </c>
      <c r="C43" t="inlineStr">
        <is>
          <t>PNB</t>
        </is>
      </c>
      <c r="D43" t="inlineStr">
        <is>
          <t>Financial Services</t>
        </is>
      </c>
    </row>
    <row r="44">
      <c r="A44" t="n">
        <v>39</v>
      </c>
      <c r="B44" t="inlineStr">
        <is>
          <t>RBL Bank Ltd.</t>
        </is>
      </c>
      <c r="C44" t="inlineStr">
        <is>
          <t>RBLBANK</t>
        </is>
      </c>
      <c r="D44" t="inlineStr">
        <is>
          <t>Financial Services</t>
        </is>
      </c>
    </row>
    <row r="45">
      <c r="A45" t="n">
        <v>40</v>
      </c>
      <c r="B45" t="inlineStr">
        <is>
          <t>REC Ltd.</t>
        </is>
      </c>
      <c r="C45" t="inlineStr">
        <is>
          <t>RECLTD</t>
        </is>
      </c>
      <c r="D45" t="inlineStr">
        <is>
          <t>Financial Services</t>
        </is>
      </c>
    </row>
    <row r="46">
      <c r="A46" t="n">
        <v>41</v>
      </c>
      <c r="B46" t="inlineStr">
        <is>
          <t>Redington Ltd.</t>
        </is>
      </c>
      <c r="C46" t="inlineStr">
        <is>
          <t>REDINGTON</t>
        </is>
      </c>
      <c r="D46" t="inlineStr">
        <is>
          <t>Services</t>
        </is>
      </c>
    </row>
    <row r="47">
      <c r="A47" t="n">
        <v>42</v>
      </c>
      <c r="B47" t="inlineStr">
        <is>
          <t>Reliance Power Ltd.</t>
        </is>
      </c>
      <c r="C47" t="inlineStr">
        <is>
          <t>RPOWER</t>
        </is>
      </c>
      <c r="D47" t="inlineStr">
        <is>
          <t>Power</t>
        </is>
      </c>
    </row>
    <row r="48">
      <c r="A48" t="n">
        <v>43</v>
      </c>
      <c r="B48" t="inlineStr">
        <is>
          <t>State Bank of India</t>
        </is>
      </c>
      <c r="C48" t="inlineStr">
        <is>
          <t>SBIN</t>
        </is>
      </c>
      <c r="D48" t="inlineStr">
        <is>
          <t>Financial Services</t>
        </is>
      </c>
    </row>
    <row r="49">
      <c r="A49" t="n">
        <v>44</v>
      </c>
      <c r="B49" t="inlineStr">
        <is>
          <t>Steel Authority of India Ltd.</t>
        </is>
      </c>
      <c r="C49" t="inlineStr">
        <is>
          <t>SAIL</t>
        </is>
      </c>
      <c r="D49" t="inlineStr">
        <is>
          <t>Metals &amp; Mining</t>
        </is>
      </c>
    </row>
    <row r="50">
      <c r="A50" t="n">
        <v>45</v>
      </c>
      <c r="B50" t="inlineStr">
        <is>
          <t>Tata Chemicals Ltd.</t>
        </is>
      </c>
      <c r="C50" t="inlineStr">
        <is>
          <t>TATACHEM</t>
        </is>
      </c>
      <c r="D50" t="inlineStr">
        <is>
          <t>Chemicals</t>
        </is>
      </c>
    </row>
    <row r="51">
      <c r="A51" t="n">
        <v>46</v>
      </c>
      <c r="B51" t="inlineStr">
        <is>
          <t>Tata Motors Passenger Vehicles Ltd.</t>
        </is>
      </c>
      <c r="C51" t="inlineStr">
        <is>
          <t>TMPV</t>
        </is>
      </c>
      <c r="D51" t="inlineStr">
        <is>
          <t>Automobile and Auto Components</t>
        </is>
      </c>
    </row>
    <row r="52">
      <c r="A52" t="n">
        <v>47</v>
      </c>
      <c r="B52" t="inlineStr">
        <is>
          <t>Union Bank of India</t>
        </is>
      </c>
      <c r="C52" t="inlineStr">
        <is>
          <t>UNIONBANK</t>
        </is>
      </c>
      <c r="D52" t="inlineStr">
        <is>
          <t>Financial Services</t>
        </is>
      </c>
    </row>
    <row r="53">
      <c r="A53" t="n">
        <v>48</v>
      </c>
      <c r="B53" t="inlineStr">
        <is>
          <t>UPL Ltd.</t>
        </is>
      </c>
      <c r="C53" t="inlineStr">
        <is>
          <t>UPL</t>
        </is>
      </c>
      <c r="D53" t="inlineStr">
        <is>
          <t>Chemicals</t>
        </is>
      </c>
    </row>
    <row r="54">
      <c r="A54" t="n">
        <v>49</v>
      </c>
      <c r="B54" t="inlineStr">
        <is>
          <t>Vedanta Ltd.</t>
        </is>
      </c>
      <c r="C54" t="inlineStr">
        <is>
          <t>VEDL</t>
        </is>
      </c>
      <c r="D54" t="inlineStr">
        <is>
          <t>Metals &amp; Mining</t>
        </is>
      </c>
    </row>
    <row r="55">
      <c r="A55" t="n">
        <v>50</v>
      </c>
      <c r="B55" t="inlineStr">
        <is>
          <t>Zee Entertainment Enterprises Ltd.</t>
        </is>
      </c>
      <c r="C55" t="inlineStr">
        <is>
          <t>ZEEL</t>
        </is>
      </c>
      <c r="D55" t="inlineStr">
        <is>
          <t>Media Entertainment &amp; Publication</t>
        </is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2026-10-14T17:37:08Z</dcterms:created>
  <dcterms:modified xsi:type="dcterms:W3CDTF">2026-10-14T17:37:29Z</dcterms:modified>
</cp:coreProperties>
</file>