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15707.25</v>
      </c>
      <c r="D5" s="2" t="inlineStr">
        <is>
          <t>P/E</t>
        </is>
      </c>
      <c r="E5" s="7" t="n">
        <v>10.23</v>
      </c>
    </row>
    <row r="6">
      <c r="A6" s="2" t="inlineStr">
        <is>
          <t>P/E percentile</t>
        </is>
      </c>
      <c r="B6" s="8" t="n">
        <v>0.6590909090909091</v>
      </c>
      <c r="D6" s="2" t="inlineStr">
        <is>
          <t>Implied EPS</t>
        </is>
      </c>
      <c r="E6" s="9" t="n">
        <v>1535.410557184751</v>
      </c>
    </row>
    <row r="7">
      <c r="A7" s="2" t="inlineStr">
        <is>
          <t>YoY implied EPS growth</t>
        </is>
      </c>
      <c r="B7" s="8" t="n">
        <v>0.1374315380935138</v>
      </c>
      <c r="D7" s="2" t="inlineStr">
        <is>
          <t>Earnings yield</t>
        </is>
      </c>
      <c r="E7" s="10" t="n">
        <v>0.09775171065493646</v>
      </c>
    </row>
    <row r="8">
      <c r="A8" s="2" t="inlineStr">
        <is>
          <t>Valuation score</t>
        </is>
      </c>
      <c r="B8" s="11" t="n">
        <v>34.09090909090909</v>
      </c>
      <c r="D8" s="2" t="inlineStr">
        <is>
          <t>Growth score</t>
        </is>
      </c>
      <c r="E8" s="11" t="n">
        <v>74.97261523740553</v>
      </c>
    </row>
    <row r="9">
      <c r="A9" s="2" t="inlineStr">
        <is>
          <t>Composite score</t>
        </is>
      </c>
      <c r="B9" s="11" t="n">
        <v>46.35542093485802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7.806556855912604</v>
      </c>
      <c r="C13" s="15" t="n">
        <v>11986.26981183121</v>
      </c>
      <c r="D13" s="16" t="n">
        <v>-0.2368957130095207</v>
      </c>
    </row>
    <row r="14">
      <c r="A14" t="inlineStr">
        <is>
          <t>HOLD → SELL</t>
        </is>
      </c>
      <c r="B14" s="14" t="n">
        <v>10.48742371387563</v>
      </c>
      <c r="C14" s="15" t="n">
        <v>16102.50108795434</v>
      </c>
      <c r="D14" s="16" t="n">
        <v>0.0251636083944895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0.4065796644302568</v>
      </c>
      <c r="D18" s="16" t="n">
        <v>0.3380643236729997</v>
      </c>
      <c r="E18" s="16" t="n">
        <v>0.4206292972192289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0.6513027769480008</v>
      </c>
      <c r="D19" s="16" t="n">
        <v>0.2739740860206064</v>
      </c>
      <c r="E19" s="16" t="n">
        <v>0.2868944450950126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0.186260215040517</v>
      </c>
      <c r="D20" s="16" t="n">
        <v>0.3867462073736957</v>
      </c>
      <c r="E20" s="16" t="n">
        <v>0.3714808543208867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0.0854621858609862</v>
      </c>
      <c r="D21" s="16" t="n">
        <v>0.3147834207472477</v>
      </c>
      <c r="E21" s="16" t="n">
        <v>0.3336478965498094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-0.02502887843096802</v>
      </c>
      <c r="D22" s="16" t="n">
        <v>0.1160291512333091</v>
      </c>
      <c r="E22" s="16" t="n">
        <v>0.2271494281485487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31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4867.47</v>
      </c>
      <c r="C2" s="7" t="n">
        <v>13.79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5402.19</v>
      </c>
      <c r="C3" s="7" t="n">
        <v>11.01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5544.28</v>
      </c>
      <c r="C4" s="7" t="n">
        <v>9.26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5640.08</v>
      </c>
      <c r="C5" s="7" t="n">
        <v>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5583.1</v>
      </c>
      <c r="C6" s="7" t="n">
        <v>7.81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6117.47</v>
      </c>
      <c r="C7" s="7" t="n">
        <v>8.52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6256.1</v>
      </c>
      <c r="C8" s="7" t="n">
        <v>8.67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5852.85</v>
      </c>
      <c r="C9" s="7" t="n">
        <v>7.35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5934.66</v>
      </c>
      <c r="C10" s="7" t="n">
        <v>5.8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6329.11</v>
      </c>
      <c r="C11" s="7" t="n">
        <v>6.15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6099.13</v>
      </c>
      <c r="C12" s="7" t="n">
        <v>5.52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6340.31</v>
      </c>
      <c r="C13" s="7" t="n">
        <v>5.75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6420.4</v>
      </c>
      <c r="C14" s="7" t="n">
        <v>5.82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5973.92</v>
      </c>
      <c r="C15" s="7" t="n">
        <v>5.35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5541.62</v>
      </c>
      <c r="C16" s="7" t="n">
        <v>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6055.32</v>
      </c>
      <c r="C17" s="7" t="n">
        <v>5.41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6372.26</v>
      </c>
      <c r="C18" s="7" t="n">
        <v>6.24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6034.29</v>
      </c>
      <c r="C19" s="7" t="n">
        <v>5.91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6435.24</v>
      </c>
      <c r="C20" s="7" t="n">
        <v>6.24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6954.91</v>
      </c>
      <c r="C21" s="7" t="n">
        <v>7.54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7058.28</v>
      </c>
      <c r="C22" s="7" t="n">
        <v>7.14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7115.05</v>
      </c>
      <c r="C23" s="7" t="n">
        <v>7.3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6735.88</v>
      </c>
      <c r="C24" s="7" t="n">
        <v>7.2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6887.29</v>
      </c>
      <c r="C25" s="7" t="n">
        <v>7.34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7323.81</v>
      </c>
      <c r="C26" s="7" t="n">
        <v>7.78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7389.13</v>
      </c>
      <c r="C27" s="7" t="n">
        <v>7.83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7794.73</v>
      </c>
      <c r="C28" s="7" t="n">
        <v>8.130000000000001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8502.200000000001</v>
      </c>
      <c r="C29" s="7" t="n">
        <v>8.279999999999999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8385.799999999999</v>
      </c>
      <c r="C30" s="7" t="n">
        <v>7.2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9179.959999999999</v>
      </c>
      <c r="C31" s="7" t="n">
        <v>7.89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8882.4</v>
      </c>
      <c r="C32" s="7" t="n">
        <v>7.27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9988.459999999999</v>
      </c>
      <c r="C33" s="7" t="n">
        <v>7.47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11364.37</v>
      </c>
      <c r="C34" s="7" t="n">
        <v>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12254.01</v>
      </c>
      <c r="C35" s="7" t="n">
        <v>9.56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12625.95</v>
      </c>
      <c r="C36" s="7" t="n">
        <v>10.05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12693.2</v>
      </c>
      <c r="C37" s="7" t="n">
        <v>10.11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14047.15</v>
      </c>
      <c r="C38" s="7" t="n">
        <v>11.75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14192.83</v>
      </c>
      <c r="C39" s="7" t="n">
        <v>11.68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14734.18</v>
      </c>
      <c r="C40" s="7" t="n">
        <v>11.8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15616.3</v>
      </c>
      <c r="C41" s="7" t="n">
        <v>12.97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15431.09</v>
      </c>
      <c r="C42" s="7" t="n">
        <v>13.09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15537.35</v>
      </c>
      <c r="C43" s="7" t="n">
        <v>13.19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14363.78</v>
      </c>
      <c r="C44" s="7" t="n">
        <v>12.64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14251.85</v>
      </c>
      <c r="C45" s="7" t="n">
        <v>12.21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13481.1</v>
      </c>
      <c r="C46" s="7" t="n">
        <v>10.81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13182.25</v>
      </c>
      <c r="C47" s="7" t="n">
        <v>10.65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12010.65</v>
      </c>
      <c r="C48" s="7" t="n">
        <v>9.359999999999999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13302.85</v>
      </c>
      <c r="C49" s="7" t="n">
        <v>10.37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13437.85</v>
      </c>
      <c r="C50" s="7" t="n">
        <v>10.49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13826.25</v>
      </c>
      <c r="C51" s="7" t="n">
        <v>10.7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14365.4</v>
      </c>
      <c r="C52" s="7" t="n">
        <v>11.01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13860.6</v>
      </c>
      <c r="C53" s="7" t="n">
        <v>10.68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13571.75</v>
      </c>
      <c r="C54" s="7" t="n">
        <v>10.06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14456.3</v>
      </c>
      <c r="C55" s="7" t="n">
        <v>10.12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15138.4</v>
      </c>
      <c r="C56" s="7" t="n">
        <v>10.38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14978.45</v>
      </c>
      <c r="C57" s="7" t="n">
        <v>9.92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15534.2</v>
      </c>
      <c r="C58" s="7" t="n">
        <v>9.789999999999999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15969.9</v>
      </c>
      <c r="C59" s="7" t="n">
        <v>9.94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16854.05</v>
      </c>
      <c r="C60" s="7" t="n">
        <v>10.42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14937.7</v>
      </c>
      <c r="C61" s="7" t="n">
        <v>9.23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16554.2</v>
      </c>
      <c r="C62" s="7" t="n">
        <v>10.15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16576.7</v>
      </c>
      <c r="C63" s="7" t="n">
        <v>10.8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16116.95</v>
      </c>
      <c r="C64" s="7" t="n">
        <v>9.83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16147.85</v>
      </c>
      <c r="C65" s="7" t="n">
        <v>10.48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16005.15</v>
      </c>
      <c r="C66" s="7" t="n">
        <v>10.42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43465</v>
      </c>
      <c r="B2" s="6" t="n">
        <v>4358.52</v>
      </c>
      <c r="C2" s="7" t="n">
        <v>14.18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IF(C2="","",(COUNTIFS($D$2:$D$32,D2,$C$2:$C$32,"&gt;0",$C$2:$C$32,"&lt;"&amp;C2)+(COUNTIFS($D$2:$D$32,D2,$C$2:$C$32,C2)+1)/2)/COUNTIFS($D$2:$D$32,D2,$C$2:$C$32,"&gt;0"))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43555</v>
      </c>
      <c r="B3" s="6" t="n">
        <v>4561.25</v>
      </c>
      <c r="C3" s="7" t="n">
        <v>14.33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IF(C3="","",(COUNTIFS($D$2:$D$32,D3,$C$2:$C$32,"&gt;0",$C$2:$C$32,"&lt;"&amp;C3)+(COUNTIFS($D$2:$D$32,D3,$C$2:$C$32,C3)+1)/2)/COUNTIFS($D$2:$D$32,D3,$C$2:$C$32,"&gt;0"))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43646</v>
      </c>
      <c r="B4" s="6" t="n">
        <v>4336.29</v>
      </c>
      <c r="C4" s="7" t="n">
        <v>10.03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IF(C4="","",(COUNTIFS($D$2:$D$32,D4,$C$2:$C$32,"&gt;0",$C$2:$C$32,"&lt;"&amp;C4)+(COUNTIFS($D$2:$D$32,D4,$C$2:$C$32,C4)+1)/2)/COUNTIFS($D$2:$D$32,D4,$C$2:$C$32,"&gt;0"))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43738</v>
      </c>
      <c r="B5" s="6" t="n">
        <v>3469.49</v>
      </c>
      <c r="C5" s="7" t="n">
        <v>10.88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IF(C5="","",(COUNTIFS($D$2:$D$32,D5,$C$2:$C$32,"&gt;0",$C$2:$C$32,"&lt;"&amp;C5)+(COUNTIFS($D$2:$D$32,D5,$C$2:$C$32,C5)+1)/2)/COUNTIFS($D$2:$D$32,D5,$C$2:$C$32,"&gt;0"))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43830</v>
      </c>
      <c r="B6" s="6" t="n">
        <v>3678.14</v>
      </c>
      <c r="C6" s="7" t="n">
        <v>9.48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IF(C6="","",(COUNTIFS($D$2:$D$32,D6,$C$2:$C$32,"&gt;0",$C$2:$C$32,"&lt;"&amp;C6)+(COUNTIFS($D$2:$D$32,D6,$C$2:$C$32,C6)+1)/2)/COUNTIFS($D$2:$D$32,D6,$C$2:$C$32,"&gt;0"))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43921</v>
      </c>
      <c r="B7" s="6" t="n">
        <v>2299.01</v>
      </c>
      <c r="C7" s="7" t="n">
        <v>5.88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IF(C7="","",(COUNTIFS($D$2:$D$32,D7,$C$2:$C$32,"&gt;0",$C$2:$C$32,"&lt;"&amp;C7)+(COUNTIFS($D$2:$D$32,D7,$C$2:$C$32,C7)+1)/2)/COUNTIFS($D$2:$D$32,D7,$C$2:$C$32,"&gt;0"))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44012</v>
      </c>
      <c r="B8" s="6" t="n">
        <v>2912.74</v>
      </c>
      <c r="C8" s="7" t="n">
        <v>10.29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IF(C8="","",(COUNTIFS($D$2:$D$32,D8,$C$2:$C$32,"&gt;0",$C$2:$C$32,"&lt;"&amp;C8)+(COUNTIFS($D$2:$D$32,D8,$C$2:$C$32,C8)+1)/2)/COUNTIFS($D$2:$D$32,D8,$C$2:$C$32,"&gt;0"))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44104</v>
      </c>
      <c r="B9" s="6" t="n">
        <v>2979.26</v>
      </c>
      <c r="C9" s="7" t="n">
        <v>10.8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IF(C9="","",(COUNTIFS($D$2:$D$32,D9,$C$2:$C$32,"&gt;0",$C$2:$C$32,"&lt;"&amp;C9)+(COUNTIFS($D$2:$D$32,D9,$C$2:$C$32,C9)+1)/2)/COUNTIFS($D$2:$D$32,D9,$C$2:$C$32,"&gt;0"))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44196</v>
      </c>
      <c r="B10" s="6" t="n">
        <v>3911.12</v>
      </c>
      <c r="C10" s="7" t="n">
        <v>13.6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IF(C10="","",(COUNTIFS($D$2:$D$32,D10,$C$2:$C$32,"&gt;0",$C$2:$C$32,"&lt;"&amp;C10)+(COUNTIFS($D$2:$D$32,D10,$C$2:$C$32,C10)+1)/2)/COUNTIFS($D$2:$D$32,D10,$C$2:$C$32,"&gt;0"))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44286</v>
      </c>
      <c r="B11" s="6" t="n">
        <v>4705.55</v>
      </c>
      <c r="C11" s="7" t="n">
        <v>13.35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IF(C11="","",(COUNTIFS($D$2:$D$32,D11,$C$2:$C$32,"&gt;0",$C$2:$C$32,"&lt;"&amp;C11)+(COUNTIFS($D$2:$D$32,D11,$C$2:$C$32,C11)+1)/2)/COUNTIFS($D$2:$D$32,D11,$C$2:$C$32,"&gt;0"))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44377</v>
      </c>
      <c r="B12" s="6" t="n">
        <v>5544.28</v>
      </c>
      <c r="C12" s="7" t="n">
        <v>9.26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IF(C12="","",(COUNTIFS($D$2:$D$32,D12,$C$2:$C$32,"&gt;0",$C$2:$C$32,"&lt;"&amp;C12)+(COUNTIFS($D$2:$D$32,D12,$C$2:$C$32,C12)+1)/2)/COUNTIFS($D$2:$D$32,D12,$C$2:$C$32,"&gt;0"))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44469</v>
      </c>
      <c r="B13" s="6" t="n">
        <v>6117.47</v>
      </c>
      <c r="C13" s="7" t="n">
        <v>8.52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IF(C13="","",(COUNTIFS($D$2:$D$32,D13,$C$2:$C$32,"&gt;0",$C$2:$C$32,"&lt;"&amp;C13)+(COUNTIFS($D$2:$D$32,D13,$C$2:$C$32,C13)+1)/2)/COUNTIFS($D$2:$D$32,D13,$C$2:$C$32,"&gt;0"))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44561</v>
      </c>
      <c r="B14" s="6" t="n">
        <v>5934.66</v>
      </c>
      <c r="C14" s="7" t="n">
        <v>5.8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IF(C14="","",(COUNTIFS($D$2:$D$32,D14,$C$2:$C$32,"&gt;0",$C$2:$C$32,"&lt;"&amp;C14)+(COUNTIFS($D$2:$D$32,D14,$C$2:$C$32,C14)+1)/2)/COUNTIFS($D$2:$D$32,D14,$C$2:$C$32,"&gt;0"))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44651</v>
      </c>
      <c r="B15" s="6" t="n">
        <v>6340.31</v>
      </c>
      <c r="C15" s="7" t="n">
        <v>5.75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IF(C15="","",(COUNTIFS($D$2:$D$32,D15,$C$2:$C$32,"&gt;0",$C$2:$C$32,"&lt;"&amp;C15)+(COUNTIFS($D$2:$D$32,D15,$C$2:$C$32,C15)+1)/2)/COUNTIFS($D$2:$D$32,D15,$C$2:$C$32,"&gt;0"))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44742</v>
      </c>
      <c r="B16" s="6" t="n">
        <v>5541.62</v>
      </c>
      <c r="C16" s="7" t="n">
        <v>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IF(C16="","",(COUNTIFS($D$2:$D$32,D16,$C$2:$C$32,"&gt;0",$C$2:$C$32,"&lt;"&amp;C16)+(COUNTIFS($D$2:$D$32,D16,$C$2:$C$32,C16)+1)/2)/COUNTIFS($D$2:$D$32,D16,$C$2:$C$32,"&gt;0"))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44834</v>
      </c>
      <c r="B17" s="6" t="n">
        <v>6034.29</v>
      </c>
      <c r="C17" s="7" t="n">
        <v>5.91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IF(C17="","",(COUNTIFS($D$2:$D$32,D17,$C$2:$C$32,"&gt;0",$C$2:$C$32,"&lt;"&amp;C17)+(COUNTIFS($D$2:$D$32,D17,$C$2:$C$32,C17)+1)/2)/COUNTIFS($D$2:$D$32,D17,$C$2:$C$32,"&gt;0"))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44926</v>
      </c>
      <c r="B18" s="6" t="n">
        <v>7058.28</v>
      </c>
      <c r="C18" s="7" t="n">
        <v>7.14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IF(C18="","",(COUNTIFS($D$2:$D$32,D18,$C$2:$C$32,"&gt;0",$C$2:$C$32,"&lt;"&amp;C18)+(COUNTIFS($D$2:$D$32,D18,$C$2:$C$32,C18)+1)/2)/COUNTIFS($D$2:$D$32,D18,$C$2:$C$32,"&gt;0"))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45016</v>
      </c>
      <c r="B19" s="6" t="n">
        <v>6887.29</v>
      </c>
      <c r="C19" s="7" t="n">
        <v>7.34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IF(C19="","",(COUNTIFS($D$2:$D$32,D19,$C$2:$C$32,"&gt;0",$C$2:$C$32,"&lt;"&amp;C19)+(COUNTIFS($D$2:$D$32,D19,$C$2:$C$32,C19)+1)/2)/COUNTIFS($D$2:$D$32,D19,$C$2:$C$32,"&gt;0"))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45107</v>
      </c>
      <c r="B20" s="6" t="n">
        <v>7794.73</v>
      </c>
      <c r="C20" s="7" t="n">
        <v>8.130000000000001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IF(C20="","",(COUNTIFS($D$2:$D$32,D20,$C$2:$C$32,"&gt;0",$C$2:$C$32,"&lt;"&amp;C20)+(COUNTIFS($D$2:$D$32,D20,$C$2:$C$32,C20)+1)/2)/COUNTIFS($D$2:$D$32,D20,$C$2:$C$32,"&gt;0"))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45199</v>
      </c>
      <c r="B21" s="6" t="n">
        <v>9179.959999999999</v>
      </c>
      <c r="C21" s="7" t="n">
        <v>7.89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IF(C21="","",(COUNTIFS($D$2:$D$32,D21,$C$2:$C$32,"&gt;0",$C$2:$C$32,"&lt;"&amp;C21)+(COUNTIFS($D$2:$D$32,D21,$C$2:$C$32,C21)+1)/2)/COUNTIFS($D$2:$D$32,D21,$C$2:$C$32,"&gt;0"))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45291</v>
      </c>
      <c r="B22" s="6" t="n">
        <v>11364.37</v>
      </c>
      <c r="C22" s="7" t="n">
        <v>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IF(C22="","",(COUNTIFS($D$2:$D$32,D22,$C$2:$C$32,"&gt;0",$C$2:$C$32,"&lt;"&amp;C22)+(COUNTIFS($D$2:$D$32,D22,$C$2:$C$32,C22)+1)/2)/COUNTIFS($D$2:$D$32,D22,$C$2:$C$32,"&gt;0"))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45382</v>
      </c>
      <c r="B23" s="6" t="n">
        <v>12693.2</v>
      </c>
      <c r="C23" s="7" t="n">
        <v>10.11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IF(C23="","",(COUNTIFS($D$2:$D$32,D23,$C$2:$C$32,"&gt;0",$C$2:$C$32,"&lt;"&amp;C23)+(COUNTIFS($D$2:$D$32,D23,$C$2:$C$32,C23)+1)/2)/COUNTIFS($D$2:$D$32,D23,$C$2:$C$32,"&gt;0"))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45473</v>
      </c>
      <c r="B24" s="6" t="n">
        <v>14734.18</v>
      </c>
      <c r="C24" s="7" t="n">
        <v>11.8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IF(C24="","",(COUNTIFS($D$2:$D$32,D24,$C$2:$C$32,"&gt;0",$C$2:$C$32,"&lt;"&amp;C24)+(COUNTIFS($D$2:$D$32,D24,$C$2:$C$32,C24)+1)/2)/COUNTIFS($D$2:$D$32,D24,$C$2:$C$32,"&gt;0"))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45565</v>
      </c>
      <c r="B25" s="6" t="n">
        <v>15537.35</v>
      </c>
      <c r="C25" s="7" t="n">
        <v>13.19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IF(C25="","",(COUNTIFS($D$2:$D$32,D25,$C$2:$C$32,"&gt;0",$C$2:$C$32,"&lt;"&amp;C25)+(COUNTIFS($D$2:$D$32,D25,$C$2:$C$32,C25)+1)/2)/COUNTIFS($D$2:$D$32,D25,$C$2:$C$32,"&gt;0"))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45657</v>
      </c>
      <c r="B26" s="6" t="n">
        <v>13481.1</v>
      </c>
      <c r="C26" s="7" t="n">
        <v>10.81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IF(C26="","",(COUNTIFS($D$2:$D$32,D26,$C$2:$C$32,"&gt;0",$C$2:$C$32,"&lt;"&amp;C26)+(COUNTIFS($D$2:$D$32,D26,$C$2:$C$32,C26)+1)/2)/COUNTIFS($D$2:$D$32,D26,$C$2:$C$32,"&gt;0"))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45747</v>
      </c>
      <c r="B27" s="6" t="n">
        <v>13302.85</v>
      </c>
      <c r="C27" s="7" t="n">
        <v>10.37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IF(C27="","",(COUNTIFS($D$2:$D$32,D27,$C$2:$C$32,"&gt;0",$C$2:$C$32,"&lt;"&amp;C27)+(COUNTIFS($D$2:$D$32,D27,$C$2:$C$32,C27)+1)/2)/COUNTIFS($D$2:$D$32,D27,$C$2:$C$32,"&gt;0"))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45838</v>
      </c>
      <c r="B28" s="6" t="n">
        <v>14365.4</v>
      </c>
      <c r="C28" s="7" t="n">
        <v>11.01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IF(C28="","",(COUNTIFS($D$2:$D$32,D28,$C$2:$C$32,"&gt;0",$C$2:$C$32,"&lt;"&amp;C28)+(COUNTIFS($D$2:$D$32,D28,$C$2:$C$32,C28)+1)/2)/COUNTIFS($D$2:$D$32,D28,$C$2:$C$32,"&gt;0"))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45930</v>
      </c>
      <c r="B29" s="6" t="n">
        <v>14456.3</v>
      </c>
      <c r="C29" s="7" t="n">
        <v>10.12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IF(C29="","",(COUNTIFS($D$2:$D$32,D29,$C$2:$C$32,"&gt;0",$C$2:$C$32,"&lt;"&amp;C29)+(COUNTIFS($D$2:$D$32,D29,$C$2:$C$32,C29)+1)/2)/COUNTIFS($D$2:$D$32,D29,$C$2:$C$32,"&gt;0"))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46022</v>
      </c>
      <c r="B30" s="6" t="n">
        <v>15534.2</v>
      </c>
      <c r="C30" s="7" t="n">
        <v>9.789999999999999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IF(C30="","",(COUNTIFS($D$2:$D$32,D30,$C$2:$C$32,"&gt;0",$C$2:$C$32,"&lt;"&amp;C30)+(COUNTIFS($D$2:$D$32,D30,$C$2:$C$32,C30)+1)/2)/COUNTIFS($D$2:$D$32,D30,$C$2:$C$32,"&gt;0"))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46112</v>
      </c>
      <c r="B31" s="6" t="n">
        <v>14937.7</v>
      </c>
      <c r="C31" s="7" t="n">
        <v>9.23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IF(C31="","",(COUNTIFS($D$2:$D$32,D31,$C$2:$C$32,"&gt;0",$C$2:$C$32,"&lt;"&amp;C31)+(COUNTIFS($D$2:$D$32,D31,$C$2:$C$32,C31)+1)/2)/COUNTIFS($D$2:$D$32,D31,$C$2:$C$32,"&gt;0"))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46203</v>
      </c>
      <c r="B32" s="6" t="n">
        <v>16116.95</v>
      </c>
      <c r="C32" s="7" t="n">
        <v>9.83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IF(C32="","",(COUNTIFS($D$2:$D$32,D32,$C$2:$C$32,"&gt;0",$C$2:$C$32,"&lt;"&amp;C32)+(COUNTIFS($D$2:$D$32,D32,$C$2:$C$32,C32)+1)/2)/COUNTIFS($D$2:$D$32,D32,$C$2:$C$32,"&gt;0"))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15707.25</v>
      </c>
      <c r="C2" s="7" t="n">
        <v>10.23</v>
      </c>
      <c r="D2" s="8" t="n">
        <v>0.659090909091</v>
      </c>
      <c r="E2" s="8" t="n">
        <v>0.137431538094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2026-09-21T10:07:41Z</dcterms:created>
  <dcterms:modified xsi:type="dcterms:W3CDTF">2026-09-21T10:07:41Z</dcterms:modified>
</cp:coreProperties>
</file>