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200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2" customWidth="1" min="5" max="5"/>
    <col width="21" customWidth="1" min="6" max="6"/>
    <col width="21" customWidth="1" min="7" max="7"/>
  </cols>
  <sheetData>
    <row r="1" ht="26" customHeight="1">
      <c r="A1" s="1" t="inlineStr">
        <is>
          <t>NIFTY 200 Valuation Tracker</t>
        </is>
      </c>
    </row>
    <row r="2">
      <c r="A2" s="2" t="inlineStr">
        <is>
          <t>As of</t>
        </is>
      </c>
      <c r="B2" s="23" t="n">
        <v>46316</v>
      </c>
      <c r="D2" s="2" t="inlineStr">
        <is>
          <t>Group</t>
        </is>
      </c>
      <c r="E2" s="4" t="inlineStr">
        <is>
          <t>Broad Market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13103.15</v>
      </c>
      <c r="D5" s="2" t="inlineStr">
        <is>
          <t>P/E</t>
        </is>
      </c>
      <c r="E5" s="25" t="n">
        <v>20.12</v>
      </c>
    </row>
    <row r="6">
      <c r="A6" s="2" t="inlineStr">
        <is>
          <t>P/E percentile</t>
        </is>
      </c>
      <c r="B6" s="26" t="n">
        <v>0.02238805970149254</v>
      </c>
      <c r="D6" s="2" t="inlineStr">
        <is>
          <t>Implied EPS</t>
        </is>
      </c>
      <c r="E6" s="27" t="n">
        <v>651.25</v>
      </c>
    </row>
    <row r="7">
      <c r="A7" s="2" t="inlineStr">
        <is>
          <t>YoY implied EPS growth</t>
        </is>
      </c>
      <c r="B7" s="26" t="n">
        <v>0.08468132784407723</v>
      </c>
      <c r="D7" s="2" t="inlineStr">
        <is>
          <t>Earnings yield</t>
        </is>
      </c>
      <c r="E7" s="10" t="n">
        <v>0.04970178926441352</v>
      </c>
    </row>
    <row r="8">
      <c r="A8" s="2" t="inlineStr">
        <is>
          <t>Valuation score</t>
        </is>
      </c>
      <c r="B8" s="28" t="n">
        <v>97.76119402985076</v>
      </c>
      <c r="D8" s="2" t="inlineStr">
        <is>
          <t>Growth score</t>
        </is>
      </c>
      <c r="E8" s="28" t="n">
        <v>53.87253113763089</v>
      </c>
    </row>
    <row r="9">
      <c r="A9" s="2" t="inlineStr">
        <is>
          <t>Composite score</t>
        </is>
      </c>
      <c r="B9" s="28" t="n">
        <v>84.59459516218479</v>
      </c>
      <c r="D9" s="2" t="inlineStr">
        <is>
          <t>Signal</t>
        </is>
      </c>
      <c r="E9" s="12" t="inlineStr">
        <is>
          <t>BUY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21.91049914013237</v>
      </c>
      <c r="C13" s="15" t="n">
        <v>14269.2125650112</v>
      </c>
      <c r="D13" s="30" t="n">
        <v>0.08899101094097239</v>
      </c>
    </row>
    <row r="14">
      <c r="A14" t="inlineStr">
        <is>
          <t>HOLD → SELL</t>
        </is>
      </c>
      <c r="B14" s="29" t="n">
        <v>23.78523944521787</v>
      </c>
      <c r="C14" s="15" t="n">
        <v>15490.13718869814</v>
      </c>
      <c r="D14" s="30" t="n">
        <v>0.1821689585098343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8</v>
      </c>
      <c r="C18" s="30" t="n">
        <v>0.2787759311517826</v>
      </c>
      <c r="D18" s="30" t="n">
        <v>0.136478460110905</v>
      </c>
      <c r="E18" s="30" t="n">
        <v>0.1489412511690427</v>
      </c>
      <c r="F18" s="30" t="n">
        <v>0.1256546246818139</v>
      </c>
      <c r="G18" s="30" t="n">
        <v>0</v>
      </c>
    </row>
    <row r="19">
      <c r="A19" t="inlineStr">
        <is>
          <t>Q2</t>
        </is>
      </c>
      <c r="B19" t="n">
        <v>9</v>
      </c>
      <c r="C19" s="30" t="n">
        <v>0.1293319209480027</v>
      </c>
      <c r="D19" s="30" t="n">
        <v>0.1026377991055312</v>
      </c>
      <c r="E19" s="30" t="n">
        <v>0.1350296464248103</v>
      </c>
      <c r="F19" s="30" t="n">
        <v>0.1164489270084339</v>
      </c>
      <c r="G19" s="30" t="n">
        <v>0.1666666666666667</v>
      </c>
    </row>
    <row r="20">
      <c r="A20" t="inlineStr">
        <is>
          <t>Q3</t>
        </is>
      </c>
      <c r="B20" t="n">
        <v>8</v>
      </c>
      <c r="C20" s="30" t="n">
        <v>0.08680618902412518</v>
      </c>
      <c r="D20" s="30" t="n">
        <v>0.1173559086434486</v>
      </c>
      <c r="E20" s="30" t="n">
        <v>0.1345948916346434</v>
      </c>
      <c r="F20" s="30" t="n"/>
      <c r="G20" s="30" t="n">
        <v>0</v>
      </c>
    </row>
    <row r="21">
      <c r="A21" t="inlineStr">
        <is>
          <t>Q4</t>
        </is>
      </c>
      <c r="B21" t="n">
        <v>9</v>
      </c>
      <c r="C21" s="30" t="n">
        <v>0.0676065952530982</v>
      </c>
      <c r="D21" s="30" t="n">
        <v>0.1516679560016003</v>
      </c>
      <c r="E21" s="30" t="n">
        <v>0.1467572105778103</v>
      </c>
      <c r="F21" s="30" t="n"/>
      <c r="G21" s="30" t="n">
        <v>0</v>
      </c>
    </row>
    <row r="22">
      <c r="A22" t="inlineStr">
        <is>
          <t>Q5 Most Expensive</t>
        </is>
      </c>
      <c r="B22" t="n">
        <v>10</v>
      </c>
      <c r="C22" s="30" t="n">
        <v>-0.007139321890771155</v>
      </c>
      <c r="D22" s="30" t="n">
        <v>0.1665481969707666</v>
      </c>
      <c r="E22" s="30" t="n">
        <v>0.1281063875318892</v>
      </c>
      <c r="F22" s="30" t="n"/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44</v>
      </c>
    </row>
    <row r="27">
      <c r="A27" s="2" t="inlineStr">
        <is>
          <t>Backtest start</t>
        </is>
      </c>
      <c r="B27" t="inlineStr">
        <is>
          <t>2015-12-31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7683.95</v>
      </c>
      <c r="C2" s="25" t="n">
        <v>34.38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8204.9</v>
      </c>
      <c r="C3" s="25" t="n">
        <v>30.48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8325.549999999999</v>
      </c>
      <c r="C4" s="25" t="n">
        <v>29.46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8396.15</v>
      </c>
      <c r="C5" s="25" t="n">
        <v>28.26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9025.25</v>
      </c>
      <c r="C6" s="25" t="n">
        <v>26.76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9318.549999999999</v>
      </c>
      <c r="C7" s="25" t="n">
        <v>27.61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9338.200000000001</v>
      </c>
      <c r="C8" s="25" t="n">
        <v>26.41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9028.299999999999</v>
      </c>
      <c r="C9" s="25" t="n">
        <v>23.98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9218.35</v>
      </c>
      <c r="C10" s="25" t="n">
        <v>24.63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9179.15</v>
      </c>
      <c r="C11" s="25" t="n">
        <v>23.98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8855.5</v>
      </c>
      <c r="C12" s="25" t="n">
        <v>22.04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9207</v>
      </c>
      <c r="C13" s="25" t="n">
        <v>23.18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9123.4</v>
      </c>
      <c r="C14" s="25" t="n">
        <v>22.61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8745.65</v>
      </c>
      <c r="C15" s="25" t="n">
        <v>20.69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8290.799999999999</v>
      </c>
      <c r="C16" s="25" t="n">
        <v>19.67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9087.65</v>
      </c>
      <c r="C17" s="25" t="n">
        <v>21.1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9485.6</v>
      </c>
      <c r="C18" s="25" t="n">
        <v>22.08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9147.450000000001</v>
      </c>
      <c r="C19" s="25" t="n">
        <v>21.52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9544.4</v>
      </c>
      <c r="C20" s="25" t="n">
        <v>22.14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9876.549999999999</v>
      </c>
      <c r="C21" s="25" t="n">
        <v>23.52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9554.450000000001</v>
      </c>
      <c r="C22" s="25" t="n">
        <v>22.88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9222.049999999999</v>
      </c>
      <c r="C23" s="25" t="n">
        <v>21.75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8964.549999999999</v>
      </c>
      <c r="C24" s="25" t="n">
        <v>21.23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9007.9</v>
      </c>
      <c r="C25" s="25" t="n">
        <v>21.26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9404</v>
      </c>
      <c r="C26" s="25" t="n">
        <v>21.87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9724.799999999999</v>
      </c>
      <c r="C27" s="25" t="n">
        <v>22.57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10104.35</v>
      </c>
      <c r="C28" s="25" t="n">
        <v>23.46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10445.9</v>
      </c>
      <c r="C29" s="25" t="n">
        <v>24.08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10284.95</v>
      </c>
      <c r="C30" s="25" t="n">
        <v>22.62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10510.25</v>
      </c>
      <c r="C31" s="25" t="n">
        <v>23.03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10198.35</v>
      </c>
      <c r="C32" s="25" t="n">
        <v>21.32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10887.35</v>
      </c>
      <c r="C33" s="25" t="n">
        <v>22.08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11798.7</v>
      </c>
      <c r="C34" s="25" t="n">
        <v>23.89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11953.8</v>
      </c>
      <c r="C35" s="25" t="n">
        <v>23.46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12160.45</v>
      </c>
      <c r="C36" s="25" t="n">
        <v>23.62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12329.75</v>
      </c>
      <c r="C37" s="25" t="n">
        <v>24.25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12673.15</v>
      </c>
      <c r="C38" s="25" t="n">
        <v>23.97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12742.8</v>
      </c>
      <c r="C39" s="25" t="n">
        <v>23.77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13579.25</v>
      </c>
      <c r="C40" s="25" t="n">
        <v>25.37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14170.8</v>
      </c>
      <c r="C41" s="25" t="n">
        <v>26.22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14295.7</v>
      </c>
      <c r="C42" s="25" t="n">
        <v>26.36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14610.8</v>
      </c>
      <c r="C43" s="25" t="n">
        <v>26.87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13618.2</v>
      </c>
      <c r="C44" s="25" t="n">
        <v>25.03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13627</v>
      </c>
      <c r="C45" s="25" t="n">
        <v>24.61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13406.95</v>
      </c>
      <c r="C46" s="25" t="n">
        <v>24.35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13064.55</v>
      </c>
      <c r="C47" s="25" t="n">
        <v>23.35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12116.15</v>
      </c>
      <c r="C48" s="25" t="n">
        <v>21.12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12982.75</v>
      </c>
      <c r="C49" s="25" t="n">
        <v>22.64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13438.15</v>
      </c>
      <c r="C50" s="25" t="n">
        <v>23.19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13798.4</v>
      </c>
      <c r="C51" s="25" t="n">
        <v>23.52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14252.65</v>
      </c>
      <c r="C52" s="25" t="n">
        <v>24.15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13814</v>
      </c>
      <c r="C53" s="25" t="n">
        <v>23.09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13575.1</v>
      </c>
      <c r="C54" s="25" t="n">
        <v>22.39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13739.95</v>
      </c>
      <c r="C55" s="25" t="n">
        <v>22.96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14362.3</v>
      </c>
      <c r="C56" s="25" t="n">
        <v>23.79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14579.35</v>
      </c>
      <c r="C57" s="25" t="n">
        <v>23.78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14533.5</v>
      </c>
      <c r="C58" s="25" t="n">
        <v>23.77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14093.05</v>
      </c>
      <c r="C59" s="25" t="n">
        <v>22.92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14121.05</v>
      </c>
      <c r="C60" s="25" t="n">
        <v>23.02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12492.1</v>
      </c>
      <c r="C61" s="25" t="n">
        <v>20.73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13705.55</v>
      </c>
      <c r="C62" s="25" t="n">
        <v>22.51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13663.7</v>
      </c>
      <c r="C63" s="25" t="n">
        <v>21.47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13803.4</v>
      </c>
      <c r="C64" s="25" t="n">
        <v>21.59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14106.3</v>
      </c>
      <c r="C65" s="25" t="n">
        <v>22.05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14053.7</v>
      </c>
      <c r="C66" s="25" t="n">
        <v>21.74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13169.95</v>
      </c>
      <c r="C67" s="25" t="n">
        <v>20.45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42369</v>
      </c>
      <c r="B2" s="24" t="n">
        <v>4201.8</v>
      </c>
      <c r="C2" s="25" t="n">
        <v>22.61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IF(C2="","",(COUNTIFS($D$2:$D$45,D2,$C$2:$C$45,"&gt;0",$C$2:$C$45,"&lt;"&amp;C2)+(COUNTIFS($D$2:$D$45,D2,$C$2:$C$45,C2)+1)/2)/COUNTIFS($D$2:$D$45,D2,$C$2:$C$45,"&gt;0"))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42460</v>
      </c>
      <c r="B3" s="24" t="n">
        <v>4051.45</v>
      </c>
      <c r="C3" s="25" t="n">
        <v>21.57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IF(C3="","",(COUNTIFS($D$2:$D$45,D3,$C$2:$C$45,"&gt;0",$C$2:$C$45,"&lt;"&amp;C3)+(COUNTIFS($D$2:$D$45,D3,$C$2:$C$45,C3)+1)/2)/COUNTIFS($D$2:$D$45,D3,$C$2:$C$45,"&gt;0"))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42551</v>
      </c>
      <c r="B4" s="24" t="n">
        <v>4358.75</v>
      </c>
      <c r="C4" s="25" t="n">
        <v>24.21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IF(C4="","",(COUNTIFS($D$2:$D$45,D4,$C$2:$C$45,"&gt;0",$C$2:$C$45,"&lt;"&amp;C4)+(COUNTIFS($D$2:$D$45,D4,$C$2:$C$45,C4)+1)/2)/COUNTIFS($D$2:$D$45,D4,$C$2:$C$45,"&gt;0"))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>
        <f>IFERROR((B44/B4)^(1/10)-1,"")</f>
        <v/>
      </c>
    </row>
    <row r="5">
      <c r="A5" s="31" t="n">
        <v>42643</v>
      </c>
      <c r="B5" s="24" t="n">
        <v>4608.35</v>
      </c>
      <c r="C5" s="25" t="n">
        <v>25.53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IF(C5="","",(COUNTIFS($D$2:$D$45,D5,$C$2:$C$45,"&gt;0",$C$2:$C$45,"&lt;"&amp;C5)+(COUNTIFS($D$2:$D$45,D5,$C$2:$C$45,C5)+1)/2)/COUNTIFS($D$2:$D$45,D5,$C$2:$C$45,"&gt;0"))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>
        <f>IFERROR((B45/B5)^(1/10)-1,"")</f>
        <v/>
      </c>
    </row>
    <row r="6">
      <c r="A6" s="31" t="n">
        <v>42735</v>
      </c>
      <c r="B6" s="24" t="n">
        <v>4357.3</v>
      </c>
      <c r="C6" s="25" t="n">
        <v>23.28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IF(C6="","",(COUNTIFS($D$2:$D$45,D6,$C$2:$C$45,"&gt;0",$C$2:$C$45,"&lt;"&amp;C6)+(COUNTIFS($D$2:$D$45,D6,$C$2:$C$45,C6)+1)/2)/COUNTIFS($D$2:$D$45,D6,$C$2:$C$45,"&gt;0"))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42825</v>
      </c>
      <c r="B7" s="24" t="n">
        <v>4955.8</v>
      </c>
      <c r="C7" s="25" t="n">
        <v>25.17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IF(C7="","",(COUNTIFS($D$2:$D$45,D7,$C$2:$C$45,"&gt;0",$C$2:$C$45,"&lt;"&amp;C7)+(COUNTIFS($D$2:$D$45,D7,$C$2:$C$45,C7)+1)/2)/COUNTIFS($D$2:$D$45,D7,$C$2:$C$45,"&gt;0"))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42916</v>
      </c>
      <c r="B8" s="24" t="n">
        <v>5148.5</v>
      </c>
      <c r="C8" s="25" t="n">
        <v>25.98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IF(C8="","",(COUNTIFS($D$2:$D$45,D8,$C$2:$C$45,"&gt;0",$C$2:$C$45,"&lt;"&amp;C8)+(COUNTIFS($D$2:$D$45,D8,$C$2:$C$45,C8)+1)/2)/COUNTIFS($D$2:$D$45,D8,$C$2:$C$45,"&gt;0"))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43008</v>
      </c>
      <c r="B9" s="24" t="n">
        <v>5312.7</v>
      </c>
      <c r="C9" s="25" t="n">
        <v>28.03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IF(C9="","",(COUNTIFS($D$2:$D$45,D9,$C$2:$C$45,"&gt;0",$C$2:$C$45,"&lt;"&amp;C9)+(COUNTIFS($D$2:$D$45,D9,$C$2:$C$45,C9)+1)/2)/COUNTIFS($D$2:$D$45,D9,$C$2:$C$45,"&gt;0"))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43100</v>
      </c>
      <c r="B10" s="24" t="n">
        <v>5814.1</v>
      </c>
      <c r="C10" s="25" t="n">
        <v>30.54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IF(C10="","",(COUNTIFS($D$2:$D$45,D10,$C$2:$C$45,"&gt;0",$C$2:$C$45,"&lt;"&amp;C10)+(COUNTIFS($D$2:$D$45,D10,$C$2:$C$45,C10)+1)/2)/COUNTIFS($D$2:$D$45,D10,$C$2:$C$45,"&gt;0"))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43190</v>
      </c>
      <c r="B11" s="24" t="n">
        <v>5499.35</v>
      </c>
      <c r="C11" s="25" t="n">
        <v>27.82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IF(C11="","",(COUNTIFS($D$2:$D$45,D11,$C$2:$C$45,"&gt;0",$C$2:$C$45,"&lt;"&amp;C11)+(COUNTIFS($D$2:$D$45,D11,$C$2:$C$45,C11)+1)/2)/COUNTIFS($D$2:$D$45,D11,$C$2:$C$45,"&gt;0"))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43281</v>
      </c>
      <c r="B12" s="24" t="n">
        <v>5713.2</v>
      </c>
      <c r="C12" s="25" t="n">
        <v>28.84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IF(C12="","",(COUNTIFS($D$2:$D$45,D12,$C$2:$C$45,"&gt;0",$C$2:$C$45,"&lt;"&amp;C12)+(COUNTIFS($D$2:$D$45,D12,$C$2:$C$45,C12)+1)/2)/COUNTIFS($D$2:$D$45,D12,$C$2:$C$45,"&gt;0"))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43373</v>
      </c>
      <c r="B13" s="24" t="n">
        <v>5735.05</v>
      </c>
      <c r="C13" s="25" t="n">
        <v>28.96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IF(C13="","",(COUNTIFS($D$2:$D$45,D13,$C$2:$C$45,"&gt;0",$C$2:$C$45,"&lt;"&amp;C13)+(COUNTIFS($D$2:$D$45,D13,$C$2:$C$45,C13)+1)/2)/COUNTIFS($D$2:$D$45,D13,$C$2:$C$45,"&gt;0"))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43465</v>
      </c>
      <c r="B14" s="24" t="n">
        <v>5755.35</v>
      </c>
      <c r="C14" s="25" t="n">
        <v>28.78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IF(C14="","",(COUNTIFS($D$2:$D$45,D14,$C$2:$C$45,"&gt;0",$C$2:$C$45,"&lt;"&amp;C14)+(COUNTIFS($D$2:$D$45,D14,$C$2:$C$45,C14)+1)/2)/COUNTIFS($D$2:$D$45,D14,$C$2:$C$45,"&gt;0"))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43555</v>
      </c>
      <c r="B15" s="24" t="n">
        <v>6079.95</v>
      </c>
      <c r="C15" s="25" t="n">
        <v>30.81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IF(C15="","",(COUNTIFS($D$2:$D$45,D15,$C$2:$C$45,"&gt;0",$C$2:$C$45,"&lt;"&amp;C15)+(COUNTIFS($D$2:$D$45,D15,$C$2:$C$45,C15)+1)/2)/COUNTIFS($D$2:$D$45,D15,$C$2:$C$45,"&gt;0"))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43646</v>
      </c>
      <c r="B16" s="24" t="n">
        <v>6099.45</v>
      </c>
      <c r="C16" s="25" t="n">
        <v>30.49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IF(C16="","",(COUNTIFS($D$2:$D$45,D16,$C$2:$C$45,"&gt;0",$C$2:$C$45,"&lt;"&amp;C16)+(COUNTIFS($D$2:$D$45,D16,$C$2:$C$45,C16)+1)/2)/COUNTIFS($D$2:$D$45,D16,$C$2:$C$45,"&gt;0"))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43738</v>
      </c>
      <c r="B17" s="24" t="n">
        <v>5914.85</v>
      </c>
      <c r="C17" s="25" t="n">
        <v>27.11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IF(C17="","",(COUNTIFS($D$2:$D$45,D17,$C$2:$C$45,"&gt;0",$C$2:$C$45,"&lt;"&amp;C17)+(COUNTIFS($D$2:$D$45,D17,$C$2:$C$45,C17)+1)/2)/COUNTIFS($D$2:$D$45,D17,$C$2:$C$45,"&gt;0"))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43830</v>
      </c>
      <c r="B18" s="24" t="n">
        <v>6254.95</v>
      </c>
      <c r="C18" s="25" t="n">
        <v>29.95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IF(C18="","",(COUNTIFS($D$2:$D$45,D18,$C$2:$C$45,"&gt;0",$C$2:$C$45,"&lt;"&amp;C18)+(COUNTIFS($D$2:$D$45,D18,$C$2:$C$45,C18)+1)/2)/COUNTIFS($D$2:$D$45,D18,$C$2:$C$45,"&gt;0"))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43921</v>
      </c>
      <c r="B19" s="24" t="n">
        <v>4433.85</v>
      </c>
      <c r="C19" s="25" t="n">
        <v>20.87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IF(C19="","",(COUNTIFS($D$2:$D$45,D19,$C$2:$C$45,"&gt;0",$C$2:$C$45,"&lt;"&amp;C19)+(COUNTIFS($D$2:$D$45,D19,$C$2:$C$45,C19)+1)/2)/COUNTIFS($D$2:$D$45,D19,$C$2:$C$45,"&gt;0"))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44012</v>
      </c>
      <c r="B20" s="24" t="n">
        <v>5350.4</v>
      </c>
      <c r="C20" s="25" t="n">
        <v>29.05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IF(C20="","",(COUNTIFS($D$2:$D$45,D20,$C$2:$C$45,"&gt;0",$C$2:$C$45,"&lt;"&amp;C20)+(COUNTIFS($D$2:$D$45,D20,$C$2:$C$45,C20)+1)/2)/COUNTIFS($D$2:$D$45,D20,$C$2:$C$45,"&gt;0"))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44104</v>
      </c>
      <c r="B21" s="24" t="n">
        <v>5848.9</v>
      </c>
      <c r="C21" s="25" t="n">
        <v>39.7</v>
      </c>
      <c r="D21" s="2" t="inlineStr">
        <is>
          <t>Standalone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IF(C21="","",(COUNTIFS($D$2:$D$45,D21,$C$2:$C$45,"&gt;0",$C$2:$C$45,"&lt;"&amp;C21)+(COUNTIFS($D$2:$D$45,D21,$C$2:$C$45,C21)+1)/2)/COUNTIFS($D$2:$D$45,D21,$C$2:$C$45,"&gt;0"))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44196</v>
      </c>
      <c r="B22" s="24" t="n">
        <v>7231.8</v>
      </c>
      <c r="C22" s="25" t="n">
        <v>43.26</v>
      </c>
      <c r="D22" s="2" t="inlineStr">
        <is>
          <t>Standalone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IF(C22="","",(COUNTIFS($D$2:$D$45,D22,$C$2:$C$45,"&gt;0",$C$2:$C$45,"&lt;"&amp;C22)+(COUNTIFS($D$2:$D$45,D22,$C$2:$C$45,C22)+1)/2)/COUNTIFS($D$2:$D$45,D22,$C$2:$C$45,"&gt;0"))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44286</v>
      </c>
      <c r="B23" s="24" t="n">
        <v>7671.6</v>
      </c>
      <c r="C23" s="25" t="n">
        <v>35.13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IF(C23="","",(COUNTIFS($D$2:$D$45,D23,$C$2:$C$45,"&gt;0",$C$2:$C$45,"&lt;"&amp;C23)+(COUNTIFS($D$2:$D$45,D23,$C$2:$C$45,C23)+1)/2)/COUNTIFS($D$2:$D$45,D23,$C$2:$C$45,"&gt;0"))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44377</v>
      </c>
      <c r="B24" s="24" t="n">
        <v>8325.549999999999</v>
      </c>
      <c r="C24" s="25" t="n">
        <v>29.46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IF(C24="","",(COUNTIFS($D$2:$D$45,D24,$C$2:$C$45,"&gt;0",$C$2:$C$45,"&lt;"&amp;C24)+(COUNTIFS($D$2:$D$45,D24,$C$2:$C$45,C24)+1)/2)/COUNTIFS($D$2:$D$45,D24,$C$2:$C$45,"&gt;0"))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>
        <f>IFERROR((B44/B24)^(1/5)-1,"")</f>
        <v/>
      </c>
      <c r="L24" s="30" t="n"/>
    </row>
    <row r="25">
      <c r="A25" s="31" t="n">
        <v>44469</v>
      </c>
      <c r="B25" s="24" t="n">
        <v>9318.549999999999</v>
      </c>
      <c r="C25" s="25" t="n">
        <v>27.61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IF(C25="","",(COUNTIFS($D$2:$D$45,D25,$C$2:$C$45,"&gt;0",$C$2:$C$45,"&lt;"&amp;C25)+(COUNTIFS($D$2:$D$45,D25,$C$2:$C$45,C25)+1)/2)/COUNTIFS($D$2:$D$45,D25,$C$2:$C$45,"&gt;0"))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>
        <f>IFERROR((B45/B25)^(1/5)-1,"")</f>
        <v/>
      </c>
      <c r="L25" s="30" t="n"/>
    </row>
    <row r="26">
      <c r="A26" s="31" t="n">
        <v>44561</v>
      </c>
      <c r="B26" s="24" t="n">
        <v>9218.35</v>
      </c>
      <c r="C26" s="25" t="n">
        <v>24.63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IF(C26="","",(COUNTIFS($D$2:$D$45,D26,$C$2:$C$45,"&gt;0",$C$2:$C$45,"&lt;"&amp;C26)+(COUNTIFS($D$2:$D$45,D26,$C$2:$C$45,C26)+1)/2)/COUNTIFS($D$2:$D$45,D26,$C$2:$C$45,"&gt;0"))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44651</v>
      </c>
      <c r="B27" s="24" t="n">
        <v>9207</v>
      </c>
      <c r="C27" s="25" t="n">
        <v>23.18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IF(C27="","",(COUNTIFS($D$2:$D$45,D27,$C$2:$C$45,"&gt;0",$C$2:$C$45,"&lt;"&amp;C27)+(COUNTIFS($D$2:$D$45,D27,$C$2:$C$45,C27)+1)/2)/COUNTIFS($D$2:$D$45,D27,$C$2:$C$45,"&gt;0"))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44742</v>
      </c>
      <c r="B28" s="24" t="n">
        <v>8290.799999999999</v>
      </c>
      <c r="C28" s="25" t="n">
        <v>19.67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IF(C28="","",(COUNTIFS($D$2:$D$45,D28,$C$2:$C$45,"&gt;0",$C$2:$C$45,"&lt;"&amp;C28)+(COUNTIFS($D$2:$D$45,D28,$C$2:$C$45,C28)+1)/2)/COUNTIFS($D$2:$D$45,D28,$C$2:$C$45,"&gt;0"))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44834</v>
      </c>
      <c r="B29" s="24" t="n">
        <v>9147.450000000001</v>
      </c>
      <c r="C29" s="25" t="n">
        <v>21.52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IF(C29="","",(COUNTIFS($D$2:$D$45,D29,$C$2:$C$45,"&gt;0",$C$2:$C$45,"&lt;"&amp;C29)+(COUNTIFS($D$2:$D$45,D29,$C$2:$C$45,C29)+1)/2)/COUNTIFS($D$2:$D$45,D29,$C$2:$C$45,"&gt;0"))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44926</v>
      </c>
      <c r="B30" s="24" t="n">
        <v>9554.450000000001</v>
      </c>
      <c r="C30" s="25" t="n">
        <v>22.88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IF(C30="","",(COUNTIFS($D$2:$D$45,D30,$C$2:$C$45,"&gt;0",$C$2:$C$45,"&lt;"&amp;C30)+(COUNTIFS($D$2:$D$45,D30,$C$2:$C$45,C30)+1)/2)/COUNTIFS($D$2:$D$45,D30,$C$2:$C$45,"&gt;0"))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45016</v>
      </c>
      <c r="B31" s="24" t="n">
        <v>9007.9</v>
      </c>
      <c r="C31" s="25" t="n">
        <v>21.26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IF(C31="","",(COUNTIFS($D$2:$D$45,D31,$C$2:$C$45,"&gt;0",$C$2:$C$45,"&lt;"&amp;C31)+(COUNTIFS($D$2:$D$45,D31,$C$2:$C$45,C31)+1)/2)/COUNTIFS($D$2:$D$45,D31,$C$2:$C$45,"&gt;0"))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45107</v>
      </c>
      <c r="B32" s="24" t="n">
        <v>10104.35</v>
      </c>
      <c r="C32" s="25" t="n">
        <v>23.46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IF(C32="","",(COUNTIFS($D$2:$D$45,D32,$C$2:$C$45,"&gt;0",$C$2:$C$45,"&lt;"&amp;C32)+(COUNTIFS($D$2:$D$45,D32,$C$2:$C$45,C32)+1)/2)/COUNTIFS($D$2:$D$45,D32,$C$2:$C$45,"&gt;0"))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>
        <f>IFERROR((B44/B32)^(1/3)-1,"")</f>
        <v/>
      </c>
      <c r="K32" s="30" t="n"/>
      <c r="L32" s="30" t="n"/>
    </row>
    <row r="33">
      <c r="A33" s="31" t="n">
        <v>45199</v>
      </c>
      <c r="B33" s="24" t="n">
        <v>10510.25</v>
      </c>
      <c r="C33" s="25" t="n">
        <v>23.03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IF(C33="","",(COUNTIFS($D$2:$D$45,D33,$C$2:$C$45,"&gt;0",$C$2:$C$45,"&lt;"&amp;C33)+(COUNTIFS($D$2:$D$45,D33,$C$2:$C$45,C33)+1)/2)/COUNTIFS($D$2:$D$45,D33,$C$2:$C$45,"&gt;0"))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>
        <f>IFERROR((B45/B33)^(1/3)-1,"")</f>
        <v/>
      </c>
      <c r="K33" s="30" t="n"/>
      <c r="L33" s="30" t="n"/>
    </row>
    <row r="34">
      <c r="A34" s="31" t="n">
        <v>45291</v>
      </c>
      <c r="B34" s="24" t="n">
        <v>11798.7</v>
      </c>
      <c r="C34" s="25" t="n">
        <v>23.89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IF(C34="","",(COUNTIFS($D$2:$D$45,D34,$C$2:$C$45,"&gt;0",$C$2:$C$45,"&lt;"&amp;C34)+(COUNTIFS($D$2:$D$45,D34,$C$2:$C$45,C34)+1)/2)/COUNTIFS($D$2:$D$45,D34,$C$2:$C$45,"&gt;0"))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45382</v>
      </c>
      <c r="B35" s="24" t="n">
        <v>12329.75</v>
      </c>
      <c r="C35" s="25" t="n">
        <v>24.25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IF(C35="","",(COUNTIFS($D$2:$D$45,D35,$C$2:$C$45,"&gt;0",$C$2:$C$45,"&lt;"&amp;C35)+(COUNTIFS($D$2:$D$45,D35,$C$2:$C$45,C35)+1)/2)/COUNTIFS($D$2:$D$45,D35,$C$2:$C$45,"&gt;0"))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45473</v>
      </c>
      <c r="B36" s="24" t="n">
        <v>13579.25</v>
      </c>
      <c r="C36" s="25" t="n">
        <v>25.37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IF(C36="","",(COUNTIFS($D$2:$D$45,D36,$C$2:$C$45,"&gt;0",$C$2:$C$45,"&lt;"&amp;C36)+(COUNTIFS($D$2:$D$45,D36,$C$2:$C$45,C36)+1)/2)/COUNTIFS($D$2:$D$45,D36,$C$2:$C$45,"&gt;0"))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45565</v>
      </c>
      <c r="B37" s="24" t="n">
        <v>14610.8</v>
      </c>
      <c r="C37" s="25" t="n">
        <v>26.87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IF(C37="","",(COUNTIFS($D$2:$D$45,D37,$C$2:$C$45,"&gt;0",$C$2:$C$45,"&lt;"&amp;C37)+(COUNTIFS($D$2:$D$45,D37,$C$2:$C$45,C37)+1)/2)/COUNTIFS($D$2:$D$45,D37,$C$2:$C$45,"&gt;0"))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45657</v>
      </c>
      <c r="B38" s="24" t="n">
        <v>13406.95</v>
      </c>
      <c r="C38" s="25" t="n">
        <v>24.35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IF(C38="","",(COUNTIFS($D$2:$D$45,D38,$C$2:$C$45,"&gt;0",$C$2:$C$45,"&lt;"&amp;C38)+(COUNTIFS($D$2:$D$45,D38,$C$2:$C$45,C38)+1)/2)/COUNTIFS($D$2:$D$45,D38,$C$2:$C$45,"&gt;0"))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45747</v>
      </c>
      <c r="B39" s="24" t="n">
        <v>12982.75</v>
      </c>
      <c r="C39" s="25" t="n">
        <v>22.64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IF(C39="","",(COUNTIFS($D$2:$D$45,D39,$C$2:$C$45,"&gt;0",$C$2:$C$45,"&lt;"&amp;C39)+(COUNTIFS($D$2:$D$45,D39,$C$2:$C$45,C39)+1)/2)/COUNTIFS($D$2:$D$45,D39,$C$2:$C$45,"&gt;0"))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45838</v>
      </c>
      <c r="B40" s="24" t="n">
        <v>14252.65</v>
      </c>
      <c r="C40" s="25" t="n">
        <v>24.15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IF(C40="","",(COUNTIFS($D$2:$D$45,D40,$C$2:$C$45,"&gt;0",$C$2:$C$45,"&lt;"&amp;C40)+(COUNTIFS($D$2:$D$45,D40,$C$2:$C$45,C40)+1)/2)/COUNTIFS($D$2:$D$45,D40,$C$2:$C$45,"&gt;0"))</f>
        <v/>
      </c>
      <c r="H40">
        <f>IF(G40="","",IF(G40&lt;=20%,"Q1 Cheapest",IF(G40&lt;=40%,"Q2",IF(G40&lt;=60%,"Q3",IF(G40&lt;=80%,"Q4","Q5 Most Expensive")))))</f>
        <v/>
      </c>
      <c r="I40" s="30">
        <f>IFERROR(B44/B40-1,"")</f>
        <v/>
      </c>
      <c r="J40" s="30" t="n"/>
      <c r="K40" s="30" t="n"/>
      <c r="L40" s="30" t="n"/>
    </row>
    <row r="41">
      <c r="A41" s="31" t="n">
        <v>45930</v>
      </c>
      <c r="B41" s="24" t="n">
        <v>13739.95</v>
      </c>
      <c r="C41" s="25" t="n">
        <v>22.96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IF(C41="","",(COUNTIFS($D$2:$D$45,D41,$C$2:$C$45,"&gt;0",$C$2:$C$45,"&lt;"&amp;C41)+(COUNTIFS($D$2:$D$45,D41,$C$2:$C$45,C41)+1)/2)/COUNTIFS($D$2:$D$45,D41,$C$2:$C$45,"&gt;0"))</f>
        <v/>
      </c>
      <c r="H41">
        <f>IF(G41="","",IF(G41&lt;=20%,"Q1 Cheapest",IF(G41&lt;=40%,"Q2",IF(G41&lt;=60%,"Q3",IF(G41&lt;=80%,"Q4","Q5 Most Expensive")))))</f>
        <v/>
      </c>
      <c r="I41" s="30">
        <f>IFERROR(B45/B41-1,"")</f>
        <v/>
      </c>
      <c r="J41" s="30" t="n"/>
      <c r="K41" s="30" t="n"/>
      <c r="L41" s="30" t="n"/>
    </row>
    <row r="42">
      <c r="A42" s="31" t="n">
        <v>46022</v>
      </c>
      <c r="B42" s="24" t="n">
        <v>14533.5</v>
      </c>
      <c r="C42" s="25" t="n">
        <v>23.77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IF(C42="","",(COUNTIFS($D$2:$D$45,D42,$C$2:$C$45,"&gt;0",$C$2:$C$45,"&lt;"&amp;C42)+(COUNTIFS($D$2:$D$45,D42,$C$2:$C$45,C42)+1)/2)/COUNTIFS($D$2:$D$45,D42,$C$2:$C$45,"&gt;0"))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46112</v>
      </c>
      <c r="B43" s="24" t="n">
        <v>12492.1</v>
      </c>
      <c r="C43" s="25" t="n">
        <v>20.73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IF(C43="","",(COUNTIFS($D$2:$D$45,D43,$C$2:$C$45,"&gt;0",$C$2:$C$45,"&lt;"&amp;C43)+(COUNTIFS($D$2:$D$45,D43,$C$2:$C$45,C43)+1)/2)/COUNTIFS($D$2:$D$45,D43,$C$2:$C$45,"&gt;0"))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  <row r="44">
      <c r="A44" s="31" t="n">
        <v>46203</v>
      </c>
      <c r="B44" s="24" t="n">
        <v>13803.4</v>
      </c>
      <c r="C44" s="25" t="n">
        <v>21.59</v>
      </c>
      <c r="D44" s="2" t="inlineStr">
        <is>
          <t>Consolidated</t>
        </is>
      </c>
      <c r="E44" s="33">
        <f>IFERROR(B44/C44,"")</f>
        <v/>
      </c>
      <c r="F44" s="30">
        <f>IF(AND(D44=D40,E40&lt;&gt;""),E44/E40-1,"")</f>
        <v/>
      </c>
      <c r="G44" s="30">
        <f>IF(C44="","",(COUNTIFS($D$2:$D$45,D44,$C$2:$C$45,"&gt;0",$C$2:$C$45,"&lt;"&amp;C44)+(COUNTIFS($D$2:$D$45,D44,$C$2:$C$45,C44)+1)/2)/COUNTIFS($D$2:$D$45,D44,$C$2:$C$45,"&gt;0"))</f>
        <v/>
      </c>
      <c r="H44">
        <f>IF(G44="","",IF(G44&lt;=20%,"Q1 Cheapest",IF(G44&lt;=40%,"Q2",IF(G44&lt;=60%,"Q3",IF(G44&lt;=80%,"Q4","Q5 Most Expensive")))))</f>
        <v/>
      </c>
      <c r="I44" s="30" t="n"/>
      <c r="J44" s="30" t="n"/>
      <c r="K44" s="30" t="n"/>
      <c r="L44" s="30" t="n"/>
    </row>
    <row r="45">
      <c r="A45" s="31" t="n">
        <v>46295</v>
      </c>
      <c r="B45" s="24" t="n">
        <v>13169.95</v>
      </c>
      <c r="C45" s="25" t="n">
        <v>20.45</v>
      </c>
      <c r="D45" s="2" t="inlineStr">
        <is>
          <t>Consolidated</t>
        </is>
      </c>
      <c r="E45" s="33">
        <f>IFERROR(B45/C45,"")</f>
        <v/>
      </c>
      <c r="F45" s="30">
        <f>IF(AND(D45=D41,E41&lt;&gt;""),E45/E41-1,"")</f>
        <v/>
      </c>
      <c r="G45" s="30">
        <f>IF(C45="","",(COUNTIFS($D$2:$D$45,D45,$C$2:$C$45,"&gt;0",$C$2:$C$45,"&lt;"&amp;C45)+(COUNTIFS($D$2:$D$45,D45,$C$2:$C$45,C45)+1)/2)/COUNTIFS($D$2:$D$45,D45,$C$2:$C$45,"&gt;0"))</f>
        <v/>
      </c>
      <c r="H45">
        <f>IF(G45="","",IF(G45&lt;=20%,"Q1 Cheapest",IF(G45&lt;=40%,"Q2",IF(G45&lt;=60%,"Q3",IF(G45&lt;=80%,"Q4","Q5 Most Expensive")))))</f>
        <v/>
      </c>
      <c r="I45" s="30" t="n"/>
      <c r="J45" s="30" t="n"/>
      <c r="K45" s="30" t="n"/>
      <c r="L45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7" customWidth="1" min="4" max="4"/>
    <col width="17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13636.5</v>
      </c>
      <c r="C2" s="25" t="n">
        <v>21.09</v>
      </c>
      <c r="D2" s="26" t="n">
        <v>0.0530303030303</v>
      </c>
      <c r="E2" s="26" t="n">
        <v>0.0660088637191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13655.8</v>
      </c>
      <c r="C3" s="25" t="n">
        <v>21.12</v>
      </c>
      <c r="D3" s="26" t="n">
        <v>0.0757575757576</v>
      </c>
      <c r="E3" s="26" t="n">
        <v>0.0660153891319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13613.4</v>
      </c>
      <c r="C4" s="25" t="n">
        <v>21.06</v>
      </c>
      <c r="D4" s="26" t="n">
        <v>0.0530303030303</v>
      </c>
      <c r="E4" s="26" t="n">
        <v>0.0659491669309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13695.95</v>
      </c>
      <c r="C5" s="25" t="n">
        <v>21.19</v>
      </c>
      <c r="D5" s="26" t="n">
        <v>0.08333333333329999</v>
      </c>
      <c r="E5" s="26" t="n">
        <v>0.06582458684960001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13457.55</v>
      </c>
      <c r="C6" s="25" t="n">
        <v>20.82</v>
      </c>
      <c r="D6" s="26" t="n">
        <v>0.0530303030303</v>
      </c>
      <c r="E6" s="26" t="n">
        <v>0.0658864507769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13494.2</v>
      </c>
      <c r="C7" s="25" t="n">
        <v>20.87</v>
      </c>
      <c r="D7" s="26" t="n">
        <v>0.0530303030303</v>
      </c>
      <c r="E7" s="26" t="n">
        <v>0.0659849886044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13272.2</v>
      </c>
      <c r="C8" s="25" t="n">
        <v>20.53</v>
      </c>
      <c r="D8" s="26" t="n">
        <v>0.0227272727273</v>
      </c>
      <c r="E8" s="26" t="n">
        <v>0.0660026193999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13197.3</v>
      </c>
      <c r="C9" s="25" t="n">
        <v>20.41</v>
      </c>
      <c r="D9" s="26" t="n">
        <v>0.0227272727273</v>
      </c>
      <c r="E9" s="26" t="n">
        <v>0.066168019378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13169.95</v>
      </c>
      <c r="C10" s="25" t="n">
        <v>20.45</v>
      </c>
      <c r="D10" s="26" t="n">
        <v>0.0298507462687</v>
      </c>
      <c r="E10" s="26" t="n">
        <v>0.0761617335404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13046.45</v>
      </c>
      <c r="C11" s="25" t="n">
        <v>20.25</v>
      </c>
      <c r="D11" s="26" t="n">
        <v>0.0223880597015</v>
      </c>
      <c r="E11" s="26" t="n">
        <v>0.0765410623215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13121.05</v>
      </c>
      <c r="C12" s="25" t="n">
        <v>20.37</v>
      </c>
      <c r="D12" s="26" t="n">
        <v>0.0223880597015</v>
      </c>
      <c r="E12" s="26" t="n">
        <v>0.0766097504343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13254.3</v>
      </c>
      <c r="C13" s="25" t="n">
        <v>20.58</v>
      </c>
      <c r="D13" s="26" t="n">
        <v>0.0373134328358</v>
      </c>
      <c r="E13" s="26" t="n">
        <v>0.07621351332490001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13155.9</v>
      </c>
      <c r="C14" s="25" t="n">
        <v>20.42</v>
      </c>
      <c r="D14" s="26" t="n">
        <v>0.0223880597015</v>
      </c>
      <c r="E14" s="26" t="n">
        <v>0.0769061622585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12897.8</v>
      </c>
      <c r="C15" s="25" t="n">
        <v>20.02</v>
      </c>
      <c r="D15" s="26" t="n">
        <v>0.0223880597015</v>
      </c>
      <c r="E15" s="26" t="n">
        <v>0.0766439450796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13062.85</v>
      </c>
      <c r="C16" s="25" t="n">
        <v>20.28</v>
      </c>
      <c r="D16" s="26" t="n">
        <v>0.0223880597015</v>
      </c>
      <c r="E16" s="26" t="n">
        <v>0.07666817502709999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13011.05</v>
      </c>
      <c r="C17" s="25" t="n">
        <v>20.19</v>
      </c>
      <c r="D17" s="26" t="n">
        <v>0.0223880597015</v>
      </c>
      <c r="E17" s="26" t="n">
        <v>0.07702975219160001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13190.55</v>
      </c>
      <c r="C18" s="25" t="n">
        <v>20.45</v>
      </c>
      <c r="D18" s="26" t="n">
        <v>0.0298507462687</v>
      </c>
      <c r="E18" s="26" t="n">
        <v>0.0779042010163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13152.95</v>
      </c>
      <c r="C19" s="25" t="n">
        <v>20.4</v>
      </c>
      <c r="D19" s="26" t="n">
        <v>0.0223880597015</v>
      </c>
      <c r="E19" s="26" t="n">
        <v>0.0775013433978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13275.3</v>
      </c>
      <c r="C20" s="25" t="n">
        <v>20.57</v>
      </c>
      <c r="D20" s="26" t="n">
        <v>0.0373134328358</v>
      </c>
      <c r="E20" s="26" t="n">
        <v>0.078876375475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13337.4</v>
      </c>
      <c r="C21" s="25" t="n">
        <v>20.66</v>
      </c>
      <c r="D21" s="26" t="n">
        <v>0.0373134328358</v>
      </c>
      <c r="E21" s="26" t="n">
        <v>0.08179680168880001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  <row r="22">
      <c r="A22" s="31" t="n">
        <v>46314</v>
      </c>
      <c r="B22" s="24" t="n">
        <v>13203.35</v>
      </c>
      <c r="C22" s="25" t="n">
        <v>20.27</v>
      </c>
      <c r="D22" s="26" t="n">
        <v>0.0223880597015</v>
      </c>
      <c r="E22" s="26" t="n">
        <v>0.0901313145817</v>
      </c>
      <c r="F22" s="34">
        <f>IF(D22="","",100*(1-D22))</f>
        <v/>
      </c>
      <c r="G22" s="34">
        <f>IF(E22="","",IF(E22&lt;=0,20,IF(E22&lt;5%,20+400*E22,IF(E22&lt;10%,40+400*(E22-5%),IF(E22&lt;15%,60+400*(E22-10%),IF(E22&lt;25%,80+200*(E22-15%),100))))))</f>
        <v/>
      </c>
      <c r="H22" s="34">
        <f>IF(OR(F22="",G22=""),"",70%*F22+30%*G22)</f>
        <v/>
      </c>
      <c r="I22">
        <f>IF(H22="","",IF(H22&gt;=70,"BUY",IF(H22&gt;=40,"HOLD","SELL")))</f>
        <v/>
      </c>
    </row>
    <row r="23">
      <c r="A23" s="31" t="n">
        <v>46316</v>
      </c>
      <c r="B23" s="24" t="n">
        <v>13103.15</v>
      </c>
      <c r="C23" s="25" t="n">
        <v>20.12</v>
      </c>
      <c r="D23" s="26" t="n">
        <v>0.0223880597015</v>
      </c>
      <c r="E23" s="26" t="n">
        <v>0.0846813278441</v>
      </c>
      <c r="F23" s="34">
        <f>IF(D23="","",100*(1-D23))</f>
        <v/>
      </c>
      <c r="G23" s="34">
        <f>IF(E23="","",IF(E23&lt;=0,20,IF(E23&lt;5%,20+400*E23,IF(E23&lt;10%,40+400*(E23-5%),IF(E23&lt;15%,60+400*(E23-10%),IF(E23&lt;25%,80+200*(E23-15%),100))))))</f>
        <v/>
      </c>
      <c r="H23" s="34">
        <f>IF(OR(F23="",G23=""),"",70%*F23+30%*G23)</f>
        <v/>
      </c>
      <c r="I23">
        <f>IF(H23="","",IF(H23&gt;=70,"BUY",IF(H23&gt;=40,"HOLD","SELL")))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12" customWidth="1" min="3" max="3"/>
    <col width="32" customWidth="1" min="4" max="4"/>
    <col width="15" customWidth="1" min="5" max="5"/>
  </cols>
  <sheetData>
    <row r="1">
      <c r="A1" s="35" t="inlineStr">
        <is>
          <t>NIFTY 200 Composition</t>
        </is>
      </c>
    </row>
    <row r="2">
      <c r="A2" s="2" t="inlineStr">
        <is>
          <t>As of</t>
        </is>
      </c>
      <c r="B2" s="4" t="inlineStr">
        <is>
          <t>Retrieved 2026-10-21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ABB India Ltd.</t>
        </is>
      </c>
      <c r="C6" t="inlineStr">
        <is>
          <t>ABB</t>
        </is>
      </c>
      <c r="D6" t="inlineStr">
        <is>
          <t>Capital Goods</t>
        </is>
      </c>
    </row>
    <row r="7">
      <c r="A7" t="n">
        <v>2</v>
      </c>
      <c r="B7" t="inlineStr">
        <is>
          <t>Adani Energy Solutions Ltd.</t>
        </is>
      </c>
      <c r="C7" t="inlineStr">
        <is>
          <t>ADANIENSOL</t>
        </is>
      </c>
      <c r="D7" t="inlineStr">
        <is>
          <t>Power</t>
        </is>
      </c>
    </row>
    <row r="8">
      <c r="A8" t="n">
        <v>3</v>
      </c>
      <c r="B8" t="inlineStr">
        <is>
          <t>Adani Enterprises Ltd.</t>
        </is>
      </c>
      <c r="C8" t="inlineStr">
        <is>
          <t>ADANIENT</t>
        </is>
      </c>
      <c r="D8" t="inlineStr">
        <is>
          <t>Metals &amp; Mining</t>
        </is>
      </c>
    </row>
    <row r="9">
      <c r="A9" t="n">
        <v>4</v>
      </c>
      <c r="B9" t="inlineStr">
        <is>
          <t>Adani Green Energy Ltd.</t>
        </is>
      </c>
      <c r="C9" t="inlineStr">
        <is>
          <t>ADANIGREEN</t>
        </is>
      </c>
      <c r="D9" t="inlineStr">
        <is>
          <t>Power</t>
        </is>
      </c>
    </row>
    <row r="10">
      <c r="A10" t="n">
        <v>5</v>
      </c>
      <c r="B10" t="inlineStr">
        <is>
          <t>Adani Ports and Special Economic Zone Ltd.</t>
        </is>
      </c>
      <c r="C10" t="inlineStr">
        <is>
          <t>ADANIPORTS</t>
        </is>
      </c>
      <c r="D10" t="inlineStr">
        <is>
          <t>Services</t>
        </is>
      </c>
    </row>
    <row r="11">
      <c r="A11" t="n">
        <v>6</v>
      </c>
      <c r="B11" t="inlineStr">
        <is>
          <t>Adani Power Ltd.</t>
        </is>
      </c>
      <c r="C11" t="inlineStr">
        <is>
          <t>ADANIPOWER</t>
        </is>
      </c>
      <c r="D11" t="inlineStr">
        <is>
          <t>Power</t>
        </is>
      </c>
    </row>
    <row r="12">
      <c r="A12" t="n">
        <v>7</v>
      </c>
      <c r="B12" t="inlineStr">
        <is>
          <t>Adani Total Gas Ltd.</t>
        </is>
      </c>
      <c r="C12" t="inlineStr">
        <is>
          <t>ATGL</t>
        </is>
      </c>
      <c r="D12" t="inlineStr">
        <is>
          <t>Oil Gas &amp; Consumable Fuels</t>
        </is>
      </c>
    </row>
    <row r="13">
      <c r="A13" t="n">
        <v>8</v>
      </c>
      <c r="B13" t="inlineStr">
        <is>
          <t>Aditya Birla Capital Ltd.</t>
        </is>
      </c>
      <c r="C13" t="inlineStr">
        <is>
          <t>ABCAPITAL</t>
        </is>
      </c>
      <c r="D13" t="inlineStr">
        <is>
          <t>Financial Services</t>
        </is>
      </c>
    </row>
    <row r="14">
      <c r="A14" t="n">
        <v>9</v>
      </c>
      <c r="B14" t="inlineStr">
        <is>
          <t>Ambuja Cements Ltd.</t>
        </is>
      </c>
      <c r="C14" t="inlineStr">
        <is>
          <t>AMBUJACEM</t>
        </is>
      </c>
      <c r="D14" t="inlineStr">
        <is>
          <t>Construction Materials</t>
        </is>
      </c>
    </row>
    <row r="15">
      <c r="A15" t="n">
        <v>10</v>
      </c>
      <c r="B15" t="inlineStr">
        <is>
          <t>Apar Industries Ltd.</t>
        </is>
      </c>
      <c r="C15" t="inlineStr">
        <is>
          <t>APARINDS</t>
        </is>
      </c>
      <c r="D15" t="inlineStr">
        <is>
          <t>Capital Goods</t>
        </is>
      </c>
    </row>
    <row r="16">
      <c r="A16" t="n">
        <v>11</v>
      </c>
      <c r="B16" t="inlineStr">
        <is>
          <t>APL Apollo Tubes Ltd.</t>
        </is>
      </c>
      <c r="C16" t="inlineStr">
        <is>
          <t>APLAPOLLO</t>
        </is>
      </c>
      <c r="D16" t="inlineStr">
        <is>
          <t>Capital Goods</t>
        </is>
      </c>
    </row>
    <row r="17">
      <c r="A17" t="n">
        <v>12</v>
      </c>
      <c r="B17" t="inlineStr">
        <is>
          <t>Apollo Hospitals Enterprise Ltd.</t>
        </is>
      </c>
      <c r="C17" t="inlineStr">
        <is>
          <t>APOLLOHOSP</t>
        </is>
      </c>
      <c r="D17" t="inlineStr">
        <is>
          <t>Healthcare</t>
        </is>
      </c>
    </row>
    <row r="18">
      <c r="A18" t="n">
        <v>13</v>
      </c>
      <c r="B18" t="inlineStr">
        <is>
          <t>Ashok Leyland Ltd.</t>
        </is>
      </c>
      <c r="C18" t="inlineStr">
        <is>
          <t>ASHOKLEY</t>
        </is>
      </c>
      <c r="D18" t="inlineStr">
        <is>
          <t>Capital Goods</t>
        </is>
      </c>
    </row>
    <row r="19">
      <c r="A19" t="n">
        <v>14</v>
      </c>
      <c r="B19" t="inlineStr">
        <is>
          <t>Asian Paints Ltd.</t>
        </is>
      </c>
      <c r="C19" t="inlineStr">
        <is>
          <t>ASIANPAINT</t>
        </is>
      </c>
      <c r="D19" t="inlineStr">
        <is>
          <t>Consumer Durables</t>
        </is>
      </c>
    </row>
    <row r="20">
      <c r="A20" t="n">
        <v>15</v>
      </c>
      <c r="B20" t="inlineStr">
        <is>
          <t>Astral Ltd.</t>
        </is>
      </c>
      <c r="C20" t="inlineStr">
        <is>
          <t>ASTRAL</t>
        </is>
      </c>
      <c r="D20" t="inlineStr">
        <is>
          <t>Capital Goods</t>
        </is>
      </c>
    </row>
    <row r="21">
      <c r="A21" t="n">
        <v>16</v>
      </c>
      <c r="B21" t="inlineStr">
        <is>
          <t>AU Small Finance Bank Ltd.</t>
        </is>
      </c>
      <c r="C21" t="inlineStr">
        <is>
          <t>AUBANK</t>
        </is>
      </c>
      <c r="D21" t="inlineStr">
        <is>
          <t>Financial Services</t>
        </is>
      </c>
    </row>
    <row r="22">
      <c r="A22" t="n">
        <v>17</v>
      </c>
      <c r="B22" t="inlineStr">
        <is>
          <t>Aurobindo Pharma Ltd.</t>
        </is>
      </c>
      <c r="C22" t="inlineStr">
        <is>
          <t>AUROPHARMA</t>
        </is>
      </c>
      <c r="D22" t="inlineStr">
        <is>
          <t>Healthcare</t>
        </is>
      </c>
    </row>
    <row r="23">
      <c r="A23" t="n">
        <v>18</v>
      </c>
      <c r="B23" t="inlineStr">
        <is>
          <t>Avenue Supermarts Ltd.</t>
        </is>
      </c>
      <c r="C23" t="inlineStr">
        <is>
          <t>DMART</t>
        </is>
      </c>
      <c r="D23" t="inlineStr">
        <is>
          <t>Consumer Services</t>
        </is>
      </c>
    </row>
    <row r="24">
      <c r="A24" t="n">
        <v>19</v>
      </c>
      <c r="B24" t="inlineStr">
        <is>
          <t>Axis Bank Ltd.</t>
        </is>
      </c>
      <c r="C24" t="inlineStr">
        <is>
          <t>AXISBANK</t>
        </is>
      </c>
      <c r="D24" t="inlineStr">
        <is>
          <t>Financial Services</t>
        </is>
      </c>
    </row>
    <row r="25">
      <c r="A25" t="n">
        <v>20</v>
      </c>
      <c r="B25" t="inlineStr">
        <is>
          <t>Bajaj Auto Ltd.</t>
        </is>
      </c>
      <c r="C25" t="inlineStr">
        <is>
          <t>BAJAJ-AUTO</t>
        </is>
      </c>
      <c r="D25" t="inlineStr">
        <is>
          <t>Automobile and Auto Components</t>
        </is>
      </c>
    </row>
    <row r="26">
      <c r="A26" t="n">
        <v>21</v>
      </c>
      <c r="B26" t="inlineStr">
        <is>
          <t>Bajaj Finance Ltd.</t>
        </is>
      </c>
      <c r="C26" t="inlineStr">
        <is>
          <t>BAJFINANCE</t>
        </is>
      </c>
      <c r="D26" t="inlineStr">
        <is>
          <t>Financial Services</t>
        </is>
      </c>
    </row>
    <row r="27">
      <c r="A27" t="n">
        <v>22</v>
      </c>
      <c r="B27" t="inlineStr">
        <is>
          <t>Bajaj Finserv Ltd.</t>
        </is>
      </c>
      <c r="C27" t="inlineStr">
        <is>
          <t>BAJAJFINSV</t>
        </is>
      </c>
      <c r="D27" t="inlineStr">
        <is>
          <t>Financial Services</t>
        </is>
      </c>
    </row>
    <row r="28">
      <c r="A28" t="n">
        <v>23</v>
      </c>
      <c r="B28" t="inlineStr">
        <is>
          <t>Bajaj Holdings &amp; Investment Ltd.</t>
        </is>
      </c>
      <c r="C28" t="inlineStr">
        <is>
          <t>BAJAJHLDNG</t>
        </is>
      </c>
      <c r="D28" t="inlineStr">
        <is>
          <t>Financial Services</t>
        </is>
      </c>
    </row>
    <row r="29">
      <c r="A29" t="n">
        <v>24</v>
      </c>
      <c r="B29" t="inlineStr">
        <is>
          <t>Bank of Baroda</t>
        </is>
      </c>
      <c r="C29" t="inlineStr">
        <is>
          <t>BANKBARODA</t>
        </is>
      </c>
      <c r="D29" t="inlineStr">
        <is>
          <t>Financial Services</t>
        </is>
      </c>
    </row>
    <row r="30">
      <c r="A30" t="n">
        <v>25</v>
      </c>
      <c r="B30" t="inlineStr">
        <is>
          <t>Bank of India</t>
        </is>
      </c>
      <c r="C30" t="inlineStr">
        <is>
          <t>BANKINDIA</t>
        </is>
      </c>
      <c r="D30" t="inlineStr">
        <is>
          <t>Financial Services</t>
        </is>
      </c>
    </row>
    <row r="31">
      <c r="A31" t="n">
        <v>26</v>
      </c>
      <c r="B31" t="inlineStr">
        <is>
          <t>Bank of Maharashtra</t>
        </is>
      </c>
      <c r="C31" t="inlineStr">
        <is>
          <t>MAHABANK</t>
        </is>
      </c>
      <c r="D31" t="inlineStr">
        <is>
          <t>Financial Services</t>
        </is>
      </c>
    </row>
    <row r="32">
      <c r="A32" t="n">
        <v>27</v>
      </c>
      <c r="B32" t="inlineStr">
        <is>
          <t>Bharat Dynamics Ltd.</t>
        </is>
      </c>
      <c r="C32" t="inlineStr">
        <is>
          <t>BDL</t>
        </is>
      </c>
      <c r="D32" t="inlineStr">
        <is>
          <t>Capital Goods</t>
        </is>
      </c>
    </row>
    <row r="33">
      <c r="A33" t="n">
        <v>28</v>
      </c>
      <c r="B33" t="inlineStr">
        <is>
          <t>Bharat Electronics Ltd.</t>
        </is>
      </c>
      <c r="C33" t="inlineStr">
        <is>
          <t>BEL</t>
        </is>
      </c>
      <c r="D33" t="inlineStr">
        <is>
          <t>Capital Goods</t>
        </is>
      </c>
    </row>
    <row r="34">
      <c r="A34" t="n">
        <v>29</v>
      </c>
      <c r="B34" t="inlineStr">
        <is>
          <t>Bharat Forge Ltd.</t>
        </is>
      </c>
      <c r="C34" t="inlineStr">
        <is>
          <t>BHARATFORG</t>
        </is>
      </c>
      <c r="D34" t="inlineStr">
        <is>
          <t>Automobile and Auto Components</t>
        </is>
      </c>
    </row>
    <row r="35">
      <c r="A35" t="n">
        <v>30</v>
      </c>
      <c r="B35" t="inlineStr">
        <is>
          <t>Bharat Heavy Electricals Ltd.</t>
        </is>
      </c>
      <c r="C35" t="inlineStr">
        <is>
          <t>BHEL</t>
        </is>
      </c>
      <c r="D35" t="inlineStr">
        <is>
          <t>Capital Goods</t>
        </is>
      </c>
    </row>
    <row r="36">
      <c r="A36" t="n">
        <v>31</v>
      </c>
      <c r="B36" t="inlineStr">
        <is>
          <t>Bharat Petroleum Corporation Ltd.</t>
        </is>
      </c>
      <c r="C36" t="inlineStr">
        <is>
          <t>BPCL</t>
        </is>
      </c>
      <c r="D36" t="inlineStr">
        <is>
          <t>Oil Gas &amp; Consumable Fuels</t>
        </is>
      </c>
    </row>
    <row r="37">
      <c r="A37" t="n">
        <v>32</v>
      </c>
      <c r="B37" t="inlineStr">
        <is>
          <t>Bharti Airtel Ltd.</t>
        </is>
      </c>
      <c r="C37" t="inlineStr">
        <is>
          <t>BHARTIARTL</t>
        </is>
      </c>
      <c r="D37" t="inlineStr">
        <is>
          <t>Telecommunication</t>
        </is>
      </c>
    </row>
    <row r="38">
      <c r="A38" t="n">
        <v>33</v>
      </c>
      <c r="B38" t="inlineStr">
        <is>
          <t>Billionbrains Garage Ventures Ltd.</t>
        </is>
      </c>
      <c r="C38" t="inlineStr">
        <is>
          <t>GROWW</t>
        </is>
      </c>
      <c r="D38" t="inlineStr">
        <is>
          <t>Financial Services</t>
        </is>
      </c>
    </row>
    <row r="39">
      <c r="A39" t="n">
        <v>34</v>
      </c>
      <c r="B39" t="inlineStr">
        <is>
          <t>Biocon Ltd.</t>
        </is>
      </c>
      <c r="C39" t="inlineStr">
        <is>
          <t>BIOCON</t>
        </is>
      </c>
      <c r="D39" t="inlineStr">
        <is>
          <t>Healthcare</t>
        </is>
      </c>
    </row>
    <row r="40">
      <c r="A40" t="n">
        <v>35</v>
      </c>
      <c r="B40" t="inlineStr">
        <is>
          <t>Blue Star Ltd.</t>
        </is>
      </c>
      <c r="C40" t="inlineStr">
        <is>
          <t>BLUESTARCO</t>
        </is>
      </c>
      <c r="D40" t="inlineStr">
        <is>
          <t>Consumer Durables</t>
        </is>
      </c>
    </row>
    <row r="41">
      <c r="A41" t="n">
        <v>36</v>
      </c>
      <c r="B41" t="inlineStr">
        <is>
          <t>Bosch Ltd.</t>
        </is>
      </c>
      <c r="C41" t="inlineStr">
        <is>
          <t>BOSCHLTD</t>
        </is>
      </c>
      <c r="D41" t="inlineStr">
        <is>
          <t>Automobile and Auto Components</t>
        </is>
      </c>
    </row>
    <row r="42">
      <c r="A42" t="n">
        <v>37</v>
      </c>
      <c r="B42" t="inlineStr">
        <is>
          <t>Britannia Industries Ltd.</t>
        </is>
      </c>
      <c r="C42" t="inlineStr">
        <is>
          <t>BRITANNIA</t>
        </is>
      </c>
      <c r="D42" t="inlineStr">
        <is>
          <t>Fast Moving Consumer Goods</t>
        </is>
      </c>
    </row>
    <row r="43">
      <c r="A43" t="n">
        <v>38</v>
      </c>
      <c r="B43" t="inlineStr">
        <is>
          <t>BSE Ltd.</t>
        </is>
      </c>
      <c r="C43" t="inlineStr">
        <is>
          <t>BSE</t>
        </is>
      </c>
      <c r="D43" t="inlineStr">
        <is>
          <t>Financial Services</t>
        </is>
      </c>
    </row>
    <row r="44">
      <c r="A44" t="n">
        <v>39</v>
      </c>
      <c r="B44" t="inlineStr">
        <is>
          <t>Canara Bank</t>
        </is>
      </c>
      <c r="C44" t="inlineStr">
        <is>
          <t>CANBK</t>
        </is>
      </c>
      <c r="D44" t="inlineStr">
        <is>
          <t>Financial Services</t>
        </is>
      </c>
    </row>
    <row r="45">
      <c r="A45" t="n">
        <v>40</v>
      </c>
      <c r="B45" t="inlineStr">
        <is>
          <t>CG Power and Industrial Solutions Ltd.</t>
        </is>
      </c>
      <c r="C45" t="inlineStr">
        <is>
          <t>CGPOWER</t>
        </is>
      </c>
      <c r="D45" t="inlineStr">
        <is>
          <t>Capital Goods</t>
        </is>
      </c>
    </row>
    <row r="46">
      <c r="A46" t="n">
        <v>41</v>
      </c>
      <c r="B46" t="inlineStr">
        <is>
          <t>Cholamandalam Investment and Finance Company Ltd.</t>
        </is>
      </c>
      <c r="C46" t="inlineStr">
        <is>
          <t>CHOLAFIN</t>
        </is>
      </c>
      <c r="D46" t="inlineStr">
        <is>
          <t>Financial Services</t>
        </is>
      </c>
    </row>
    <row r="47">
      <c r="A47" t="n">
        <v>42</v>
      </c>
      <c r="B47" t="inlineStr">
        <is>
          <t>Cipla Ltd.</t>
        </is>
      </c>
      <c r="C47" t="inlineStr">
        <is>
          <t>CIPLA</t>
        </is>
      </c>
      <c r="D47" t="inlineStr">
        <is>
          <t>Healthcare</t>
        </is>
      </c>
    </row>
    <row r="48">
      <c r="A48" t="n">
        <v>43</v>
      </c>
      <c r="B48" t="inlineStr">
        <is>
          <t>Coal India Ltd.</t>
        </is>
      </c>
      <c r="C48" t="inlineStr">
        <is>
          <t>COALINDIA</t>
        </is>
      </c>
      <c r="D48" t="inlineStr">
        <is>
          <t>Oil Gas &amp; Consumable Fuels</t>
        </is>
      </c>
    </row>
    <row r="49">
      <c r="A49" t="n">
        <v>44</v>
      </c>
      <c r="B49" t="inlineStr">
        <is>
          <t>Cochin Shipyard Ltd.</t>
        </is>
      </c>
      <c r="C49" t="inlineStr">
        <is>
          <t>COCHINSHIP</t>
        </is>
      </c>
      <c r="D49" t="inlineStr">
        <is>
          <t>Capital Goods</t>
        </is>
      </c>
    </row>
    <row r="50">
      <c r="A50" t="n">
        <v>45</v>
      </c>
      <c r="B50" t="inlineStr">
        <is>
          <t>Coforge Ltd.</t>
        </is>
      </c>
      <c r="C50" t="inlineStr">
        <is>
          <t>COFORGE</t>
        </is>
      </c>
      <c r="D50" t="inlineStr">
        <is>
          <t>Information Technology</t>
        </is>
      </c>
    </row>
    <row r="51">
      <c r="A51" t="n">
        <v>46</v>
      </c>
      <c r="B51" t="inlineStr">
        <is>
          <t>Colgate Palmolive (India) Ltd.</t>
        </is>
      </c>
      <c r="C51" t="inlineStr">
        <is>
          <t>COLPAL</t>
        </is>
      </c>
      <c r="D51" t="inlineStr">
        <is>
          <t>Fast Moving Consumer Goods</t>
        </is>
      </c>
    </row>
    <row r="52">
      <c r="A52" t="n">
        <v>47</v>
      </c>
      <c r="B52" t="inlineStr">
        <is>
          <t>Container Corporation of India Ltd.</t>
        </is>
      </c>
      <c r="C52" t="inlineStr">
        <is>
          <t>CONCOR</t>
        </is>
      </c>
      <c r="D52" t="inlineStr">
        <is>
          <t>Services</t>
        </is>
      </c>
    </row>
    <row r="53">
      <c r="A53" t="n">
        <v>48</v>
      </c>
      <c r="B53" t="inlineStr">
        <is>
          <t>Cummins India Ltd.</t>
        </is>
      </c>
      <c r="C53" t="inlineStr">
        <is>
          <t>CUMMINSIND</t>
        </is>
      </c>
      <c r="D53" t="inlineStr">
        <is>
          <t>Capital Goods</t>
        </is>
      </c>
    </row>
    <row r="54">
      <c r="A54" t="n">
        <v>49</v>
      </c>
      <c r="B54" t="inlineStr">
        <is>
          <t>Dabur India Ltd.</t>
        </is>
      </c>
      <c r="C54" t="inlineStr">
        <is>
          <t>DABUR</t>
        </is>
      </c>
      <c r="D54" t="inlineStr">
        <is>
          <t>Fast Moving Consumer Goods</t>
        </is>
      </c>
    </row>
    <row r="55">
      <c r="A55" t="n">
        <v>50</v>
      </c>
      <c r="B55" t="inlineStr">
        <is>
          <t>Divi's Laboratories Ltd.</t>
        </is>
      </c>
      <c r="C55" t="inlineStr">
        <is>
          <t>DIVISLAB</t>
        </is>
      </c>
      <c r="D55" t="inlineStr">
        <is>
          <t>Healthcare</t>
        </is>
      </c>
    </row>
    <row r="56">
      <c r="A56" t="n">
        <v>51</v>
      </c>
      <c r="B56" t="inlineStr">
        <is>
          <t>Dixon Technologies (India) Ltd.</t>
        </is>
      </c>
      <c r="C56" t="inlineStr">
        <is>
          <t>DIXON</t>
        </is>
      </c>
      <c r="D56" t="inlineStr">
        <is>
          <t>Consumer Durables</t>
        </is>
      </c>
    </row>
    <row r="57">
      <c r="A57" t="n">
        <v>52</v>
      </c>
      <c r="B57" t="inlineStr">
        <is>
          <t>DLF Ltd.</t>
        </is>
      </c>
      <c r="C57" t="inlineStr">
        <is>
          <t>DLF</t>
        </is>
      </c>
      <c r="D57" t="inlineStr">
        <is>
          <t>Realty</t>
        </is>
      </c>
    </row>
    <row r="58">
      <c r="A58" t="n">
        <v>53</v>
      </c>
      <c r="B58" t="inlineStr">
        <is>
          <t>Dr. Reddy's Laboratories Ltd.</t>
        </is>
      </c>
      <c r="C58" t="inlineStr">
        <is>
          <t>DRREDDY</t>
        </is>
      </c>
      <c r="D58" t="inlineStr">
        <is>
          <t>Healthcare</t>
        </is>
      </c>
    </row>
    <row r="59">
      <c r="A59" t="n">
        <v>54</v>
      </c>
      <c r="B59" t="inlineStr">
        <is>
          <t>Eicher Motors Ltd.</t>
        </is>
      </c>
      <c r="C59" t="inlineStr">
        <is>
          <t>EICHERMOT</t>
        </is>
      </c>
      <c r="D59" t="inlineStr">
        <is>
          <t>Automobile and Auto Components</t>
        </is>
      </c>
    </row>
    <row r="60">
      <c r="A60" t="n">
        <v>55</v>
      </c>
      <c r="B60" t="inlineStr">
        <is>
          <t>Eternal Ltd.</t>
        </is>
      </c>
      <c r="C60" t="inlineStr">
        <is>
          <t>ETERNAL</t>
        </is>
      </c>
      <c r="D60" t="inlineStr">
        <is>
          <t>Consumer Services</t>
        </is>
      </c>
    </row>
    <row r="61">
      <c r="A61" t="n">
        <v>56</v>
      </c>
      <c r="B61" t="inlineStr">
        <is>
          <t>Exide Industries Ltd.</t>
        </is>
      </c>
      <c r="C61" t="inlineStr">
        <is>
          <t>EXIDEIND</t>
        </is>
      </c>
      <c r="D61" t="inlineStr">
        <is>
          <t>Automobile and Auto Components</t>
        </is>
      </c>
    </row>
    <row r="62">
      <c r="A62" t="n">
        <v>57</v>
      </c>
      <c r="B62" t="inlineStr">
        <is>
          <t>Federal Bank Ltd.</t>
        </is>
      </c>
      <c r="C62" t="inlineStr">
        <is>
          <t>FEDERALBNK</t>
        </is>
      </c>
      <c r="D62" t="inlineStr">
        <is>
          <t>Financial Services</t>
        </is>
      </c>
    </row>
    <row r="63">
      <c r="A63" t="n">
        <v>58</v>
      </c>
      <c r="B63" t="inlineStr">
        <is>
          <t>Fortis Healthcare Ltd.</t>
        </is>
      </c>
      <c r="C63" t="inlineStr">
        <is>
          <t>FORTIS</t>
        </is>
      </c>
      <c r="D63" t="inlineStr">
        <is>
          <t>Healthcare</t>
        </is>
      </c>
    </row>
    <row r="64">
      <c r="A64" t="n">
        <v>59</v>
      </c>
      <c r="B64" t="inlineStr">
        <is>
          <t>FSN E-Commerce Ventures Ltd.</t>
        </is>
      </c>
      <c r="C64" t="inlineStr">
        <is>
          <t>NYKAA</t>
        </is>
      </c>
      <c r="D64" t="inlineStr">
        <is>
          <t>Consumer Services</t>
        </is>
      </c>
    </row>
    <row r="65">
      <c r="A65" t="n">
        <v>60</v>
      </c>
      <c r="B65" t="inlineStr">
        <is>
          <t>GAIL (India) Ltd.</t>
        </is>
      </c>
      <c r="C65" t="inlineStr">
        <is>
          <t>GAIL</t>
        </is>
      </c>
      <c r="D65" t="inlineStr">
        <is>
          <t>Oil Gas &amp; Consumable Fuels</t>
        </is>
      </c>
    </row>
    <row r="66">
      <c r="A66" t="n">
        <v>61</v>
      </c>
      <c r="B66" t="inlineStr">
        <is>
          <t>GE Vernova T&amp;D India Ltd.</t>
        </is>
      </c>
      <c r="C66" t="inlineStr">
        <is>
          <t>GVT&amp;D</t>
        </is>
      </c>
      <c r="D66" t="inlineStr">
        <is>
          <t>Capital Goods</t>
        </is>
      </c>
    </row>
    <row r="67">
      <c r="A67" t="n">
        <v>62</v>
      </c>
      <c r="B67" t="inlineStr">
        <is>
          <t>Glenmark Pharmaceuticals Ltd.</t>
        </is>
      </c>
      <c r="C67" t="inlineStr">
        <is>
          <t>GLENMARK</t>
        </is>
      </c>
      <c r="D67" t="inlineStr">
        <is>
          <t>Healthcare</t>
        </is>
      </c>
    </row>
    <row r="68">
      <c r="A68" t="n">
        <v>63</v>
      </c>
      <c r="B68" t="inlineStr">
        <is>
          <t>GMR Airports Ltd.</t>
        </is>
      </c>
      <c r="C68" t="inlineStr">
        <is>
          <t>GMRAIRPORT</t>
        </is>
      </c>
      <c r="D68" t="inlineStr">
        <is>
          <t>Services</t>
        </is>
      </c>
    </row>
    <row r="69">
      <c r="A69" t="n">
        <v>64</v>
      </c>
      <c r="B69" t="inlineStr">
        <is>
          <t>Godfrey Phillips India Ltd.</t>
        </is>
      </c>
      <c r="C69" t="inlineStr">
        <is>
          <t>GODFRYPHLP</t>
        </is>
      </c>
      <c r="D69" t="inlineStr">
        <is>
          <t>Fast Moving Consumer Goods</t>
        </is>
      </c>
    </row>
    <row r="70">
      <c r="A70" t="n">
        <v>65</v>
      </c>
      <c r="B70" t="inlineStr">
        <is>
          <t>Godrej Consumer Products Ltd.</t>
        </is>
      </c>
      <c r="C70" t="inlineStr">
        <is>
          <t>GODREJCP</t>
        </is>
      </c>
      <c r="D70" t="inlineStr">
        <is>
          <t>Fast Moving Consumer Goods</t>
        </is>
      </c>
    </row>
    <row r="71">
      <c r="A71" t="n">
        <v>66</v>
      </c>
      <c r="B71" t="inlineStr">
        <is>
          <t>Godrej Properties Ltd.</t>
        </is>
      </c>
      <c r="C71" t="inlineStr">
        <is>
          <t>GODREJPROP</t>
        </is>
      </c>
      <c r="D71" t="inlineStr">
        <is>
          <t>Realty</t>
        </is>
      </c>
    </row>
    <row r="72">
      <c r="A72" t="n">
        <v>67</v>
      </c>
      <c r="B72" t="inlineStr">
        <is>
          <t>Grasim Industries Ltd.</t>
        </is>
      </c>
      <c r="C72" t="inlineStr">
        <is>
          <t>GRASIM</t>
        </is>
      </c>
      <c r="D72" t="inlineStr">
        <is>
          <t>Construction Materials</t>
        </is>
      </c>
    </row>
    <row r="73">
      <c r="A73" t="n">
        <v>68</v>
      </c>
      <c r="B73" t="inlineStr">
        <is>
          <t>Havells India Ltd.</t>
        </is>
      </c>
      <c r="C73" t="inlineStr">
        <is>
          <t>HAVELLS</t>
        </is>
      </c>
      <c r="D73" t="inlineStr">
        <is>
          <t>Consumer Durables</t>
        </is>
      </c>
    </row>
    <row r="74">
      <c r="A74" t="n">
        <v>69</v>
      </c>
      <c r="B74" t="inlineStr">
        <is>
          <t>HCL Technologies Ltd.</t>
        </is>
      </c>
      <c r="C74" t="inlineStr">
        <is>
          <t>HCLTECH</t>
        </is>
      </c>
      <c r="D74" t="inlineStr">
        <is>
          <t>Information Technology</t>
        </is>
      </c>
    </row>
    <row r="75">
      <c r="A75" t="n">
        <v>70</v>
      </c>
      <c r="B75" t="inlineStr">
        <is>
          <t>HDFC Asset Management Company Ltd.</t>
        </is>
      </c>
      <c r="C75" t="inlineStr">
        <is>
          <t>HDFCAMC</t>
        </is>
      </c>
      <c r="D75" t="inlineStr">
        <is>
          <t>Financial Services</t>
        </is>
      </c>
    </row>
    <row r="76">
      <c r="A76" t="n">
        <v>71</v>
      </c>
      <c r="B76" t="inlineStr">
        <is>
          <t>HDFC Bank Ltd.</t>
        </is>
      </c>
      <c r="C76" t="inlineStr">
        <is>
          <t>HDFCBANK</t>
        </is>
      </c>
      <c r="D76" t="inlineStr">
        <is>
          <t>Financial Services</t>
        </is>
      </c>
    </row>
    <row r="77">
      <c r="A77" t="n">
        <v>72</v>
      </c>
      <c r="B77" t="inlineStr">
        <is>
          <t>HDFC Life Insurance Company Ltd.</t>
        </is>
      </c>
      <c r="C77" t="inlineStr">
        <is>
          <t>HDFCLIFE</t>
        </is>
      </c>
      <c r="D77" t="inlineStr">
        <is>
          <t>Financial Services</t>
        </is>
      </c>
    </row>
    <row r="78">
      <c r="A78" t="n">
        <v>73</v>
      </c>
      <c r="B78" t="inlineStr">
        <is>
          <t>Hero MotoCorp Ltd.</t>
        </is>
      </c>
      <c r="C78" t="inlineStr">
        <is>
          <t>HEROMOTOCO</t>
        </is>
      </c>
      <c r="D78" t="inlineStr">
        <is>
          <t>Automobile and Auto Components</t>
        </is>
      </c>
    </row>
    <row r="79">
      <c r="A79" t="n">
        <v>74</v>
      </c>
      <c r="B79" t="inlineStr">
        <is>
          <t>Hindalco Industries Ltd.</t>
        </is>
      </c>
      <c r="C79" t="inlineStr">
        <is>
          <t>HINDALCO</t>
        </is>
      </c>
      <c r="D79" t="inlineStr">
        <is>
          <t>Metals &amp; Mining</t>
        </is>
      </c>
    </row>
    <row r="80">
      <c r="A80" t="n">
        <v>75</v>
      </c>
      <c r="B80" t="inlineStr">
        <is>
          <t>Hindustan Aeronautics Ltd.</t>
        </is>
      </c>
      <c r="C80" t="inlineStr">
        <is>
          <t>HAL</t>
        </is>
      </c>
      <c r="D80" t="inlineStr">
        <is>
          <t>Capital Goods</t>
        </is>
      </c>
    </row>
    <row r="81">
      <c r="A81" t="n">
        <v>76</v>
      </c>
      <c r="B81" t="inlineStr">
        <is>
          <t>Hindustan Copper Ltd.</t>
        </is>
      </c>
      <c r="C81" t="inlineStr">
        <is>
          <t>HINDCOPPER</t>
        </is>
      </c>
      <c r="D81" t="inlineStr">
        <is>
          <t>Metals &amp; Mining</t>
        </is>
      </c>
    </row>
    <row r="82">
      <c r="A82" t="n">
        <v>77</v>
      </c>
      <c r="B82" t="inlineStr">
        <is>
          <t>Hindustan Petroleum Corporation Ltd.</t>
        </is>
      </c>
      <c r="C82" t="inlineStr">
        <is>
          <t>HINDPETRO</t>
        </is>
      </c>
      <c r="D82" t="inlineStr">
        <is>
          <t>Oil Gas &amp; Consumable Fuels</t>
        </is>
      </c>
    </row>
    <row r="83">
      <c r="A83" t="n">
        <v>78</v>
      </c>
      <c r="B83" t="inlineStr">
        <is>
          <t>Hindustan Unilever Ltd.</t>
        </is>
      </c>
      <c r="C83" t="inlineStr">
        <is>
          <t>HINDUNILVR</t>
        </is>
      </c>
      <c r="D83" t="inlineStr">
        <is>
          <t>Fast Moving Consumer Goods</t>
        </is>
      </c>
    </row>
    <row r="84">
      <c r="A84" t="n">
        <v>79</v>
      </c>
      <c r="B84" t="inlineStr">
        <is>
          <t>Hindustan Zinc Ltd.</t>
        </is>
      </c>
      <c r="C84" t="inlineStr">
        <is>
          <t>HINDZINC</t>
        </is>
      </c>
      <c r="D84" t="inlineStr">
        <is>
          <t>Metals &amp; Mining</t>
        </is>
      </c>
    </row>
    <row r="85">
      <c r="A85" t="n">
        <v>80</v>
      </c>
      <c r="B85" t="inlineStr">
        <is>
          <t>Hitachi Energy India Ltd.</t>
        </is>
      </c>
      <c r="C85" t="inlineStr">
        <is>
          <t>POWERINDIA</t>
        </is>
      </c>
      <c r="D85" t="inlineStr">
        <is>
          <t>Capital Goods</t>
        </is>
      </c>
    </row>
    <row r="86">
      <c r="A86" t="n">
        <v>81</v>
      </c>
      <c r="B86" t="inlineStr">
        <is>
          <t>Hyundai Motor India Ltd.</t>
        </is>
      </c>
      <c r="C86" t="inlineStr">
        <is>
          <t>HYUNDAI</t>
        </is>
      </c>
      <c r="D86" t="inlineStr">
        <is>
          <t>Automobile and Auto Components</t>
        </is>
      </c>
    </row>
    <row r="87">
      <c r="A87" t="n">
        <v>82</v>
      </c>
      <c r="B87" t="inlineStr">
        <is>
          <t>ICICI Bank Ltd.</t>
        </is>
      </c>
      <c r="C87" t="inlineStr">
        <is>
          <t>ICICIBANK</t>
        </is>
      </c>
      <c r="D87" t="inlineStr">
        <is>
          <t>Financial Services</t>
        </is>
      </c>
    </row>
    <row r="88">
      <c r="A88" t="n">
        <v>83</v>
      </c>
      <c r="B88" t="inlineStr">
        <is>
          <t>ICICI Lombard General Insurance Company Ltd.</t>
        </is>
      </c>
      <c r="C88" t="inlineStr">
        <is>
          <t>ICICIGI</t>
        </is>
      </c>
      <c r="D88" t="inlineStr">
        <is>
          <t>Financial Services</t>
        </is>
      </c>
    </row>
    <row r="89">
      <c r="A89" t="n">
        <v>84</v>
      </c>
      <c r="B89" t="inlineStr">
        <is>
          <t>ICICI Prudential Asset Management Company Ltd.</t>
        </is>
      </c>
      <c r="C89" t="inlineStr">
        <is>
          <t>ICICIAMC</t>
        </is>
      </c>
      <c r="D89" t="inlineStr">
        <is>
          <t>Financial Services</t>
        </is>
      </c>
    </row>
    <row r="90">
      <c r="A90" t="n">
        <v>85</v>
      </c>
      <c r="B90" t="inlineStr">
        <is>
          <t>IDFC First Bank Ltd.</t>
        </is>
      </c>
      <c r="C90" t="inlineStr">
        <is>
          <t>IDFCFIRSTB</t>
        </is>
      </c>
      <c r="D90" t="inlineStr">
        <is>
          <t>Financial Services</t>
        </is>
      </c>
    </row>
    <row r="91">
      <c r="A91" t="n">
        <v>86</v>
      </c>
      <c r="B91" t="inlineStr">
        <is>
          <t>Indian Bank</t>
        </is>
      </c>
      <c r="C91" t="inlineStr">
        <is>
          <t>INDIANB</t>
        </is>
      </c>
      <c r="D91" t="inlineStr">
        <is>
          <t>Financial Services</t>
        </is>
      </c>
    </row>
    <row r="92">
      <c r="A92" t="n">
        <v>87</v>
      </c>
      <c r="B92" t="inlineStr">
        <is>
          <t>Indian Hotels Co. Ltd.</t>
        </is>
      </c>
      <c r="C92" t="inlineStr">
        <is>
          <t>INDHOTEL</t>
        </is>
      </c>
      <c r="D92" t="inlineStr">
        <is>
          <t>Consumer Services</t>
        </is>
      </c>
    </row>
    <row r="93">
      <c r="A93" t="n">
        <v>88</v>
      </c>
      <c r="B93" t="inlineStr">
        <is>
          <t>Indian Oil Corporation Ltd.</t>
        </is>
      </c>
      <c r="C93" t="inlineStr">
        <is>
          <t>IOC</t>
        </is>
      </c>
      <c r="D93" t="inlineStr">
        <is>
          <t>Oil Gas &amp; Consumable Fuels</t>
        </is>
      </c>
    </row>
    <row r="94">
      <c r="A94" t="n">
        <v>89</v>
      </c>
      <c r="B94" t="inlineStr">
        <is>
          <t>Indian Railway Catering And Tourism Corporation Ltd.</t>
        </is>
      </c>
      <c r="C94" t="inlineStr">
        <is>
          <t>IRCTC</t>
        </is>
      </c>
      <c r="D94" t="inlineStr">
        <is>
          <t>Consumer Services</t>
        </is>
      </c>
    </row>
    <row r="95">
      <c r="A95" t="n">
        <v>90</v>
      </c>
      <c r="B95" t="inlineStr">
        <is>
          <t>Indian Railway Finance Corporation Ltd.</t>
        </is>
      </c>
      <c r="C95" t="inlineStr">
        <is>
          <t>IRFC</t>
        </is>
      </c>
      <c r="D95" t="inlineStr">
        <is>
          <t>Financial Services</t>
        </is>
      </c>
    </row>
    <row r="96">
      <c r="A96" t="n">
        <v>91</v>
      </c>
      <c r="B96" t="inlineStr">
        <is>
          <t>Indian Renewable Energy Development Agency Ltd.</t>
        </is>
      </c>
      <c r="C96" t="inlineStr">
        <is>
          <t>IREDA</t>
        </is>
      </c>
      <c r="D96" t="inlineStr">
        <is>
          <t>Financial Services</t>
        </is>
      </c>
    </row>
    <row r="97">
      <c r="A97" t="n">
        <v>92</v>
      </c>
      <c r="B97" t="inlineStr">
        <is>
          <t>Indus Towers Ltd.</t>
        </is>
      </c>
      <c r="C97" t="inlineStr">
        <is>
          <t>INDUSTOWER</t>
        </is>
      </c>
      <c r="D97" t="inlineStr">
        <is>
          <t>Telecommunication</t>
        </is>
      </c>
    </row>
    <row r="98">
      <c r="A98" t="n">
        <v>93</v>
      </c>
      <c r="B98" t="inlineStr">
        <is>
          <t>IndusInd Bank Ltd.</t>
        </is>
      </c>
      <c r="C98" t="inlineStr">
        <is>
          <t>INDUSINDBK</t>
        </is>
      </c>
      <c r="D98" t="inlineStr">
        <is>
          <t>Financial Services</t>
        </is>
      </c>
    </row>
    <row r="99">
      <c r="A99" t="n">
        <v>94</v>
      </c>
      <c r="B99" t="inlineStr">
        <is>
          <t>Info Edge (India) Ltd.</t>
        </is>
      </c>
      <c r="C99" t="inlineStr">
        <is>
          <t>NAUKRI</t>
        </is>
      </c>
      <c r="D99" t="inlineStr">
        <is>
          <t>Consumer Services</t>
        </is>
      </c>
    </row>
    <row r="100">
      <c r="A100" t="n">
        <v>95</v>
      </c>
      <c r="B100" t="inlineStr">
        <is>
          <t>Infosys Ltd.</t>
        </is>
      </c>
      <c r="C100" t="inlineStr">
        <is>
          <t>INFY</t>
        </is>
      </c>
      <c r="D100" t="inlineStr">
        <is>
          <t>Information Technology</t>
        </is>
      </c>
    </row>
    <row r="101">
      <c r="A101" t="n">
        <v>96</v>
      </c>
      <c r="B101" t="inlineStr">
        <is>
          <t>InterGlobe Aviation Ltd.</t>
        </is>
      </c>
      <c r="C101" t="inlineStr">
        <is>
          <t>INDIGO</t>
        </is>
      </c>
      <c r="D101" t="inlineStr">
        <is>
          <t>Services</t>
        </is>
      </c>
    </row>
    <row r="102">
      <c r="A102" t="n">
        <v>97</v>
      </c>
      <c r="B102" t="inlineStr">
        <is>
          <t>ITC Ltd.</t>
        </is>
      </c>
      <c r="C102" t="inlineStr">
        <is>
          <t>ITC</t>
        </is>
      </c>
      <c r="D102" t="inlineStr">
        <is>
          <t>Fast Moving Consumer Goods</t>
        </is>
      </c>
    </row>
    <row r="103">
      <c r="A103" t="n">
        <v>98</v>
      </c>
      <c r="B103" t="inlineStr">
        <is>
          <t>Jindal Steel Ltd.</t>
        </is>
      </c>
      <c r="C103" t="inlineStr">
        <is>
          <t>JINDALSTEL</t>
        </is>
      </c>
      <c r="D103" t="inlineStr">
        <is>
          <t>Metals &amp; Mining</t>
        </is>
      </c>
    </row>
    <row r="104">
      <c r="A104" t="n">
        <v>99</v>
      </c>
      <c r="B104" t="inlineStr">
        <is>
          <t>Jio Financial Services Ltd.</t>
        </is>
      </c>
      <c r="C104" t="inlineStr">
        <is>
          <t>JIOFIN</t>
        </is>
      </c>
      <c r="D104" t="inlineStr">
        <is>
          <t>Financial Services</t>
        </is>
      </c>
    </row>
    <row r="105">
      <c r="A105" t="n">
        <v>100</v>
      </c>
      <c r="B105" t="inlineStr">
        <is>
          <t>JSW Energy Ltd.</t>
        </is>
      </c>
      <c r="C105" t="inlineStr">
        <is>
          <t>JSWENERGY</t>
        </is>
      </c>
      <c r="D105" t="inlineStr">
        <is>
          <t>Power</t>
        </is>
      </c>
    </row>
    <row r="106">
      <c r="A106" t="n">
        <v>101</v>
      </c>
      <c r="B106" t="inlineStr">
        <is>
          <t>JSW Steel Ltd.</t>
        </is>
      </c>
      <c r="C106" t="inlineStr">
        <is>
          <t>JSWSTEEL</t>
        </is>
      </c>
      <c r="D106" t="inlineStr">
        <is>
          <t>Metals &amp; Mining</t>
        </is>
      </c>
    </row>
    <row r="107">
      <c r="A107" t="n">
        <v>102</v>
      </c>
      <c r="B107" t="inlineStr">
        <is>
          <t>Jubilant Foodworks Ltd.</t>
        </is>
      </c>
      <c r="C107" t="inlineStr">
        <is>
          <t>JUBLFOOD</t>
        </is>
      </c>
      <c r="D107" t="inlineStr">
        <is>
          <t>Consumer Services</t>
        </is>
      </c>
    </row>
    <row r="108">
      <c r="A108" t="n">
        <v>103</v>
      </c>
      <c r="B108" t="inlineStr">
        <is>
          <t>Kalyan Jewellers India Ltd.</t>
        </is>
      </c>
      <c r="C108" t="inlineStr">
        <is>
          <t>KALYANKJIL</t>
        </is>
      </c>
      <c r="D108" t="inlineStr">
        <is>
          <t>Consumer Durables</t>
        </is>
      </c>
    </row>
    <row r="109">
      <c r="A109" t="n">
        <v>104</v>
      </c>
      <c r="B109" t="inlineStr">
        <is>
          <t>KEI Industries Ltd.</t>
        </is>
      </c>
      <c r="C109" t="inlineStr">
        <is>
          <t>KEI</t>
        </is>
      </c>
      <c r="D109" t="inlineStr">
        <is>
          <t>Capital Goods</t>
        </is>
      </c>
    </row>
    <row r="110">
      <c r="A110" t="n">
        <v>105</v>
      </c>
      <c r="B110" t="inlineStr">
        <is>
          <t>Kotak Mahindra Bank Ltd.</t>
        </is>
      </c>
      <c r="C110" t="inlineStr">
        <is>
          <t>KOTAKBANK</t>
        </is>
      </c>
      <c r="D110" t="inlineStr">
        <is>
          <t>Financial Services</t>
        </is>
      </c>
    </row>
    <row r="111">
      <c r="A111" t="n">
        <v>106</v>
      </c>
      <c r="B111" t="inlineStr">
        <is>
          <t>L&amp;T Finance Ltd.</t>
        </is>
      </c>
      <c r="C111" t="inlineStr">
        <is>
          <t>LTF</t>
        </is>
      </c>
      <c r="D111" t="inlineStr">
        <is>
          <t>Financial Services</t>
        </is>
      </c>
    </row>
    <row r="112">
      <c r="A112" t="n">
        <v>107</v>
      </c>
      <c r="B112" t="inlineStr">
        <is>
          <t>Larsen &amp; Toubro Ltd.</t>
        </is>
      </c>
      <c r="C112" t="inlineStr">
        <is>
          <t>LT</t>
        </is>
      </c>
      <c r="D112" t="inlineStr">
        <is>
          <t>Construction</t>
        </is>
      </c>
    </row>
    <row r="113">
      <c r="A113" t="n">
        <v>108</v>
      </c>
      <c r="B113" t="inlineStr">
        <is>
          <t>Laurus Labs Ltd.</t>
        </is>
      </c>
      <c r="C113" t="inlineStr">
        <is>
          <t>LAURUSLABS</t>
        </is>
      </c>
      <c r="D113" t="inlineStr">
        <is>
          <t>Healthcare</t>
        </is>
      </c>
    </row>
    <row r="114">
      <c r="A114" t="n">
        <v>109</v>
      </c>
      <c r="B114" t="inlineStr">
        <is>
          <t>Lenskart Solutions Ltd.</t>
        </is>
      </c>
      <c r="C114" t="inlineStr">
        <is>
          <t>LENSKART</t>
        </is>
      </c>
      <c r="D114" t="inlineStr">
        <is>
          <t>Consumer Services</t>
        </is>
      </c>
    </row>
    <row r="115">
      <c r="A115" t="n">
        <v>110</v>
      </c>
      <c r="B115" t="inlineStr">
        <is>
          <t>LG Electronics India Ltd.</t>
        </is>
      </c>
      <c r="C115" t="inlineStr">
        <is>
          <t>LGEINDIA</t>
        </is>
      </c>
      <c r="D115" t="inlineStr">
        <is>
          <t>Consumer Durables</t>
        </is>
      </c>
    </row>
    <row r="116">
      <c r="A116" t="n">
        <v>111</v>
      </c>
      <c r="B116" t="inlineStr">
        <is>
          <t>LIC Housing Finance Ltd.</t>
        </is>
      </c>
      <c r="C116" t="inlineStr">
        <is>
          <t>LICHSGFIN</t>
        </is>
      </c>
      <c r="D116" t="inlineStr">
        <is>
          <t>Financial Services</t>
        </is>
      </c>
    </row>
    <row r="117">
      <c r="A117" t="n">
        <v>112</v>
      </c>
      <c r="B117" t="inlineStr">
        <is>
          <t>Life Insurance Corporation of India</t>
        </is>
      </c>
      <c r="C117" t="inlineStr">
        <is>
          <t>LICI</t>
        </is>
      </c>
      <c r="D117" t="inlineStr">
        <is>
          <t>Financial Services</t>
        </is>
      </c>
    </row>
    <row r="118">
      <c r="A118" t="n">
        <v>113</v>
      </c>
      <c r="B118" t="inlineStr">
        <is>
          <t>Lodha Developers Ltd.</t>
        </is>
      </c>
      <c r="C118" t="inlineStr">
        <is>
          <t>LODHA</t>
        </is>
      </c>
      <c r="D118" t="inlineStr">
        <is>
          <t>Realty</t>
        </is>
      </c>
    </row>
    <row r="119">
      <c r="A119" t="n">
        <v>114</v>
      </c>
      <c r="B119" t="inlineStr">
        <is>
          <t>LTM Ltd.</t>
        </is>
      </c>
      <c r="C119" t="inlineStr">
        <is>
          <t>LTM</t>
        </is>
      </c>
      <c r="D119" t="inlineStr">
        <is>
          <t>Information Technology</t>
        </is>
      </c>
    </row>
    <row r="120">
      <c r="A120" t="n">
        <v>115</v>
      </c>
      <c r="B120" t="inlineStr">
        <is>
          <t>Lupin Ltd.</t>
        </is>
      </c>
      <c r="C120" t="inlineStr">
        <is>
          <t>LUPIN</t>
        </is>
      </c>
      <c r="D120" t="inlineStr">
        <is>
          <t>Healthcare</t>
        </is>
      </c>
    </row>
    <row r="121">
      <c r="A121" t="n">
        <v>116</v>
      </c>
      <c r="B121" t="inlineStr">
        <is>
          <t>Mahindra &amp; Mahindra Financial Services Ltd.</t>
        </is>
      </c>
      <c r="C121" t="inlineStr">
        <is>
          <t>M&amp;MFIN</t>
        </is>
      </c>
      <c r="D121" t="inlineStr">
        <is>
          <t>Financial Services</t>
        </is>
      </c>
    </row>
    <row r="122">
      <c r="A122" t="n">
        <v>117</v>
      </c>
      <c r="B122" t="inlineStr">
        <is>
          <t>Mahindra &amp; Mahindra Ltd.</t>
        </is>
      </c>
      <c r="C122" t="inlineStr">
        <is>
          <t>M&amp;M</t>
        </is>
      </c>
      <c r="D122" t="inlineStr">
        <is>
          <t>Automobile and Auto Components</t>
        </is>
      </c>
    </row>
    <row r="123">
      <c r="A123" t="n">
        <v>118</v>
      </c>
      <c r="B123" t="inlineStr">
        <is>
          <t>Mankind Pharma Ltd.</t>
        </is>
      </c>
      <c r="C123" t="inlineStr">
        <is>
          <t>MANKIND</t>
        </is>
      </c>
      <c r="D123" t="inlineStr">
        <is>
          <t>Healthcare</t>
        </is>
      </c>
    </row>
    <row r="124">
      <c r="A124" t="n">
        <v>119</v>
      </c>
      <c r="B124" t="inlineStr">
        <is>
          <t>Marico Ltd.</t>
        </is>
      </c>
      <c r="C124" t="inlineStr">
        <is>
          <t>MARICO</t>
        </is>
      </c>
      <c r="D124" t="inlineStr">
        <is>
          <t>Fast Moving Consumer Goods</t>
        </is>
      </c>
    </row>
    <row r="125">
      <c r="A125" t="n">
        <v>120</v>
      </c>
      <c r="B125" t="inlineStr">
        <is>
          <t>Maruti Suzuki India Ltd.</t>
        </is>
      </c>
      <c r="C125" t="inlineStr">
        <is>
          <t>MARUTI</t>
        </is>
      </c>
      <c r="D125" t="inlineStr">
        <is>
          <t>Automobile and Auto Components</t>
        </is>
      </c>
    </row>
    <row r="126">
      <c r="A126" t="n">
        <v>121</v>
      </c>
      <c r="B126" t="inlineStr">
        <is>
          <t>Max Financial Services Ltd.</t>
        </is>
      </c>
      <c r="C126" t="inlineStr">
        <is>
          <t>MFSL</t>
        </is>
      </c>
      <c r="D126" t="inlineStr">
        <is>
          <t>Financial Services</t>
        </is>
      </c>
    </row>
    <row r="127">
      <c r="A127" t="n">
        <v>122</v>
      </c>
      <c r="B127" t="inlineStr">
        <is>
          <t>Max Healthcare Institute Ltd.</t>
        </is>
      </c>
      <c r="C127" t="inlineStr">
        <is>
          <t>MAXHEALTH</t>
        </is>
      </c>
      <c r="D127" t="inlineStr">
        <is>
          <t>Healthcare</t>
        </is>
      </c>
    </row>
    <row r="128">
      <c r="A128" t="n">
        <v>123</v>
      </c>
      <c r="B128" t="inlineStr">
        <is>
          <t>Mazagoan Dock Shipbuilders Ltd.</t>
        </is>
      </c>
      <c r="C128" t="inlineStr">
        <is>
          <t>MAZDOCK</t>
        </is>
      </c>
      <c r="D128" t="inlineStr">
        <is>
          <t>Capital Goods</t>
        </is>
      </c>
    </row>
    <row r="129">
      <c r="A129" t="n">
        <v>124</v>
      </c>
      <c r="B129" t="inlineStr">
        <is>
          <t>Meesho Ltd.</t>
        </is>
      </c>
      <c r="C129" t="inlineStr">
        <is>
          <t>MEESHO</t>
        </is>
      </c>
      <c r="D129" t="inlineStr">
        <is>
          <t>Consumer Services</t>
        </is>
      </c>
    </row>
    <row r="130">
      <c r="A130" t="n">
        <v>125</v>
      </c>
      <c r="B130" t="inlineStr">
        <is>
          <t>Motilal Oswal Financial Services Ltd.</t>
        </is>
      </c>
      <c r="C130" t="inlineStr">
        <is>
          <t>MOTILALOFS</t>
        </is>
      </c>
      <c r="D130" t="inlineStr">
        <is>
          <t>Financial Services</t>
        </is>
      </c>
    </row>
    <row r="131">
      <c r="A131" t="n">
        <v>126</v>
      </c>
      <c r="B131" t="inlineStr">
        <is>
          <t>MphasiS Ltd.</t>
        </is>
      </c>
      <c r="C131" t="inlineStr">
        <is>
          <t>MPHASIS</t>
        </is>
      </c>
      <c r="D131" t="inlineStr">
        <is>
          <t>Information Technology</t>
        </is>
      </c>
    </row>
    <row r="132">
      <c r="A132" t="n">
        <v>127</v>
      </c>
      <c r="B132" t="inlineStr">
        <is>
          <t>MRF Ltd.</t>
        </is>
      </c>
      <c r="C132" t="inlineStr">
        <is>
          <t>MRF</t>
        </is>
      </c>
      <c r="D132" t="inlineStr">
        <is>
          <t>Automobile and Auto Components</t>
        </is>
      </c>
    </row>
    <row r="133">
      <c r="A133" t="n">
        <v>128</v>
      </c>
      <c r="B133" t="inlineStr">
        <is>
          <t>Multi Commodity Exchange of India Ltd.</t>
        </is>
      </c>
      <c r="C133" t="inlineStr">
        <is>
          <t>MCX</t>
        </is>
      </c>
      <c r="D133" t="inlineStr">
        <is>
          <t>Financial Services</t>
        </is>
      </c>
    </row>
    <row r="134">
      <c r="A134" t="n">
        <v>129</v>
      </c>
      <c r="B134" t="inlineStr">
        <is>
          <t>Muthoot Finance Ltd.</t>
        </is>
      </c>
      <c r="C134" t="inlineStr">
        <is>
          <t>MUTHOOTFIN</t>
        </is>
      </c>
      <c r="D134" t="inlineStr">
        <is>
          <t>Financial Services</t>
        </is>
      </c>
    </row>
    <row r="135">
      <c r="A135" t="n">
        <v>130</v>
      </c>
      <c r="B135" t="inlineStr">
        <is>
          <t>National Aluminium Co. Ltd.</t>
        </is>
      </c>
      <c r="C135" t="inlineStr">
        <is>
          <t>NATIONALUM</t>
        </is>
      </c>
      <c r="D135" t="inlineStr">
        <is>
          <t>Metals &amp; Mining</t>
        </is>
      </c>
    </row>
    <row r="136">
      <c r="A136" t="n">
        <v>131</v>
      </c>
      <c r="B136" t="inlineStr">
        <is>
          <t>Nestle India Ltd.</t>
        </is>
      </c>
      <c r="C136" t="inlineStr">
        <is>
          <t>NESTLEIND</t>
        </is>
      </c>
      <c r="D136" t="inlineStr">
        <is>
          <t>Fast Moving Consumer Goods</t>
        </is>
      </c>
    </row>
    <row r="137">
      <c r="A137" t="n">
        <v>132</v>
      </c>
      <c r="B137" t="inlineStr">
        <is>
          <t>NHPC Ltd.</t>
        </is>
      </c>
      <c r="C137" t="inlineStr">
        <is>
          <t>NHPC</t>
        </is>
      </c>
      <c r="D137" t="inlineStr">
        <is>
          <t>Power</t>
        </is>
      </c>
    </row>
    <row r="138">
      <c r="A138" t="n">
        <v>133</v>
      </c>
      <c r="B138" t="inlineStr">
        <is>
          <t>NLC India Ltd.</t>
        </is>
      </c>
      <c r="C138" t="inlineStr">
        <is>
          <t>NLCINDIA</t>
        </is>
      </c>
      <c r="D138" t="inlineStr">
        <is>
          <t>Power</t>
        </is>
      </c>
    </row>
    <row r="139">
      <c r="A139" t="n">
        <v>134</v>
      </c>
      <c r="B139" t="inlineStr">
        <is>
          <t>NMDC Ltd.</t>
        </is>
      </c>
      <c r="C139" t="inlineStr">
        <is>
          <t>NMDC</t>
        </is>
      </c>
      <c r="D139" t="inlineStr">
        <is>
          <t>Metals &amp; Mining</t>
        </is>
      </c>
    </row>
    <row r="140">
      <c r="A140" t="n">
        <v>135</v>
      </c>
      <c r="B140" t="inlineStr">
        <is>
          <t>NTPC Ltd.</t>
        </is>
      </c>
      <c r="C140" t="inlineStr">
        <is>
          <t>NTPC</t>
        </is>
      </c>
      <c r="D140" t="inlineStr">
        <is>
          <t>Power</t>
        </is>
      </c>
    </row>
    <row r="141">
      <c r="A141" t="n">
        <v>136</v>
      </c>
      <c r="B141" t="inlineStr">
        <is>
          <t>Oberoi Realty Ltd.</t>
        </is>
      </c>
      <c r="C141" t="inlineStr">
        <is>
          <t>OBEROIRLTY</t>
        </is>
      </c>
      <c r="D141" t="inlineStr">
        <is>
          <t>Realty</t>
        </is>
      </c>
    </row>
    <row r="142">
      <c r="A142" t="n">
        <v>137</v>
      </c>
      <c r="B142" t="inlineStr">
        <is>
          <t>Oil &amp; Natural Gas Corporation Ltd.</t>
        </is>
      </c>
      <c r="C142" t="inlineStr">
        <is>
          <t>ONGC</t>
        </is>
      </c>
      <c r="D142" t="inlineStr">
        <is>
          <t>Oil Gas &amp; Consumable Fuels</t>
        </is>
      </c>
    </row>
    <row r="143">
      <c r="A143" t="n">
        <v>138</v>
      </c>
      <c r="B143" t="inlineStr">
        <is>
          <t>Oil India Ltd.</t>
        </is>
      </c>
      <c r="C143" t="inlineStr">
        <is>
          <t>OIL</t>
        </is>
      </c>
      <c r="D143" t="inlineStr">
        <is>
          <t>Oil Gas &amp; Consumable Fuels</t>
        </is>
      </c>
    </row>
    <row r="144">
      <c r="A144" t="n">
        <v>139</v>
      </c>
      <c r="B144" t="inlineStr">
        <is>
          <t>One 97 Communications Ltd.</t>
        </is>
      </c>
      <c r="C144" t="inlineStr">
        <is>
          <t>PAYTM</t>
        </is>
      </c>
      <c r="D144" t="inlineStr">
        <is>
          <t>Financial Services</t>
        </is>
      </c>
    </row>
    <row r="145">
      <c r="A145" t="n">
        <v>140</v>
      </c>
      <c r="B145" t="inlineStr">
        <is>
          <t>ONE WAM Ltd.</t>
        </is>
      </c>
      <c r="C145" t="inlineStr">
        <is>
          <t>360ONE</t>
        </is>
      </c>
      <c r="D145" t="inlineStr">
        <is>
          <t>Financial Services</t>
        </is>
      </c>
    </row>
    <row r="146">
      <c r="A146" t="n">
        <v>141</v>
      </c>
      <c r="B146" t="inlineStr">
        <is>
          <t>Oracle Financial Services Software Ltd.</t>
        </is>
      </c>
      <c r="C146" t="inlineStr">
        <is>
          <t>OFSS</t>
        </is>
      </c>
      <c r="D146" t="inlineStr">
        <is>
          <t>Information Technology</t>
        </is>
      </c>
    </row>
    <row r="147">
      <c r="A147" t="n">
        <v>142</v>
      </c>
      <c r="B147" t="inlineStr">
        <is>
          <t>Page Industries Ltd.</t>
        </is>
      </c>
      <c r="C147" t="inlineStr">
        <is>
          <t>PAGEIND</t>
        </is>
      </c>
      <c r="D147" t="inlineStr">
        <is>
          <t>Textiles</t>
        </is>
      </c>
    </row>
    <row r="148">
      <c r="A148" t="n">
        <v>143</v>
      </c>
      <c r="B148" t="inlineStr">
        <is>
          <t>Patanjali Foods Ltd.</t>
        </is>
      </c>
      <c r="C148" t="inlineStr">
        <is>
          <t>PATANJALI</t>
        </is>
      </c>
      <c r="D148" t="inlineStr">
        <is>
          <t>Fast Moving Consumer Goods</t>
        </is>
      </c>
    </row>
    <row r="149">
      <c r="A149" t="n">
        <v>144</v>
      </c>
      <c r="B149" t="inlineStr">
        <is>
          <t>PB Fintech Ltd.</t>
        </is>
      </c>
      <c r="C149" t="inlineStr">
        <is>
          <t>POLICYBZR</t>
        </is>
      </c>
      <c r="D149" t="inlineStr">
        <is>
          <t>Financial Services</t>
        </is>
      </c>
    </row>
    <row r="150">
      <c r="A150" t="n">
        <v>145</v>
      </c>
      <c r="B150" t="inlineStr">
        <is>
          <t>Persistent Systems Ltd.</t>
        </is>
      </c>
      <c r="C150" t="inlineStr">
        <is>
          <t>PERSISTENT</t>
        </is>
      </c>
      <c r="D150" t="inlineStr">
        <is>
          <t>Information Technology</t>
        </is>
      </c>
    </row>
    <row r="151">
      <c r="A151" t="n">
        <v>146</v>
      </c>
      <c r="B151" t="inlineStr">
        <is>
          <t>Phoenix Mills Ltd.</t>
        </is>
      </c>
      <c r="C151" t="inlineStr">
        <is>
          <t>PHOENIXLTD</t>
        </is>
      </c>
      <c r="D151" t="inlineStr">
        <is>
          <t>Realty</t>
        </is>
      </c>
    </row>
    <row r="152">
      <c r="A152" t="n">
        <v>147</v>
      </c>
      <c r="B152" t="inlineStr">
        <is>
          <t>PI Industries Ltd.</t>
        </is>
      </c>
      <c r="C152" t="inlineStr">
        <is>
          <t>PIIND</t>
        </is>
      </c>
      <c r="D152" t="inlineStr">
        <is>
          <t>Chemicals</t>
        </is>
      </c>
    </row>
    <row r="153">
      <c r="A153" t="n">
        <v>148</v>
      </c>
      <c r="B153" t="inlineStr">
        <is>
          <t>Pidilite Industries Ltd.</t>
        </is>
      </c>
      <c r="C153" t="inlineStr">
        <is>
          <t>PIDILITIND</t>
        </is>
      </c>
      <c r="D153" t="inlineStr">
        <is>
          <t>Chemicals</t>
        </is>
      </c>
    </row>
    <row r="154">
      <c r="A154" t="n">
        <v>149</v>
      </c>
      <c r="B154" t="inlineStr">
        <is>
          <t>Polycab India Ltd.</t>
        </is>
      </c>
      <c r="C154" t="inlineStr">
        <is>
          <t>POLYCAB</t>
        </is>
      </c>
      <c r="D154" t="inlineStr">
        <is>
          <t>Capital Goods</t>
        </is>
      </c>
    </row>
    <row r="155">
      <c r="A155" t="n">
        <v>150</v>
      </c>
      <c r="B155" t="inlineStr">
        <is>
          <t>Power Finance Corporation Ltd.</t>
        </is>
      </c>
      <c r="C155" t="inlineStr">
        <is>
          <t>PFC</t>
        </is>
      </c>
      <c r="D155" t="inlineStr">
        <is>
          <t>Financial Services</t>
        </is>
      </c>
    </row>
    <row r="156">
      <c r="A156" t="n">
        <v>151</v>
      </c>
      <c r="B156" t="inlineStr">
        <is>
          <t>Power Grid Corporation of India Ltd.</t>
        </is>
      </c>
      <c r="C156" t="inlineStr">
        <is>
          <t>POWERGRID</t>
        </is>
      </c>
      <c r="D156" t="inlineStr">
        <is>
          <t>Power</t>
        </is>
      </c>
    </row>
    <row r="157">
      <c r="A157" t="n">
        <v>152</v>
      </c>
      <c r="B157" t="inlineStr">
        <is>
          <t>Premier Energies Ltd.</t>
        </is>
      </c>
      <c r="C157" t="inlineStr">
        <is>
          <t>PREMIERENE</t>
        </is>
      </c>
      <c r="D157" t="inlineStr">
        <is>
          <t>Capital Goods</t>
        </is>
      </c>
    </row>
    <row r="158">
      <c r="A158" t="n">
        <v>153</v>
      </c>
      <c r="B158" t="inlineStr">
        <is>
          <t>Prestige Estates Projects Ltd.</t>
        </is>
      </c>
      <c r="C158" t="inlineStr">
        <is>
          <t>PRESTIGE</t>
        </is>
      </c>
      <c r="D158" t="inlineStr">
        <is>
          <t>Realty</t>
        </is>
      </c>
    </row>
    <row r="159">
      <c r="A159" t="n">
        <v>154</v>
      </c>
      <c r="B159" t="inlineStr">
        <is>
          <t>Punjab National Bank</t>
        </is>
      </c>
      <c r="C159" t="inlineStr">
        <is>
          <t>PNB</t>
        </is>
      </c>
      <c r="D159" t="inlineStr">
        <is>
          <t>Financial Services</t>
        </is>
      </c>
    </row>
    <row r="160">
      <c r="A160" t="n">
        <v>155</v>
      </c>
      <c r="B160" t="inlineStr">
        <is>
          <t>Radico Khaitan Ltd</t>
        </is>
      </c>
      <c r="C160" t="inlineStr">
        <is>
          <t>RADICO</t>
        </is>
      </c>
      <c r="D160" t="inlineStr">
        <is>
          <t>Fast Moving Consumer Goods</t>
        </is>
      </c>
    </row>
    <row r="161">
      <c r="A161" t="n">
        <v>156</v>
      </c>
      <c r="B161" t="inlineStr">
        <is>
          <t>Rail Vikas Nigam Ltd.</t>
        </is>
      </c>
      <c r="C161" t="inlineStr">
        <is>
          <t>RVNL</t>
        </is>
      </c>
      <c r="D161" t="inlineStr">
        <is>
          <t>Construction</t>
        </is>
      </c>
    </row>
    <row r="162">
      <c r="A162" t="n">
        <v>157</v>
      </c>
      <c r="B162" t="inlineStr">
        <is>
          <t>REC Ltd.</t>
        </is>
      </c>
      <c r="C162" t="inlineStr">
        <is>
          <t>RECLTD</t>
        </is>
      </c>
      <c r="D162" t="inlineStr">
        <is>
          <t>Financial Services</t>
        </is>
      </c>
    </row>
    <row r="163">
      <c r="A163" t="n">
        <v>158</v>
      </c>
      <c r="B163" t="inlineStr">
        <is>
          <t>Reliance Industries Ltd.</t>
        </is>
      </c>
      <c r="C163" t="inlineStr">
        <is>
          <t>RELIANCE</t>
        </is>
      </c>
      <c r="D163" t="inlineStr">
        <is>
          <t>Oil Gas &amp; Consumable Fuels</t>
        </is>
      </c>
    </row>
    <row r="164">
      <c r="A164" t="n">
        <v>159</v>
      </c>
      <c r="B164" t="inlineStr">
        <is>
          <t>Samvardhana Motherson International Ltd.</t>
        </is>
      </c>
      <c r="C164" t="inlineStr">
        <is>
          <t>MOTHERSON</t>
        </is>
      </c>
      <c r="D164" t="inlineStr">
        <is>
          <t>Automobile and Auto Components</t>
        </is>
      </c>
    </row>
    <row r="165">
      <c r="A165" t="n">
        <v>160</v>
      </c>
      <c r="B165" t="inlineStr">
        <is>
          <t>SBI Cards and Payment Services Ltd.</t>
        </is>
      </c>
      <c r="C165" t="inlineStr">
        <is>
          <t>SBICARD</t>
        </is>
      </c>
      <c r="D165" t="inlineStr">
        <is>
          <t>Financial Services</t>
        </is>
      </c>
    </row>
    <row r="166">
      <c r="A166" t="n">
        <v>161</v>
      </c>
      <c r="B166" t="inlineStr">
        <is>
          <t>SBI Life Insurance Company Ltd.</t>
        </is>
      </c>
      <c r="C166" t="inlineStr">
        <is>
          <t>SBILIFE</t>
        </is>
      </c>
      <c r="D166" t="inlineStr">
        <is>
          <t>Financial Services</t>
        </is>
      </c>
    </row>
    <row r="167">
      <c r="A167" t="n">
        <v>162</v>
      </c>
      <c r="B167" t="inlineStr">
        <is>
          <t>Shriram Finance Ltd.</t>
        </is>
      </c>
      <c r="C167" t="inlineStr">
        <is>
          <t>SHRIRAMFIN</t>
        </is>
      </c>
      <c r="D167" t="inlineStr">
        <is>
          <t>Financial Services</t>
        </is>
      </c>
    </row>
    <row r="168">
      <c r="A168" t="n">
        <v>163</v>
      </c>
      <c r="B168" t="inlineStr">
        <is>
          <t>Siemens Energy India Ltd.</t>
        </is>
      </c>
      <c r="C168" t="inlineStr">
        <is>
          <t>ENRIN</t>
        </is>
      </c>
      <c r="D168" t="inlineStr">
        <is>
          <t>Capital Goods</t>
        </is>
      </c>
    </row>
    <row r="169">
      <c r="A169" t="n">
        <v>164</v>
      </c>
      <c r="B169" t="inlineStr">
        <is>
          <t>Siemens Ltd.</t>
        </is>
      </c>
      <c r="C169" t="inlineStr">
        <is>
          <t>SIEMENS</t>
        </is>
      </c>
      <c r="D169" t="inlineStr">
        <is>
          <t>Capital Goods</t>
        </is>
      </c>
    </row>
    <row r="170">
      <c r="A170" t="n">
        <v>165</v>
      </c>
      <c r="B170" t="inlineStr">
        <is>
          <t>Solar Industries India Ltd.</t>
        </is>
      </c>
      <c r="C170" t="inlineStr">
        <is>
          <t>SOLARINDS</t>
        </is>
      </c>
      <c r="D170" t="inlineStr">
        <is>
          <t>Chemicals</t>
        </is>
      </c>
    </row>
    <row r="171">
      <c r="A171" t="n">
        <v>166</v>
      </c>
      <c r="B171" t="inlineStr">
        <is>
          <t>SRF Ltd.</t>
        </is>
      </c>
      <c r="C171" t="inlineStr">
        <is>
          <t>SRF</t>
        </is>
      </c>
      <c r="D171" t="inlineStr">
        <is>
          <t>Chemicals</t>
        </is>
      </c>
    </row>
    <row r="172">
      <c r="A172" t="n">
        <v>167</v>
      </c>
      <c r="B172" t="inlineStr">
        <is>
          <t>State Bank of India</t>
        </is>
      </c>
      <c r="C172" t="inlineStr">
        <is>
          <t>SBIN</t>
        </is>
      </c>
      <c r="D172" t="inlineStr">
        <is>
          <t>Financial Services</t>
        </is>
      </c>
    </row>
    <row r="173">
      <c r="A173" t="n">
        <v>168</v>
      </c>
      <c r="B173" t="inlineStr">
        <is>
          <t>Steel Authority of India Ltd.</t>
        </is>
      </c>
      <c r="C173" t="inlineStr">
        <is>
          <t>SAIL</t>
        </is>
      </c>
      <c r="D173" t="inlineStr">
        <is>
          <t>Metals &amp; Mining</t>
        </is>
      </c>
    </row>
    <row r="174">
      <c r="A174" t="n">
        <v>169</v>
      </c>
      <c r="B174" t="inlineStr">
        <is>
          <t>Sun Pharmaceutical Industries Ltd.</t>
        </is>
      </c>
      <c r="C174" t="inlineStr">
        <is>
          <t>SUNPHARMA</t>
        </is>
      </c>
      <c r="D174" t="inlineStr">
        <is>
          <t>Healthcare</t>
        </is>
      </c>
    </row>
    <row r="175">
      <c r="A175" t="n">
        <v>170</v>
      </c>
      <c r="B175" t="inlineStr">
        <is>
          <t>Supreme Industries Ltd.</t>
        </is>
      </c>
      <c r="C175" t="inlineStr">
        <is>
          <t>SUPREMEIND</t>
        </is>
      </c>
      <c r="D175" t="inlineStr">
        <is>
          <t>Capital Goods</t>
        </is>
      </c>
    </row>
    <row r="176">
      <c r="A176" t="n">
        <v>171</v>
      </c>
      <c r="B176" t="inlineStr">
        <is>
          <t>Suzlon Energy Ltd.</t>
        </is>
      </c>
      <c r="C176" t="inlineStr">
        <is>
          <t>SUZLON</t>
        </is>
      </c>
      <c r="D176" t="inlineStr">
        <is>
          <t>Capital Goods</t>
        </is>
      </c>
    </row>
    <row r="177">
      <c r="A177" t="n">
        <v>172</v>
      </c>
      <c r="B177" t="inlineStr">
        <is>
          <t>Swiggy Ltd.</t>
        </is>
      </c>
      <c r="C177" t="inlineStr">
        <is>
          <t>SWIGGY</t>
        </is>
      </c>
      <c r="D177" t="inlineStr">
        <is>
          <t>Consumer Services</t>
        </is>
      </c>
    </row>
    <row r="178">
      <c r="A178" t="n">
        <v>173</v>
      </c>
      <c r="B178" t="inlineStr">
        <is>
          <t>Tata Capital Ltd.</t>
        </is>
      </c>
      <c r="C178" t="inlineStr">
        <is>
          <t>TATACAP</t>
        </is>
      </c>
      <c r="D178" t="inlineStr">
        <is>
          <t>Financial Services</t>
        </is>
      </c>
    </row>
    <row r="179">
      <c r="A179" t="n">
        <v>174</v>
      </c>
      <c r="B179" t="inlineStr">
        <is>
          <t>Tata Communications Ltd.</t>
        </is>
      </c>
      <c r="C179" t="inlineStr">
        <is>
          <t>TATACOMM</t>
        </is>
      </c>
      <c r="D179" t="inlineStr">
        <is>
          <t>Telecommunication</t>
        </is>
      </c>
    </row>
    <row r="180">
      <c r="A180" t="n">
        <v>175</v>
      </c>
      <c r="B180" t="inlineStr">
        <is>
          <t>Tata Consultancy Services Ltd.</t>
        </is>
      </c>
      <c r="C180" t="inlineStr">
        <is>
          <t>TCS</t>
        </is>
      </c>
      <c r="D180" t="inlineStr">
        <is>
          <t>Information Technology</t>
        </is>
      </c>
    </row>
    <row r="181">
      <c r="A181" t="n">
        <v>176</v>
      </c>
      <c r="B181" t="inlineStr">
        <is>
          <t>Tata Consumer Products Ltd.</t>
        </is>
      </c>
      <c r="C181" t="inlineStr">
        <is>
          <t>TATACONSUM</t>
        </is>
      </c>
      <c r="D181" t="inlineStr">
        <is>
          <t>Fast Moving Consumer Goods</t>
        </is>
      </c>
    </row>
    <row r="182">
      <c r="A182" t="n">
        <v>177</v>
      </c>
      <c r="B182" t="inlineStr">
        <is>
          <t>Tata Motors Ltd.</t>
        </is>
      </c>
      <c r="C182" t="inlineStr">
        <is>
          <t>TMCV</t>
        </is>
      </c>
      <c r="D182" t="inlineStr">
        <is>
          <t>Capital Goods</t>
        </is>
      </c>
    </row>
    <row r="183">
      <c r="A183" t="n">
        <v>178</v>
      </c>
      <c r="B183" t="inlineStr">
        <is>
          <t>Tata Motors Passenger Vehicles Ltd.</t>
        </is>
      </c>
      <c r="C183" t="inlineStr">
        <is>
          <t>TMPV</t>
        </is>
      </c>
      <c r="D183" t="inlineStr">
        <is>
          <t>Automobile and Auto Components</t>
        </is>
      </c>
    </row>
    <row r="184">
      <c r="A184" t="n">
        <v>179</v>
      </c>
      <c r="B184" t="inlineStr">
        <is>
          <t>Tata Power Co. Ltd.</t>
        </is>
      </c>
      <c r="C184" t="inlineStr">
        <is>
          <t>TATAPOWER</t>
        </is>
      </c>
      <c r="D184" t="inlineStr">
        <is>
          <t>Power</t>
        </is>
      </c>
    </row>
    <row r="185">
      <c r="A185" t="n">
        <v>180</v>
      </c>
      <c r="B185" t="inlineStr">
        <is>
          <t>Tata Steel Ltd.</t>
        </is>
      </c>
      <c r="C185" t="inlineStr">
        <is>
          <t>TATASTEEL</t>
        </is>
      </c>
      <c r="D185" t="inlineStr">
        <is>
          <t>Metals &amp; Mining</t>
        </is>
      </c>
    </row>
    <row r="186">
      <c r="A186" t="n">
        <v>181</v>
      </c>
      <c r="B186" t="inlineStr">
        <is>
          <t>Tech Mahindra Ltd.</t>
        </is>
      </c>
      <c r="C186" t="inlineStr">
        <is>
          <t>TECHM</t>
        </is>
      </c>
      <c r="D186" t="inlineStr">
        <is>
          <t>Information Technology</t>
        </is>
      </c>
    </row>
    <row r="187">
      <c r="A187" t="n">
        <v>182</v>
      </c>
      <c r="B187" t="inlineStr">
        <is>
          <t>Titan Company Ltd.</t>
        </is>
      </c>
      <c r="C187" t="inlineStr">
        <is>
          <t>TITAN</t>
        </is>
      </c>
      <c r="D187" t="inlineStr">
        <is>
          <t>Consumer Durables</t>
        </is>
      </c>
    </row>
    <row r="188">
      <c r="A188" t="n">
        <v>183</v>
      </c>
      <c r="B188" t="inlineStr">
        <is>
          <t>Torrent Pharmaceuticals Ltd.</t>
        </is>
      </c>
      <c r="C188" t="inlineStr">
        <is>
          <t>TORNTPHARM</t>
        </is>
      </c>
      <c r="D188" t="inlineStr">
        <is>
          <t>Healthcare</t>
        </is>
      </c>
    </row>
    <row r="189">
      <c r="A189" t="n">
        <v>184</v>
      </c>
      <c r="B189" t="inlineStr">
        <is>
          <t>Trent Ltd.</t>
        </is>
      </c>
      <c r="C189" t="inlineStr">
        <is>
          <t>TRENT</t>
        </is>
      </c>
      <c r="D189" t="inlineStr">
        <is>
          <t>Consumer Services</t>
        </is>
      </c>
    </row>
    <row r="190">
      <c r="A190" t="n">
        <v>185</v>
      </c>
      <c r="B190" t="inlineStr">
        <is>
          <t>Tube Investments of India Ltd.</t>
        </is>
      </c>
      <c r="C190" t="inlineStr">
        <is>
          <t>TIINDIA</t>
        </is>
      </c>
      <c r="D190" t="inlineStr">
        <is>
          <t>Automobile and Auto Components</t>
        </is>
      </c>
    </row>
    <row r="191">
      <c r="A191" t="n">
        <v>186</v>
      </c>
      <c r="B191" t="inlineStr">
        <is>
          <t>TVS Motor Company Ltd.</t>
        </is>
      </c>
      <c r="C191" t="inlineStr">
        <is>
          <t>TVSMOTOR</t>
        </is>
      </c>
      <c r="D191" t="inlineStr">
        <is>
          <t>Automobile and Auto Components</t>
        </is>
      </c>
    </row>
    <row r="192">
      <c r="A192" t="n">
        <v>187</v>
      </c>
      <c r="B192" t="inlineStr">
        <is>
          <t>UltraTech Cement Ltd.</t>
        </is>
      </c>
      <c r="C192" t="inlineStr">
        <is>
          <t>ULTRACEMCO</t>
        </is>
      </c>
      <c r="D192" t="inlineStr">
        <is>
          <t>Construction Materials</t>
        </is>
      </c>
    </row>
    <row r="193">
      <c r="A193" t="n">
        <v>188</v>
      </c>
      <c r="B193" t="inlineStr">
        <is>
          <t>Union Bank of India</t>
        </is>
      </c>
      <c r="C193" t="inlineStr">
        <is>
          <t>UNIONBANK</t>
        </is>
      </c>
      <c r="D193" t="inlineStr">
        <is>
          <t>Financial Services</t>
        </is>
      </c>
    </row>
    <row r="194">
      <c r="A194" t="n">
        <v>189</v>
      </c>
      <c r="B194" t="inlineStr">
        <is>
          <t>United Spirits Ltd.</t>
        </is>
      </c>
      <c r="C194" t="inlineStr">
        <is>
          <t>UNITDSPR</t>
        </is>
      </c>
      <c r="D194" t="inlineStr">
        <is>
          <t>Fast Moving Consumer Goods</t>
        </is>
      </c>
    </row>
    <row r="195">
      <c r="A195" t="n">
        <v>190</v>
      </c>
      <c r="B195" t="inlineStr">
        <is>
          <t>UPL Ltd.</t>
        </is>
      </c>
      <c r="C195" t="inlineStr">
        <is>
          <t>UPL</t>
        </is>
      </c>
      <c r="D195" t="inlineStr">
        <is>
          <t>Chemicals</t>
        </is>
      </c>
    </row>
    <row r="196">
      <c r="A196" t="n">
        <v>191</v>
      </c>
      <c r="B196" t="inlineStr">
        <is>
          <t>Varun Beverages Ltd.</t>
        </is>
      </c>
      <c r="C196" t="inlineStr">
        <is>
          <t>VBL</t>
        </is>
      </c>
      <c r="D196" t="inlineStr">
        <is>
          <t>Fast Moving Consumer Goods</t>
        </is>
      </c>
    </row>
    <row r="197">
      <c r="A197" t="n">
        <v>192</v>
      </c>
      <c r="B197" t="inlineStr">
        <is>
          <t>Vedanta Aluminium Metal Ltd.</t>
        </is>
      </c>
      <c r="C197" t="inlineStr">
        <is>
          <t>VAML</t>
        </is>
      </c>
      <c r="D197" t="inlineStr">
        <is>
          <t>Metals &amp; Mining</t>
        </is>
      </c>
    </row>
    <row r="198">
      <c r="A198" t="n">
        <v>193</v>
      </c>
      <c r="B198" t="inlineStr">
        <is>
          <t>Vedanta Ltd.</t>
        </is>
      </c>
      <c r="C198" t="inlineStr">
        <is>
          <t>VEDL</t>
        </is>
      </c>
      <c r="D198" t="inlineStr">
        <is>
          <t>Metals &amp; Mining</t>
        </is>
      </c>
    </row>
    <row r="199">
      <c r="A199" t="n">
        <v>194</v>
      </c>
      <c r="B199" t="inlineStr">
        <is>
          <t>Vishal Mega Mart Ltd.</t>
        </is>
      </c>
      <c r="C199" t="inlineStr">
        <is>
          <t>VMM</t>
        </is>
      </c>
      <c r="D199" t="inlineStr">
        <is>
          <t>Consumer Services</t>
        </is>
      </c>
    </row>
    <row r="200">
      <c r="A200" t="n">
        <v>195</v>
      </c>
      <c r="B200" t="inlineStr">
        <is>
          <t>Vodafone Idea Ltd.</t>
        </is>
      </c>
      <c r="C200" t="inlineStr">
        <is>
          <t>IDEA</t>
        </is>
      </c>
      <c r="D200" t="inlineStr">
        <is>
          <t>Telecommunication</t>
        </is>
      </c>
    </row>
    <row r="201">
      <c r="A201" t="n">
        <v>196</v>
      </c>
      <c r="B201" t="inlineStr">
        <is>
          <t>Voltas Ltd.</t>
        </is>
      </c>
      <c r="C201" t="inlineStr">
        <is>
          <t>VOLTAS</t>
        </is>
      </c>
      <c r="D201" t="inlineStr">
        <is>
          <t>Consumer Durables</t>
        </is>
      </c>
    </row>
    <row r="202">
      <c r="A202" t="n">
        <v>197</v>
      </c>
      <c r="B202" t="inlineStr">
        <is>
          <t>Waaree Energies Ltd.</t>
        </is>
      </c>
      <c r="C202" t="inlineStr">
        <is>
          <t>WAAREEENER</t>
        </is>
      </c>
      <c r="D202" t="inlineStr">
        <is>
          <t>Capital Goods</t>
        </is>
      </c>
    </row>
    <row r="203">
      <c r="A203" t="n">
        <v>198</v>
      </c>
      <c r="B203" t="inlineStr">
        <is>
          <t>Wipro Ltd.</t>
        </is>
      </c>
      <c r="C203" t="inlineStr">
        <is>
          <t>WIPRO</t>
        </is>
      </c>
      <c r="D203" t="inlineStr">
        <is>
          <t>Information Technology</t>
        </is>
      </c>
    </row>
    <row r="204">
      <c r="A204" t="n">
        <v>199</v>
      </c>
      <c r="B204" t="inlineStr">
        <is>
          <t>Yes Bank Ltd.</t>
        </is>
      </c>
      <c r="C204" t="inlineStr">
        <is>
          <t>YESBANK</t>
        </is>
      </c>
      <c r="D204" t="inlineStr">
        <is>
          <t>Financial Services</t>
        </is>
      </c>
    </row>
    <row r="205">
      <c r="A205" t="n">
        <v>200</v>
      </c>
      <c r="B205" t="inlineStr">
        <is>
          <t>Zydus Lifesciences Ltd.</t>
        </is>
      </c>
      <c r="C205" t="inlineStr">
        <is>
          <t>ZYDUSLIFE</t>
        </is>
      </c>
      <c r="D205" t="inlineStr">
        <is>
          <t>Healthcare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2026-10-21T17:40:22Z</dcterms:created>
  <dcterms:modified xsi:type="dcterms:W3CDTF">2026-10-21T17:40:50Z</dcterms:modified>
</cp:coreProperties>
</file>