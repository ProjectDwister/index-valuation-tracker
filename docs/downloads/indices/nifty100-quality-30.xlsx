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100Quality3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Nifty100 Quality 30 Valuation Tracker</t>
        </is>
      </c>
    </row>
    <row r="2">
      <c r="A2" s="2" t="inlineStr">
        <is>
          <t>As of</t>
        </is>
      </c>
      <c r="B2" s="23" t="n">
        <v>46318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5302.15</v>
      </c>
      <c r="D5" s="2" t="inlineStr">
        <is>
          <t>P/E</t>
        </is>
      </c>
      <c r="E5" s="25" t="n">
        <v>24.96</v>
      </c>
    </row>
    <row r="6">
      <c r="A6" s="2" t="inlineStr">
        <is>
          <t>P/E percentile</t>
        </is>
      </c>
      <c r="B6" s="26" t="n">
        <v>0.02238805970149254</v>
      </c>
      <c r="D6" s="2" t="inlineStr">
        <is>
          <t>Implied EPS</t>
        </is>
      </c>
      <c r="E6" s="27" t="n">
        <v>212.4258814102564</v>
      </c>
    </row>
    <row r="7">
      <c r="A7" s="2" t="inlineStr">
        <is>
          <t>YoY implied EPS growth</t>
        </is>
      </c>
      <c r="B7" s="26" t="n">
        <v>0.1002991244297258</v>
      </c>
      <c r="D7" s="2" t="inlineStr">
        <is>
          <t>Earnings yield</t>
        </is>
      </c>
      <c r="E7" s="10" t="n">
        <v>0.04006410256410256</v>
      </c>
    </row>
    <row r="8">
      <c r="A8" s="2" t="inlineStr">
        <is>
          <t>Valuation score</t>
        </is>
      </c>
      <c r="B8" s="28" t="n">
        <v>97.76119402985076</v>
      </c>
      <c r="D8" s="2" t="inlineStr">
        <is>
          <t>Growth score</t>
        </is>
      </c>
      <c r="E8" s="28" t="n">
        <v>60.11964977189031</v>
      </c>
    </row>
    <row r="9">
      <c r="A9" s="2" t="inlineStr">
        <is>
          <t>Composite score</t>
        </is>
      </c>
      <c r="B9" s="28" t="n">
        <v>86.46873075246262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27.85005272364049</v>
      </c>
      <c r="C13" s="15" t="n">
        <v>5916.071997141443</v>
      </c>
      <c r="D13" s="30" t="n">
        <v>0.1157873687355966</v>
      </c>
    </row>
    <row r="14">
      <c r="A14" t="inlineStr">
        <is>
          <t>HOLD → SELL</t>
        </is>
      </c>
      <c r="B14" s="29" t="n">
        <v>30.70581973299526</v>
      </c>
      <c r="C14" s="15" t="n">
        <v>6522.710821205962</v>
      </c>
      <c r="D14" s="30" t="n">
        <v>0.2302011110975666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6</v>
      </c>
      <c r="C18" s="30" t="n">
        <v>0.4054848552554514</v>
      </c>
      <c r="D18" s="30" t="n">
        <v>0.1775043469008155</v>
      </c>
      <c r="E18" s="30" t="n">
        <v>0.1904926832772086</v>
      </c>
      <c r="F18" s="30" t="n"/>
      <c r="G18" s="30" t="n">
        <v>0</v>
      </c>
    </row>
    <row r="19">
      <c r="A19" t="inlineStr">
        <is>
          <t>Q2</t>
        </is>
      </c>
      <c r="B19" t="n">
        <v>7</v>
      </c>
      <c r="C19" s="30" t="n">
        <v>0.1949832048532649</v>
      </c>
      <c r="D19" s="30" t="n">
        <v>0.1091871013450871</v>
      </c>
      <c r="E19" s="30" t="n">
        <v>0.1723478696648127</v>
      </c>
      <c r="F19" s="30" t="n"/>
      <c r="G19" s="30" t="n">
        <v>0</v>
      </c>
    </row>
    <row r="20">
      <c r="A20" t="inlineStr">
        <is>
          <t>Q3</t>
        </is>
      </c>
      <c r="B20" t="n">
        <v>6</v>
      </c>
      <c r="C20" s="30" t="n">
        <v>0.009822054134832225</v>
      </c>
      <c r="D20" s="30" t="n">
        <v>0.1441623043595324</v>
      </c>
      <c r="E20" s="30" t="n">
        <v>0.1348629652842709</v>
      </c>
      <c r="F20" s="30" t="n"/>
      <c r="G20" s="30" t="n">
        <v>0</v>
      </c>
    </row>
    <row r="21">
      <c r="A21" t="inlineStr">
        <is>
          <t>Q4</t>
        </is>
      </c>
      <c r="B21" t="n">
        <v>7</v>
      </c>
      <c r="C21" s="30" t="n">
        <v>0.02299378942735597</v>
      </c>
      <c r="D21" s="30" t="n">
        <v>0.1480587912062834</v>
      </c>
      <c r="E21" s="30" t="n">
        <v>0.1084976706251504</v>
      </c>
      <c r="F21" s="30" t="n"/>
      <c r="G21" s="30" t="n">
        <v>0</v>
      </c>
    </row>
    <row r="22">
      <c r="A22" t="inlineStr">
        <is>
          <t>Q5 Most Expensive</t>
        </is>
      </c>
      <c r="B22" t="n">
        <v>7</v>
      </c>
      <c r="C22" s="30" t="n">
        <v>-0.01052226316597615</v>
      </c>
      <c r="D22" s="30" t="n">
        <v>0.1555272892180155</v>
      </c>
      <c r="E22" s="30" t="n">
        <v>0.1216169957011712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33</v>
      </c>
    </row>
    <row r="27">
      <c r="A27" s="2" t="inlineStr">
        <is>
          <t>Backtest start</t>
        </is>
      </c>
      <c r="B27" t="inlineStr">
        <is>
          <t>2018-09-30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3266.8</v>
      </c>
      <c r="C2" s="25" t="n">
        <v>30.12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3521.95</v>
      </c>
      <c r="C3" s="25" t="n">
        <v>31.42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3619.85</v>
      </c>
      <c r="C4" s="25" t="n">
        <v>31.98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3634.95</v>
      </c>
      <c r="C5" s="25" t="n">
        <v>31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3897.8</v>
      </c>
      <c r="C6" s="25" t="n">
        <v>32.09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4023.2</v>
      </c>
      <c r="C7" s="25" t="n">
        <v>33.13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3884.3</v>
      </c>
      <c r="C8" s="25" t="n">
        <v>31.22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3790.75</v>
      </c>
      <c r="C9" s="25" t="n">
        <v>30.43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3967.65</v>
      </c>
      <c r="C10" s="25" t="n">
        <v>32.24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3798</v>
      </c>
      <c r="C11" s="25" t="n">
        <v>30.91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3732.5</v>
      </c>
      <c r="C12" s="25" t="n">
        <v>30.68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3785.3</v>
      </c>
      <c r="C13" s="25" t="n">
        <v>31.1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3746.35</v>
      </c>
      <c r="C14" s="25" t="n">
        <v>30.14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3651.9</v>
      </c>
      <c r="C15" s="25" t="n">
        <v>28.5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3490.5</v>
      </c>
      <c r="C16" s="25" t="n">
        <v>28.09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3860.35</v>
      </c>
      <c r="C17" s="25" t="n">
        <v>30.7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3951</v>
      </c>
      <c r="C18" s="25" t="n">
        <v>29.57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3846.6</v>
      </c>
      <c r="C19" s="25" t="n">
        <v>27.78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3936.1</v>
      </c>
      <c r="C20" s="25" t="n">
        <v>28.09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4031.35</v>
      </c>
      <c r="C21" s="25" t="n">
        <v>27.86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3867.1</v>
      </c>
      <c r="C22" s="25" t="n">
        <v>26.61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3852.3</v>
      </c>
      <c r="C23" s="25" t="n">
        <v>25.97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3824.85</v>
      </c>
      <c r="C24" s="25" t="n">
        <v>24.99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3816.15</v>
      </c>
      <c r="C25" s="25" t="n">
        <v>24.92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3948.7</v>
      </c>
      <c r="C26" s="25" t="n">
        <v>25.53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4182.8</v>
      </c>
      <c r="C27" s="25" t="n">
        <v>26.97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4319.7</v>
      </c>
      <c r="C28" s="25" t="n">
        <v>27.59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4368.55</v>
      </c>
      <c r="C29" s="25" t="n">
        <v>27.85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4330.3</v>
      </c>
      <c r="C30" s="25" t="n">
        <v>27.44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4432.85</v>
      </c>
      <c r="C31" s="25" t="n">
        <v>28.04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4368</v>
      </c>
      <c r="C32" s="25" t="n">
        <v>27.09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4673.4</v>
      </c>
      <c r="C33" s="25" t="n">
        <v>28.35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5044.4</v>
      </c>
      <c r="C34" s="25" t="n">
        <v>31.24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4997.2</v>
      </c>
      <c r="C35" s="25" t="n">
        <v>30.63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5088.9</v>
      </c>
      <c r="C36" s="25" t="n">
        <v>30.58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5112.25</v>
      </c>
      <c r="C37" s="25" t="n">
        <v>30.72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5189.3</v>
      </c>
      <c r="C38" s="25" t="n">
        <v>30.74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5352</v>
      </c>
      <c r="C39" s="25" t="n">
        <v>30.96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5642.25</v>
      </c>
      <c r="C40" s="25" t="n">
        <v>33.85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6000.45</v>
      </c>
      <c r="C41" s="25" t="n">
        <v>35.4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6103.7</v>
      </c>
      <c r="C42" s="25" t="n">
        <v>34.94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6267.7</v>
      </c>
      <c r="C43" s="25" t="n">
        <v>35.89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5729.8</v>
      </c>
      <c r="C44" s="25" t="n">
        <v>32.49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5716.1</v>
      </c>
      <c r="C45" s="25" t="n">
        <v>32.51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5542.7</v>
      </c>
      <c r="C46" s="25" t="n">
        <v>30.33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5525.95</v>
      </c>
      <c r="C47" s="25" t="n">
        <v>29.99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4986.95</v>
      </c>
      <c r="C48" s="25" t="n">
        <v>26.92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5229.8</v>
      </c>
      <c r="C49" s="25" t="n">
        <v>28.24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5384.3</v>
      </c>
      <c r="C50" s="25" t="n">
        <v>28.91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5549.75</v>
      </c>
      <c r="C51" s="25" t="n">
        <v>29.46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5666.5</v>
      </c>
      <c r="C52" s="25" t="n">
        <v>29.58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5506.3</v>
      </c>
      <c r="C53" s="25" t="n">
        <v>28.64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5581</v>
      </c>
      <c r="C54" s="25" t="n">
        <v>29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5567.55</v>
      </c>
      <c r="C55" s="25" t="n">
        <v>28.94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5732.2</v>
      </c>
      <c r="C56" s="25" t="n">
        <v>29.96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5830.45</v>
      </c>
      <c r="C57" s="25" t="n">
        <v>30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5860.05</v>
      </c>
      <c r="C58" s="25" t="n">
        <v>32.14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5806.6</v>
      </c>
      <c r="C59" s="25" t="n">
        <v>31.83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5561.5</v>
      </c>
      <c r="C60" s="25" t="n">
        <v>30.15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5033.1</v>
      </c>
      <c r="C61" s="25" t="n">
        <v>27.28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5556.55</v>
      </c>
      <c r="C62" s="25" t="n">
        <v>29.38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5522.95</v>
      </c>
      <c r="C63" s="25" t="n">
        <v>28.95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5388.05</v>
      </c>
      <c r="C64" s="25" t="n">
        <v>26.58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5674.2</v>
      </c>
      <c r="C65" s="25" t="n">
        <v>27.33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5719.8</v>
      </c>
      <c r="C66" s="25" t="n">
        <v>27.55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5320.35</v>
      </c>
      <c r="C67" s="25" t="n">
        <v>25.61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43373</v>
      </c>
      <c r="B2" s="24" t="n">
        <v>2542.75</v>
      </c>
      <c r="C2" s="25" t="n">
        <v>26.91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IF(C2="","",(COUNTIFS($D$2:$D$34,D2,$C$2:$C$34,"&gt;0",$C$2:$C$34,"&lt;"&amp;C2)+(COUNTIFS($D$2:$D$34,D2,$C$2:$C$34,C2)+1)/2)/COUNTIFS($D$2:$D$34,D2,$C$2:$C$34,"&gt;0"))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 t="n"/>
    </row>
    <row r="3">
      <c r="A3" s="31" t="n">
        <v>43465</v>
      </c>
      <c r="B3" s="24" t="n">
        <v>2622.05</v>
      </c>
      <c r="C3" s="25" t="n">
        <v>28.5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IF(C3="","",(COUNTIFS($D$2:$D$34,D3,$C$2:$C$34,"&gt;0",$C$2:$C$34,"&lt;"&amp;C3)+(COUNTIFS($D$2:$D$34,D3,$C$2:$C$34,C3)+1)/2)/COUNTIFS($D$2:$D$34,D3,$C$2:$C$34,"&gt;0"))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43555</v>
      </c>
      <c r="B4" s="24" t="n">
        <v>2742.5</v>
      </c>
      <c r="C4" s="25" t="n">
        <v>28.3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IF(C4="","",(COUNTIFS($D$2:$D$34,D4,$C$2:$C$34,"&gt;0",$C$2:$C$34,"&lt;"&amp;C4)+(COUNTIFS($D$2:$D$34,D4,$C$2:$C$34,C4)+1)/2)/COUNTIFS($D$2:$D$34,D4,$C$2:$C$34,"&gt;0"))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43646</v>
      </c>
      <c r="B5" s="24" t="n">
        <v>2660.3</v>
      </c>
      <c r="C5" s="25" t="n">
        <v>26.73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IF(C5="","",(COUNTIFS($D$2:$D$34,D5,$C$2:$C$34,"&gt;0",$C$2:$C$34,"&lt;"&amp;C5)+(COUNTIFS($D$2:$D$34,D5,$C$2:$C$34,C5)+1)/2)/COUNTIFS($D$2:$D$34,D5,$C$2:$C$34,"&gt;0"))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43738</v>
      </c>
      <c r="B6" s="24" t="n">
        <v>2711.6</v>
      </c>
      <c r="C6" s="25" t="n">
        <v>26.8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IF(C6="","",(COUNTIFS($D$2:$D$34,D6,$C$2:$C$34,"&gt;0",$C$2:$C$34,"&lt;"&amp;C6)+(COUNTIFS($D$2:$D$34,D6,$C$2:$C$34,C6)+1)/2)/COUNTIFS($D$2:$D$34,D6,$C$2:$C$34,"&gt;0"))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43830</v>
      </c>
      <c r="B7" s="24" t="n">
        <v>2730.05</v>
      </c>
      <c r="C7" s="25" t="n">
        <v>27.32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IF(C7="","",(COUNTIFS($D$2:$D$34,D7,$C$2:$C$34,"&gt;0",$C$2:$C$34,"&lt;"&amp;C7)+(COUNTIFS($D$2:$D$34,D7,$C$2:$C$34,C7)+1)/2)/COUNTIFS($D$2:$D$34,D7,$C$2:$C$34,"&gt;0"))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43921</v>
      </c>
      <c r="B8" s="24" t="n">
        <v>2107.05</v>
      </c>
      <c r="C8" s="25" t="n">
        <v>22.22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IF(C8="","",(COUNTIFS($D$2:$D$34,D8,$C$2:$C$34,"&gt;0",$C$2:$C$34,"&lt;"&amp;C8)+(COUNTIFS($D$2:$D$34,D8,$C$2:$C$34,C8)+1)/2)/COUNTIFS($D$2:$D$34,D8,$C$2:$C$34,"&gt;0"))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44012</v>
      </c>
      <c r="B9" s="24" t="n">
        <v>2460.25</v>
      </c>
      <c r="C9" s="25" t="n">
        <v>24.53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IF(C9="","",(COUNTIFS($D$2:$D$34,D9,$C$2:$C$34,"&gt;0",$C$2:$C$34,"&lt;"&amp;C9)+(COUNTIFS($D$2:$D$34,D9,$C$2:$C$34,C9)+1)/2)/COUNTIFS($D$2:$D$34,D9,$C$2:$C$34,"&gt;0"))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44104</v>
      </c>
      <c r="B10" s="24" t="n">
        <v>2725.8</v>
      </c>
      <c r="C10" s="25" t="n">
        <v>29.45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IF(C10="","",(COUNTIFS($D$2:$D$34,D10,$C$2:$C$34,"&gt;0",$C$2:$C$34,"&lt;"&amp;C10)+(COUNTIFS($D$2:$D$34,D10,$C$2:$C$34,C10)+1)/2)/COUNTIFS($D$2:$D$34,D10,$C$2:$C$34,"&gt;0"))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44196</v>
      </c>
      <c r="B11" s="24" t="n">
        <v>3301.25</v>
      </c>
      <c r="C11" s="25" t="n">
        <v>36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IF(C11="","",(COUNTIFS($D$2:$D$34,D11,$C$2:$C$34,"&gt;0",$C$2:$C$34,"&lt;"&amp;C11)+(COUNTIFS($D$2:$D$34,D11,$C$2:$C$34,C11)+1)/2)/COUNTIFS($D$2:$D$34,D11,$C$2:$C$34,"&gt;0"))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44286</v>
      </c>
      <c r="B12" s="24" t="n">
        <v>3357.25</v>
      </c>
      <c r="C12" s="25" t="n">
        <v>30.87</v>
      </c>
      <c r="D12" s="2" t="inlineStr">
        <is>
          <t>Consolidated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IF(C12="","",(COUNTIFS($D$2:$D$34,D12,$C$2:$C$34,"&gt;0",$C$2:$C$34,"&lt;"&amp;C12)+(COUNTIFS($D$2:$D$34,D12,$C$2:$C$34,C12)+1)/2)/COUNTIFS($D$2:$D$34,D12,$C$2:$C$34,"&gt;0"))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44377</v>
      </c>
      <c r="B13" s="24" t="n">
        <v>3619.85</v>
      </c>
      <c r="C13" s="25" t="n">
        <v>31.98</v>
      </c>
      <c r="D13" s="2" t="inlineStr">
        <is>
          <t>Consolidated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IF(C13="","",(COUNTIFS($D$2:$D$34,D13,$C$2:$C$34,"&gt;0",$C$2:$C$34,"&lt;"&amp;C13)+(COUNTIFS($D$2:$D$34,D13,$C$2:$C$34,C13)+1)/2)/COUNTIFS($D$2:$D$34,D13,$C$2:$C$34,"&gt;0"))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44469</v>
      </c>
      <c r="B14" s="24" t="n">
        <v>4023.2</v>
      </c>
      <c r="C14" s="25" t="n">
        <v>33.13</v>
      </c>
      <c r="D14" s="2" t="inlineStr">
        <is>
          <t>Consolidated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IF(C14="","",(COUNTIFS($D$2:$D$34,D14,$C$2:$C$34,"&gt;0",$C$2:$C$34,"&lt;"&amp;C14)+(COUNTIFS($D$2:$D$34,D14,$C$2:$C$34,C14)+1)/2)/COUNTIFS($D$2:$D$34,D14,$C$2:$C$34,"&gt;0"))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44561</v>
      </c>
      <c r="B15" s="24" t="n">
        <v>3967.65</v>
      </c>
      <c r="C15" s="25" t="n">
        <v>32.24</v>
      </c>
      <c r="D15" s="2" t="inlineStr">
        <is>
          <t>Consolidated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IF(C15="","",(COUNTIFS($D$2:$D$34,D15,$C$2:$C$34,"&gt;0",$C$2:$C$34,"&lt;"&amp;C15)+(COUNTIFS($D$2:$D$34,D15,$C$2:$C$34,C15)+1)/2)/COUNTIFS($D$2:$D$34,D15,$C$2:$C$34,"&gt;0"))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 t="n"/>
      <c r="L15" s="30" t="n"/>
    </row>
    <row r="16">
      <c r="A16" s="31" t="n">
        <v>44651</v>
      </c>
      <c r="B16" s="24" t="n">
        <v>3785.3</v>
      </c>
      <c r="C16" s="25" t="n">
        <v>31.1</v>
      </c>
      <c r="D16" s="2" t="inlineStr">
        <is>
          <t>Consolidated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IF(C16="","",(COUNTIFS($D$2:$D$34,D16,$C$2:$C$34,"&gt;0",$C$2:$C$34,"&lt;"&amp;C16)+(COUNTIFS($D$2:$D$34,D16,$C$2:$C$34,C16)+1)/2)/COUNTIFS($D$2:$D$34,D16,$C$2:$C$34,"&gt;0"))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 t="n"/>
      <c r="L16" s="30" t="n"/>
    </row>
    <row r="17">
      <c r="A17" s="31" t="n">
        <v>44742</v>
      </c>
      <c r="B17" s="24" t="n">
        <v>3490.5</v>
      </c>
      <c r="C17" s="25" t="n">
        <v>28.09</v>
      </c>
      <c r="D17" s="2" t="inlineStr">
        <is>
          <t>Consolidated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IF(C17="","",(COUNTIFS($D$2:$D$34,D17,$C$2:$C$34,"&gt;0",$C$2:$C$34,"&lt;"&amp;C17)+(COUNTIFS($D$2:$D$34,D17,$C$2:$C$34,C17)+1)/2)/COUNTIFS($D$2:$D$34,D17,$C$2:$C$34,"&gt;0"))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 t="n"/>
      <c r="L17" s="30" t="n"/>
    </row>
    <row r="18">
      <c r="A18" s="31" t="n">
        <v>44834</v>
      </c>
      <c r="B18" s="24" t="n">
        <v>3846.6</v>
      </c>
      <c r="C18" s="25" t="n">
        <v>27.78</v>
      </c>
      <c r="D18" s="2" t="inlineStr">
        <is>
          <t>Consolidated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IF(C18="","",(COUNTIFS($D$2:$D$34,D18,$C$2:$C$34,"&gt;0",$C$2:$C$34,"&lt;"&amp;C18)+(COUNTIFS($D$2:$D$34,D18,$C$2:$C$34,C18)+1)/2)/COUNTIFS($D$2:$D$34,D18,$C$2:$C$34,"&gt;0"))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 t="n"/>
      <c r="L18" s="30" t="n"/>
    </row>
    <row r="19">
      <c r="A19" s="31" t="n">
        <v>44926</v>
      </c>
      <c r="B19" s="24" t="n">
        <v>3867.1</v>
      </c>
      <c r="C19" s="25" t="n">
        <v>26.61</v>
      </c>
      <c r="D19" s="2" t="inlineStr">
        <is>
          <t>Consolidated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IF(C19="","",(COUNTIFS($D$2:$D$34,D19,$C$2:$C$34,"&gt;0",$C$2:$C$34,"&lt;"&amp;C19)+(COUNTIFS($D$2:$D$34,D19,$C$2:$C$34,C19)+1)/2)/COUNTIFS($D$2:$D$34,D19,$C$2:$C$34,"&gt;0"))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 t="n"/>
      <c r="L19" s="30" t="n"/>
    </row>
    <row r="20">
      <c r="A20" s="31" t="n">
        <v>45016</v>
      </c>
      <c r="B20" s="24" t="n">
        <v>3816.15</v>
      </c>
      <c r="C20" s="25" t="n">
        <v>24.92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IF(C20="","",(COUNTIFS($D$2:$D$34,D20,$C$2:$C$34,"&gt;0",$C$2:$C$34,"&lt;"&amp;C20)+(COUNTIFS($D$2:$D$34,D20,$C$2:$C$34,C20)+1)/2)/COUNTIFS($D$2:$D$34,D20,$C$2:$C$34,"&gt;0"))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 t="n"/>
      <c r="L20" s="30" t="n"/>
    </row>
    <row r="21">
      <c r="A21" s="31" t="n">
        <v>45107</v>
      </c>
      <c r="B21" s="24" t="n">
        <v>4319.7</v>
      </c>
      <c r="C21" s="25" t="n">
        <v>27.59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IF(C21="","",(COUNTIFS($D$2:$D$34,D21,$C$2:$C$34,"&gt;0",$C$2:$C$34,"&lt;"&amp;C21)+(COUNTIFS($D$2:$D$34,D21,$C$2:$C$34,C21)+1)/2)/COUNTIFS($D$2:$D$34,D21,$C$2:$C$34,"&gt;0"))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 t="n"/>
      <c r="L21" s="30" t="n"/>
    </row>
    <row r="22">
      <c r="A22" s="31" t="n">
        <v>45199</v>
      </c>
      <c r="B22" s="24" t="n">
        <v>4432.85</v>
      </c>
      <c r="C22" s="25" t="n">
        <v>28.04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IF(C22="","",(COUNTIFS($D$2:$D$34,D22,$C$2:$C$34,"&gt;0",$C$2:$C$34,"&lt;"&amp;C22)+(COUNTIFS($D$2:$D$34,D22,$C$2:$C$34,C22)+1)/2)/COUNTIFS($D$2:$D$34,D22,$C$2:$C$34,"&gt;0"))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 t="n"/>
      <c r="L22" s="30" t="n"/>
    </row>
    <row r="23">
      <c r="A23" s="31" t="n">
        <v>45291</v>
      </c>
      <c r="B23" s="24" t="n">
        <v>5044.4</v>
      </c>
      <c r="C23" s="25" t="n">
        <v>31.24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IF(C23="","",(COUNTIFS($D$2:$D$34,D23,$C$2:$C$34,"&gt;0",$C$2:$C$34,"&lt;"&amp;C23)+(COUNTIFS($D$2:$D$34,D23,$C$2:$C$34,C23)+1)/2)/COUNTIFS($D$2:$D$34,D23,$C$2:$C$34,"&gt;0"))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 t="n"/>
      <c r="K23" s="30" t="n"/>
      <c r="L23" s="30" t="n"/>
    </row>
    <row r="24">
      <c r="A24" s="31" t="n">
        <v>45382</v>
      </c>
      <c r="B24" s="24" t="n">
        <v>5112.25</v>
      </c>
      <c r="C24" s="25" t="n">
        <v>30.72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IF(C24="","",(COUNTIFS($D$2:$D$34,D24,$C$2:$C$34,"&gt;0",$C$2:$C$34,"&lt;"&amp;C24)+(COUNTIFS($D$2:$D$34,D24,$C$2:$C$34,C24)+1)/2)/COUNTIFS($D$2:$D$34,D24,$C$2:$C$34,"&gt;0"))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 t="n"/>
      <c r="K24" s="30" t="n"/>
      <c r="L24" s="30" t="n"/>
    </row>
    <row r="25">
      <c r="A25" s="31" t="n">
        <v>45473</v>
      </c>
      <c r="B25" s="24" t="n">
        <v>5642.25</v>
      </c>
      <c r="C25" s="25" t="n">
        <v>33.85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IF(C25="","",(COUNTIFS($D$2:$D$34,D25,$C$2:$C$34,"&gt;0",$C$2:$C$34,"&lt;"&amp;C25)+(COUNTIFS($D$2:$D$34,D25,$C$2:$C$34,C25)+1)/2)/COUNTIFS($D$2:$D$34,D25,$C$2:$C$34,"&gt;0"))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 t="n"/>
      <c r="K25" s="30" t="n"/>
      <c r="L25" s="30" t="n"/>
    </row>
    <row r="26">
      <c r="A26" s="31" t="n">
        <v>45565</v>
      </c>
      <c r="B26" s="24" t="n">
        <v>6267.7</v>
      </c>
      <c r="C26" s="25" t="n">
        <v>35.89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IF(C26="","",(COUNTIFS($D$2:$D$34,D26,$C$2:$C$34,"&gt;0",$C$2:$C$34,"&lt;"&amp;C26)+(COUNTIFS($D$2:$D$34,D26,$C$2:$C$34,C26)+1)/2)/COUNTIFS($D$2:$D$34,D26,$C$2:$C$34,"&gt;0"))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 t="n"/>
      <c r="K26" s="30" t="n"/>
      <c r="L26" s="30" t="n"/>
    </row>
    <row r="27">
      <c r="A27" s="31" t="n">
        <v>45657</v>
      </c>
      <c r="B27" s="24" t="n">
        <v>5542.7</v>
      </c>
      <c r="C27" s="25" t="n">
        <v>30.33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IF(C27="","",(COUNTIFS($D$2:$D$34,D27,$C$2:$C$34,"&gt;0",$C$2:$C$34,"&lt;"&amp;C27)+(COUNTIFS($D$2:$D$34,D27,$C$2:$C$34,C27)+1)/2)/COUNTIFS($D$2:$D$34,D27,$C$2:$C$34,"&gt;0"))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 t="n"/>
      <c r="K27" s="30" t="n"/>
      <c r="L27" s="30" t="n"/>
    </row>
    <row r="28">
      <c r="A28" s="31" t="n">
        <v>45747</v>
      </c>
      <c r="B28" s="24" t="n">
        <v>5229.8</v>
      </c>
      <c r="C28" s="25" t="n">
        <v>28.24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IF(C28="","",(COUNTIFS($D$2:$D$34,D28,$C$2:$C$34,"&gt;0",$C$2:$C$34,"&lt;"&amp;C28)+(COUNTIFS($D$2:$D$34,D28,$C$2:$C$34,C28)+1)/2)/COUNTIFS($D$2:$D$34,D28,$C$2:$C$34,"&gt;0"))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 t="n"/>
      <c r="K28" s="30" t="n"/>
      <c r="L28" s="30" t="n"/>
    </row>
    <row r="29">
      <c r="A29" s="31" t="n">
        <v>45838</v>
      </c>
      <c r="B29" s="24" t="n">
        <v>5666.5</v>
      </c>
      <c r="C29" s="25" t="n">
        <v>29.58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IF(C29="","",(COUNTIFS($D$2:$D$34,D29,$C$2:$C$34,"&gt;0",$C$2:$C$34,"&lt;"&amp;C29)+(COUNTIFS($D$2:$D$34,D29,$C$2:$C$34,C29)+1)/2)/COUNTIFS($D$2:$D$34,D29,$C$2:$C$34,"&gt;0"))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 t="n"/>
      <c r="K29" s="30" t="n"/>
      <c r="L29" s="30" t="n"/>
    </row>
    <row r="30">
      <c r="A30" s="31" t="n">
        <v>45930</v>
      </c>
      <c r="B30" s="24" t="n">
        <v>5567.55</v>
      </c>
      <c r="C30" s="25" t="n">
        <v>28.94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IF(C30="","",(COUNTIFS($D$2:$D$34,D30,$C$2:$C$34,"&gt;0",$C$2:$C$34,"&lt;"&amp;C30)+(COUNTIFS($D$2:$D$34,D30,$C$2:$C$34,C30)+1)/2)/COUNTIFS($D$2:$D$34,D30,$C$2:$C$34,"&gt;0"))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 t="n"/>
      <c r="K30" s="30" t="n"/>
      <c r="L30" s="30" t="n"/>
    </row>
    <row r="31">
      <c r="A31" s="31" t="n">
        <v>46022</v>
      </c>
      <c r="B31" s="24" t="n">
        <v>5860.05</v>
      </c>
      <c r="C31" s="25" t="n">
        <v>32.14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IF(C31="","",(COUNTIFS($D$2:$D$34,D31,$C$2:$C$34,"&gt;0",$C$2:$C$34,"&lt;"&amp;C31)+(COUNTIFS($D$2:$D$34,D31,$C$2:$C$34,C31)+1)/2)/COUNTIFS($D$2:$D$34,D31,$C$2:$C$34,"&gt;0"))</f>
        <v/>
      </c>
      <c r="H31">
        <f>IF(G31="","",IF(G31&lt;=20%,"Q1 Cheapest",IF(G31&lt;=40%,"Q2",IF(G31&lt;=60%,"Q3",IF(G31&lt;=80%,"Q4","Q5 Most Expensive")))))</f>
        <v/>
      </c>
      <c r="I31" s="30" t="n"/>
      <c r="J31" s="30" t="n"/>
      <c r="K31" s="30" t="n"/>
      <c r="L31" s="30" t="n"/>
    </row>
    <row r="32">
      <c r="A32" s="31" t="n">
        <v>46112</v>
      </c>
      <c r="B32" s="24" t="n">
        <v>5033.1</v>
      </c>
      <c r="C32" s="25" t="n">
        <v>27.28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IF(C32="","",(COUNTIFS($D$2:$D$34,D32,$C$2:$C$34,"&gt;0",$C$2:$C$34,"&lt;"&amp;C32)+(COUNTIFS($D$2:$D$34,D32,$C$2:$C$34,C32)+1)/2)/COUNTIFS($D$2:$D$34,D32,$C$2:$C$34,"&gt;0"))</f>
        <v/>
      </c>
      <c r="H32">
        <f>IF(G32="","",IF(G32&lt;=20%,"Q1 Cheapest",IF(G32&lt;=40%,"Q2",IF(G32&lt;=60%,"Q3",IF(G32&lt;=80%,"Q4","Q5 Most Expensive")))))</f>
        <v/>
      </c>
      <c r="I32" s="30" t="n"/>
      <c r="J32" s="30" t="n"/>
      <c r="K32" s="30" t="n"/>
      <c r="L32" s="30" t="n"/>
    </row>
    <row r="33">
      <c r="A33" s="31" t="n">
        <v>46203</v>
      </c>
      <c r="B33" s="24" t="n">
        <v>5388.05</v>
      </c>
      <c r="C33" s="25" t="n">
        <v>26.58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IF(C33="","",(COUNTIFS($D$2:$D$34,D33,$C$2:$C$34,"&gt;0",$C$2:$C$34,"&lt;"&amp;C33)+(COUNTIFS($D$2:$D$34,D33,$C$2:$C$34,C33)+1)/2)/COUNTIFS($D$2:$D$34,D33,$C$2:$C$34,"&gt;0"))</f>
        <v/>
      </c>
      <c r="H33">
        <f>IF(G33="","",IF(G33&lt;=20%,"Q1 Cheapest",IF(G33&lt;=40%,"Q2",IF(G33&lt;=60%,"Q3",IF(G33&lt;=80%,"Q4","Q5 Most Expensive")))))</f>
        <v/>
      </c>
      <c r="I33" s="30" t="n"/>
      <c r="J33" s="30" t="n"/>
      <c r="K33" s="30" t="n"/>
      <c r="L33" s="30" t="n"/>
    </row>
    <row r="34">
      <c r="A34" s="31" t="n">
        <v>46295</v>
      </c>
      <c r="B34" s="24" t="n">
        <v>5320.35</v>
      </c>
      <c r="C34" s="25" t="n">
        <v>25.61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IF(C34="","",(COUNTIFS($D$2:$D$34,D34,$C$2:$C$34,"&gt;0",$C$2:$C$34,"&lt;"&amp;C34)+(COUNTIFS($D$2:$D$34,D34,$C$2:$C$34,C34)+1)/2)/COUNTIFS($D$2:$D$34,D34,$C$2:$C$34,"&gt;0"))</f>
        <v/>
      </c>
      <c r="H34">
        <f>IF(G34="","",IF(G34&lt;=20%,"Q1 Cheapest",IF(G34&lt;=40%,"Q2",IF(G34&lt;=60%,"Q3",IF(G34&lt;=80%,"Q4","Q5 Most Expensive")))))</f>
        <v/>
      </c>
      <c r="I34" s="30" t="n"/>
      <c r="J34" s="30" t="n"/>
      <c r="K34" s="30" t="n"/>
      <c r="L34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8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5444.35</v>
      </c>
      <c r="C2" s="25" t="n">
        <v>26.22</v>
      </c>
      <c r="D2" s="26" t="n">
        <v>0.0681818181818</v>
      </c>
      <c r="E2" s="26" t="n">
        <v>0.0789807970964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5478.9</v>
      </c>
      <c r="C3" s="25" t="n">
        <v>26.39</v>
      </c>
      <c r="D3" s="26" t="n">
        <v>0.0681818181818</v>
      </c>
      <c r="E3" s="26" t="n">
        <v>0.0790204928923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5463.6</v>
      </c>
      <c r="C4" s="25" t="n">
        <v>26.32</v>
      </c>
      <c r="D4" s="26" t="n">
        <v>0.0681818181818</v>
      </c>
      <c r="E4" s="26" t="n">
        <v>0.0787374751445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5482.4</v>
      </c>
      <c r="C5" s="25" t="n">
        <v>26.41</v>
      </c>
      <c r="D5" s="26" t="n">
        <v>0.0681818181818</v>
      </c>
      <c r="E5" s="26" t="n">
        <v>0.0787301127251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5418.45</v>
      </c>
      <c r="C6" s="25" t="n">
        <v>26.1</v>
      </c>
      <c r="D6" s="26" t="n">
        <v>0.0681818181818</v>
      </c>
      <c r="E6" s="26" t="n">
        <v>0.07886387007660001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5443.15</v>
      </c>
      <c r="C7" s="25" t="n">
        <v>26.22</v>
      </c>
      <c r="D7" s="26" t="n">
        <v>0.0681818181818</v>
      </c>
      <c r="E7" s="26" t="n">
        <v>0.07879992354989999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5379.3</v>
      </c>
      <c r="C8" s="25" t="n">
        <v>25.91</v>
      </c>
      <c r="D8" s="26" t="n">
        <v>0.0530303030303</v>
      </c>
      <c r="E8" s="26" t="n">
        <v>0.0790756192356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5306.25</v>
      </c>
      <c r="C9" s="25" t="n">
        <v>25.56</v>
      </c>
      <c r="D9" s="26" t="n">
        <v>0.0530303030303</v>
      </c>
      <c r="E9" s="26" t="n">
        <v>0.078687469871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5320.35</v>
      </c>
      <c r="C10" s="25" t="n">
        <v>25.61</v>
      </c>
      <c r="D10" s="26" t="n">
        <v>0.0597014925373</v>
      </c>
      <c r="E10" s="26" t="n">
        <v>0.0798539611705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5261.85</v>
      </c>
      <c r="C11" s="25" t="n">
        <v>25.32</v>
      </c>
      <c r="D11" s="26" t="n">
        <v>0.0373134328358</v>
      </c>
      <c r="E11" s="26" t="n">
        <v>0.0801038076152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5286.75</v>
      </c>
      <c r="C12" s="25" t="n">
        <v>25.44</v>
      </c>
      <c r="D12" s="26" t="n">
        <v>0.0373134328358</v>
      </c>
      <c r="E12" s="26" t="n">
        <v>0.0801767507678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5329.9</v>
      </c>
      <c r="C13" s="25" t="n">
        <v>25.65</v>
      </c>
      <c r="D13" s="26" t="n">
        <v>0.0671641791045</v>
      </c>
      <c r="E13" s="26" t="n">
        <v>0.08020815341400001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5267.3</v>
      </c>
      <c r="C14" s="25" t="n">
        <v>25.35</v>
      </c>
      <c r="D14" s="26" t="n">
        <v>0.0373134328358</v>
      </c>
      <c r="E14" s="26" t="n">
        <v>0.08021142298220001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5176.45</v>
      </c>
      <c r="C15" s="25" t="n">
        <v>24.91</v>
      </c>
      <c r="D15" s="26" t="n">
        <v>0.00746268656716</v>
      </c>
      <c r="E15" s="26" t="n">
        <v>0.0801559686771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5264.7</v>
      </c>
      <c r="C16" s="25" t="n">
        <v>25.34</v>
      </c>
      <c r="D16" s="26" t="n">
        <v>0.0373134328358</v>
      </c>
      <c r="E16" s="26" t="n">
        <v>0.0798295041386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5260.85</v>
      </c>
      <c r="C17" s="25" t="n">
        <v>25.24</v>
      </c>
      <c r="D17" s="26" t="n">
        <v>0.0373134328358</v>
      </c>
      <c r="E17" s="26" t="n">
        <v>0.0831641690417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5375.05</v>
      </c>
      <c r="C18" s="25" t="n">
        <v>25.71</v>
      </c>
      <c r="D18" s="26" t="n">
        <v>0.0671641791045</v>
      </c>
      <c r="E18" s="26" t="n">
        <v>0.08638070840709999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5399.3</v>
      </c>
      <c r="C19" s="25" t="n">
        <v>25.82</v>
      </c>
      <c r="D19" s="26" t="n">
        <v>0.0671641791045</v>
      </c>
      <c r="E19" s="26" t="n">
        <v>0.0868563397018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5412.85</v>
      </c>
      <c r="C20" s="25" t="n">
        <v>25.89</v>
      </c>
      <c r="D20" s="26" t="n">
        <v>0.0671641791045</v>
      </c>
      <c r="E20" s="26" t="n">
        <v>0.08685913769210001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5472</v>
      </c>
      <c r="C21" s="25" t="n">
        <v>26.08</v>
      </c>
      <c r="D21" s="26" t="n">
        <v>0.0820895522388</v>
      </c>
      <c r="E21" s="26" t="n">
        <v>0.0905270907645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5424.75</v>
      </c>
      <c r="C22" s="25" t="n">
        <v>25.86</v>
      </c>
      <c r="D22" s="26" t="n">
        <v>0.0671641791045</v>
      </c>
      <c r="E22" s="26" t="n">
        <v>0.0888787458214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5407.3</v>
      </c>
      <c r="C23" s="25" t="n">
        <v>25.77</v>
      </c>
      <c r="D23" s="26" t="n">
        <v>0.0671641791045</v>
      </c>
      <c r="E23" s="26" t="n">
        <v>0.0869349767633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5359.5</v>
      </c>
      <c r="C24" s="25" t="n">
        <v>25.23</v>
      </c>
      <c r="D24" s="26" t="n">
        <v>0.0373134328358</v>
      </c>
      <c r="E24" s="26" t="n">
        <v>0.100384697905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5302.15</v>
      </c>
      <c r="C25" s="25" t="n">
        <v>24.96</v>
      </c>
      <c r="D25" s="26" t="n">
        <v>0.0223880597015</v>
      </c>
      <c r="E25" s="26" t="n">
        <v>0.10029912443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Nifty100 Quality 30 Composition</t>
        </is>
      </c>
    </row>
    <row r="2">
      <c r="A2" s="2" t="inlineStr">
        <is>
          <t>As of</t>
        </is>
      </c>
      <c r="B2" s="4" t="inlineStr">
        <is>
          <t>Retrieved 2026-10-23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ABB India Ltd.</t>
        </is>
      </c>
      <c r="C6" t="inlineStr">
        <is>
          <t>ABB</t>
        </is>
      </c>
      <c r="D6" t="inlineStr">
        <is>
          <t>Capital Goods</t>
        </is>
      </c>
    </row>
    <row r="7">
      <c r="A7" t="n">
        <v>2</v>
      </c>
      <c r="B7" t="inlineStr">
        <is>
          <t>Asian Paints Ltd.</t>
        </is>
      </c>
      <c r="C7" t="inlineStr">
        <is>
          <t>ASIANPAINT</t>
        </is>
      </c>
      <c r="D7" t="inlineStr">
        <is>
          <t>Consumer Durables</t>
        </is>
      </c>
    </row>
    <row r="8">
      <c r="A8" t="n">
        <v>3</v>
      </c>
      <c r="B8" t="inlineStr">
        <is>
          <t>Bajaj Auto Ltd.</t>
        </is>
      </c>
      <c r="C8" t="inlineStr">
        <is>
          <t>BAJAJ-AUTO</t>
        </is>
      </c>
      <c r="D8" t="inlineStr">
        <is>
          <t>Automobile and Auto Components</t>
        </is>
      </c>
    </row>
    <row r="9">
      <c r="A9" t="n">
        <v>4</v>
      </c>
      <c r="B9" t="inlineStr">
        <is>
          <t>Bharat Electronics Ltd.</t>
        </is>
      </c>
      <c r="C9" t="inlineStr">
        <is>
          <t>BEL</t>
        </is>
      </c>
      <c r="D9" t="inlineStr">
        <is>
          <t>Capital Goods</t>
        </is>
      </c>
    </row>
    <row r="10">
      <c r="A10" t="n">
        <v>5</v>
      </c>
      <c r="B10" t="inlineStr">
        <is>
          <t>Bosch Ltd.</t>
        </is>
      </c>
      <c r="C10" t="inlineStr">
        <is>
          <t>BOSCHLTD</t>
        </is>
      </c>
      <c r="D10" t="inlineStr">
        <is>
          <t>Automobile and Auto Components</t>
        </is>
      </c>
    </row>
    <row r="11">
      <c r="A11" t="n">
        <v>6</v>
      </c>
      <c r="B11" t="inlineStr">
        <is>
          <t>Britannia Industries Ltd.</t>
        </is>
      </c>
      <c r="C11" t="inlineStr">
        <is>
          <t>BRITANNIA</t>
        </is>
      </c>
      <c r="D11" t="inlineStr">
        <is>
          <t>Fast Moving Consumer Goods</t>
        </is>
      </c>
    </row>
    <row r="12">
      <c r="A12" t="n">
        <v>7</v>
      </c>
      <c r="B12" t="inlineStr">
        <is>
          <t>Coal India Ltd.</t>
        </is>
      </c>
      <c r="C12" t="inlineStr">
        <is>
          <t>COALINDIA</t>
        </is>
      </c>
      <c r="D12" t="inlineStr">
        <is>
          <t>Oil Gas &amp; Consumable Fuels</t>
        </is>
      </c>
    </row>
    <row r="13">
      <c r="A13" t="n">
        <v>8</v>
      </c>
      <c r="B13" t="inlineStr">
        <is>
          <t>Divi's Laboratories Ltd.</t>
        </is>
      </c>
      <c r="C13" t="inlineStr">
        <is>
          <t>DIVISLAB</t>
        </is>
      </c>
      <c r="D13" t="inlineStr">
        <is>
          <t>Healthcare</t>
        </is>
      </c>
    </row>
    <row r="14">
      <c r="A14" t="n">
        <v>9</v>
      </c>
      <c r="B14" t="inlineStr">
        <is>
          <t>Dr. Reddy's Laboratories Ltd.</t>
        </is>
      </c>
      <c r="C14" t="inlineStr">
        <is>
          <t>DRREDDY</t>
        </is>
      </c>
      <c r="D14" t="inlineStr">
        <is>
          <t>Healthcare</t>
        </is>
      </c>
    </row>
    <row r="15">
      <c r="A15" t="n">
        <v>10</v>
      </c>
      <c r="B15" t="inlineStr">
        <is>
          <t>Eicher Motors Ltd.</t>
        </is>
      </c>
      <c r="C15" t="inlineStr">
        <is>
          <t>EICHERMOT</t>
        </is>
      </c>
      <c r="D15" t="inlineStr">
        <is>
          <t>Automobile and Auto Components</t>
        </is>
      </c>
    </row>
    <row r="16">
      <c r="A16" t="n">
        <v>11</v>
      </c>
      <c r="B16" t="inlineStr">
        <is>
          <t>Godrej Consumer Products Ltd.</t>
        </is>
      </c>
      <c r="C16" t="inlineStr">
        <is>
          <t>GODREJCP</t>
        </is>
      </c>
      <c r="D16" t="inlineStr">
        <is>
          <t>Fast Moving Consumer Goods</t>
        </is>
      </c>
    </row>
    <row r="17">
      <c r="A17" t="n">
        <v>12</v>
      </c>
      <c r="B17" t="inlineStr">
        <is>
          <t>HCL Technologies Ltd.</t>
        </is>
      </c>
      <c r="C17" t="inlineStr">
        <is>
          <t>HCLTECH</t>
        </is>
      </c>
      <c r="D17" t="inlineStr">
        <is>
          <t>Information Technology</t>
        </is>
      </c>
    </row>
    <row r="18">
      <c r="A18" t="n">
        <v>13</v>
      </c>
      <c r="B18" t="inlineStr">
        <is>
          <t>HDFC Asset Management Company Ltd.</t>
        </is>
      </c>
      <c r="C18" t="inlineStr">
        <is>
          <t>HDFCAMC</t>
        </is>
      </c>
      <c r="D18" t="inlineStr">
        <is>
          <t>Financial Services</t>
        </is>
      </c>
    </row>
    <row r="19">
      <c r="A19" t="n">
        <v>14</v>
      </c>
      <c r="B19" t="inlineStr">
        <is>
          <t>Hindustan Aeronautics Ltd.</t>
        </is>
      </c>
      <c r="C19" t="inlineStr">
        <is>
          <t>HAL</t>
        </is>
      </c>
      <c r="D19" t="inlineStr">
        <is>
          <t>Capital Goods</t>
        </is>
      </c>
    </row>
    <row r="20">
      <c r="A20" t="n">
        <v>15</v>
      </c>
      <c r="B20" t="inlineStr">
        <is>
          <t>Hindustan Unilever Ltd.</t>
        </is>
      </c>
      <c r="C20" t="inlineStr">
        <is>
          <t>HINDUNILVR</t>
        </is>
      </c>
      <c r="D20" t="inlineStr">
        <is>
          <t>Fast Moving Consumer Goods</t>
        </is>
      </c>
    </row>
    <row r="21">
      <c r="A21" t="n">
        <v>16</v>
      </c>
      <c r="B21" t="inlineStr">
        <is>
          <t>Hindustan Zinc Ltd.</t>
        </is>
      </c>
      <c r="C21" t="inlineStr">
        <is>
          <t>HINDZINC</t>
        </is>
      </c>
      <c r="D21" t="inlineStr">
        <is>
          <t>Metals &amp; Mining</t>
        </is>
      </c>
    </row>
    <row r="22">
      <c r="A22" t="n">
        <v>17</v>
      </c>
      <c r="B22" t="inlineStr">
        <is>
          <t>Infosys Ltd.</t>
        </is>
      </c>
      <c r="C22" t="inlineStr">
        <is>
          <t>INFY</t>
        </is>
      </c>
      <c r="D22" t="inlineStr">
        <is>
          <t>Information Technology</t>
        </is>
      </c>
    </row>
    <row r="23">
      <c r="A23" t="n">
        <v>18</v>
      </c>
      <c r="B23" t="inlineStr">
        <is>
          <t>ITC Ltd.</t>
        </is>
      </c>
      <c r="C23" t="inlineStr">
        <is>
          <t>ITC</t>
        </is>
      </c>
      <c r="D23" t="inlineStr">
        <is>
          <t>Fast Moving Consumer Goods</t>
        </is>
      </c>
    </row>
    <row r="24">
      <c r="A24" t="n">
        <v>19</v>
      </c>
      <c r="B24" t="inlineStr">
        <is>
          <t>LTM Ltd.</t>
        </is>
      </c>
      <c r="C24" t="inlineStr">
        <is>
          <t>LTM</t>
        </is>
      </c>
      <c r="D24" t="inlineStr">
        <is>
          <t>Information Technology</t>
        </is>
      </c>
    </row>
    <row r="25">
      <c r="A25" t="n">
        <v>20</v>
      </c>
      <c r="B25" t="inlineStr">
        <is>
          <t>Maruti Suzuki India Ltd.</t>
        </is>
      </c>
      <c r="C25" t="inlineStr">
        <is>
          <t>MARUTI</t>
        </is>
      </c>
      <c r="D25" t="inlineStr">
        <is>
          <t>Automobile and Auto Components</t>
        </is>
      </c>
    </row>
    <row r="26">
      <c r="A26" t="n">
        <v>21</v>
      </c>
      <c r="B26" t="inlineStr">
        <is>
          <t>Mazagoan Dock Shipbuilders Ltd.</t>
        </is>
      </c>
      <c r="C26" t="inlineStr">
        <is>
          <t>MAZDOCK</t>
        </is>
      </c>
      <c r="D26" t="inlineStr">
        <is>
          <t>Capital Goods</t>
        </is>
      </c>
    </row>
    <row r="27">
      <c r="A27" t="n">
        <v>22</v>
      </c>
      <c r="B27" t="inlineStr">
        <is>
          <t>Nestle India Ltd.</t>
        </is>
      </c>
      <c r="C27" t="inlineStr">
        <is>
          <t>NESTLEIND</t>
        </is>
      </c>
      <c r="D27" t="inlineStr">
        <is>
          <t>Fast Moving Consumer Goods</t>
        </is>
      </c>
    </row>
    <row r="28">
      <c r="A28" t="n">
        <v>23</v>
      </c>
      <c r="B28" t="inlineStr">
        <is>
          <t>Pidilite Industries Ltd.</t>
        </is>
      </c>
      <c r="C28" t="inlineStr">
        <is>
          <t>PIDILITIND</t>
        </is>
      </c>
      <c r="D28" t="inlineStr">
        <is>
          <t>Chemicals</t>
        </is>
      </c>
    </row>
    <row r="29">
      <c r="A29" t="n">
        <v>24</v>
      </c>
      <c r="B29" t="inlineStr">
        <is>
          <t>Solar Industries India Ltd.</t>
        </is>
      </c>
      <c r="C29" t="inlineStr">
        <is>
          <t>SOLARINDS</t>
        </is>
      </c>
      <c r="D29" t="inlineStr">
        <is>
          <t>Chemicals</t>
        </is>
      </c>
    </row>
    <row r="30">
      <c r="A30" t="n">
        <v>25</v>
      </c>
      <c r="B30" t="inlineStr">
        <is>
          <t>Tata Consultancy Services Ltd.</t>
        </is>
      </c>
      <c r="C30" t="inlineStr">
        <is>
          <t>TCS</t>
        </is>
      </c>
      <c r="D30" t="inlineStr">
        <is>
          <t>Information Technology</t>
        </is>
      </c>
    </row>
    <row r="31">
      <c r="A31" t="n">
        <v>26</v>
      </c>
      <c r="B31" t="inlineStr">
        <is>
          <t>Tech Mahindra Ltd.</t>
        </is>
      </c>
      <c r="C31" t="inlineStr">
        <is>
          <t>TECHM</t>
        </is>
      </c>
      <c r="D31" t="inlineStr">
        <is>
          <t>Information Technology</t>
        </is>
      </c>
    </row>
    <row r="32">
      <c r="A32" t="n">
        <v>27</v>
      </c>
      <c r="B32" t="inlineStr">
        <is>
          <t>United Spirits Ltd.</t>
        </is>
      </c>
      <c r="C32" t="inlineStr">
        <is>
          <t>UNITDSPR</t>
        </is>
      </c>
      <c r="D32" t="inlineStr">
        <is>
          <t>Fast Moving Consumer Goods</t>
        </is>
      </c>
    </row>
    <row r="33">
      <c r="A33" t="n">
        <v>28</v>
      </c>
      <c r="B33" t="inlineStr">
        <is>
          <t>Varun Beverages Ltd.</t>
        </is>
      </c>
      <c r="C33" t="inlineStr">
        <is>
          <t>VBL</t>
        </is>
      </c>
      <c r="D33" t="inlineStr">
        <is>
          <t>Fast Moving Consumer Goods</t>
        </is>
      </c>
    </row>
    <row r="34">
      <c r="A34" t="n">
        <v>29</v>
      </c>
      <c r="B34" t="inlineStr">
        <is>
          <t>Wipro Ltd.</t>
        </is>
      </c>
      <c r="C34" t="inlineStr">
        <is>
          <t>WIPRO</t>
        </is>
      </c>
      <c r="D34" t="inlineStr">
        <is>
          <t>Information Technology</t>
        </is>
      </c>
    </row>
    <row r="35">
      <c r="A35" t="n">
        <v>30</v>
      </c>
      <c r="B35" t="inlineStr">
        <is>
          <t>Zydus Lifesciences Ltd.</t>
        </is>
      </c>
      <c r="C35" t="inlineStr">
        <is>
          <t>ZYDUSLIFE</t>
        </is>
      </c>
      <c r="D35" t="inlineStr">
        <is>
          <t>Healthcare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2026-10-23T17:27:50Z</dcterms:created>
  <dcterms:modified xsi:type="dcterms:W3CDTF">2026-10-23T17:28:16Z</dcterms:modified>
</cp:coreProperties>
</file>