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Quality 30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5444.35</v>
      </c>
      <c r="D5" s="2" t="inlineStr">
        <is>
          <t>P/E</t>
        </is>
      </c>
      <c r="E5" s="7" t="n">
        <v>26.22</v>
      </c>
    </row>
    <row r="6">
      <c r="A6" s="2" t="inlineStr">
        <is>
          <t>P/E percentile</t>
        </is>
      </c>
      <c r="B6" s="8" t="n">
        <v>0.06818181818181818</v>
      </c>
      <c r="D6" s="2" t="inlineStr">
        <is>
          <t>Implied EPS</t>
        </is>
      </c>
      <c r="E6" s="9" t="n">
        <v>207.6411136536995</v>
      </c>
    </row>
    <row r="7">
      <c r="A7" s="2" t="inlineStr">
        <is>
          <t>YoY implied EPS growth</t>
        </is>
      </c>
      <c r="B7" s="8" t="n">
        <v>0.07898079709635009</v>
      </c>
      <c r="D7" s="2" t="inlineStr">
        <is>
          <t>Earnings yield</t>
        </is>
      </c>
      <c r="E7" s="10" t="n">
        <v>0.03813882532418002</v>
      </c>
    </row>
    <row r="8">
      <c r="A8" s="2" t="inlineStr">
        <is>
          <t>Valuation score</t>
        </is>
      </c>
      <c r="B8" s="11" t="n">
        <v>93.18181818181819</v>
      </c>
      <c r="D8" s="2" t="inlineStr">
        <is>
          <t>Growth score</t>
        </is>
      </c>
      <c r="E8" s="11" t="n">
        <v>51.59231883854003</v>
      </c>
    </row>
    <row r="9">
      <c r="A9" s="2" t="inlineStr">
        <is>
          <t>Composite score</t>
        </is>
      </c>
      <c r="B9" s="11" t="n">
        <v>80.70496837883474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27.6607077328113</v>
      </c>
      <c r="C13" s="15" t="n">
        <v>5743.500158090435</v>
      </c>
      <c r="D13" s="16" t="n">
        <v>0.05494690056488549</v>
      </c>
    </row>
    <row r="14">
      <c r="A14" t="inlineStr">
        <is>
          <t>HOLD → SELL</t>
        </is>
      </c>
      <c r="B14" s="14" t="n">
        <v>30.64146444096538</v>
      </c>
      <c r="C14" s="15" t="n">
        <v>6362.427800502283</v>
      </c>
      <c r="D14" s="16" t="n">
        <v>0.1686294599910518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0.4054848552554514</v>
      </c>
      <c r="D18" s="16" t="n">
        <v>0.1775043469008155</v>
      </c>
      <c r="E18" s="16" t="n">
        <v>0.1904926832772086</v>
      </c>
      <c r="F18" s="16" t="n"/>
      <c r="G18" s="16" t="n">
        <v>0</v>
      </c>
    </row>
    <row r="19">
      <c r="A19" t="inlineStr">
        <is>
          <t>Q2</t>
        </is>
      </c>
      <c r="B19" t="n">
        <v>6</v>
      </c>
      <c r="C19" s="16" t="n">
        <v>0.1949832048532649</v>
      </c>
      <c r="D19" s="16" t="n">
        <v>0.123613979888431</v>
      </c>
      <c r="E19" s="16" t="n">
        <v>0.1723478696648127</v>
      </c>
      <c r="F19" s="16" t="n"/>
      <c r="G19" s="16" t="n">
        <v>0</v>
      </c>
    </row>
    <row r="20">
      <c r="A20" t="inlineStr">
        <is>
          <t>Q3</t>
        </is>
      </c>
      <c r="B20" t="n">
        <v>7</v>
      </c>
      <c r="C20" s="16" t="n">
        <v>0.0401246393146848</v>
      </c>
      <c r="D20" s="16" t="n">
        <v>0.1441623043595324</v>
      </c>
      <c r="E20" s="16" t="n">
        <v>0.1348629652842709</v>
      </c>
      <c r="F20" s="16" t="n"/>
      <c r="G20" s="16" t="n">
        <v>0</v>
      </c>
    </row>
    <row r="21">
      <c r="A21" t="inlineStr">
        <is>
          <t>Q4</t>
        </is>
      </c>
      <c r="B21" t="n">
        <v>6</v>
      </c>
      <c r="C21" s="16" t="n">
        <v>0.02466954719111136</v>
      </c>
      <c r="D21" s="16" t="n">
        <v>0.1480587912062834</v>
      </c>
      <c r="E21" s="16" t="n">
        <v>0.1084976706251504</v>
      </c>
      <c r="F21" s="16" t="n"/>
      <c r="G21" s="16" t="n">
        <v>0</v>
      </c>
    </row>
    <row r="22">
      <c r="A22" t="inlineStr">
        <is>
          <t>Q5 Most Expensive</t>
        </is>
      </c>
      <c r="B22" t="n">
        <v>7</v>
      </c>
      <c r="C22" s="16" t="n">
        <v>-0.01052226316597615</v>
      </c>
      <c r="D22" s="16" t="n">
        <v>0.1555272892180155</v>
      </c>
      <c r="E22" s="16" t="n">
        <v>0.1375803160964424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32</v>
      </c>
    </row>
    <row r="27">
      <c r="A27" s="2" t="inlineStr">
        <is>
          <t>Backtest start</t>
        </is>
      </c>
      <c r="B27" t="inlineStr">
        <is>
          <t>2018-09-30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3266.8</v>
      </c>
      <c r="C2" s="7" t="n">
        <v>30.12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3521.95</v>
      </c>
      <c r="C3" s="7" t="n">
        <v>31.42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3619.85</v>
      </c>
      <c r="C4" s="7" t="n">
        <v>31.98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3634.95</v>
      </c>
      <c r="C5" s="7" t="n">
        <v>31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3897.8</v>
      </c>
      <c r="C6" s="7" t="n">
        <v>32.09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4023.2</v>
      </c>
      <c r="C7" s="7" t="n">
        <v>33.13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3884.3</v>
      </c>
      <c r="C8" s="7" t="n">
        <v>31.22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3790.75</v>
      </c>
      <c r="C9" s="7" t="n">
        <v>30.43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3967.65</v>
      </c>
      <c r="C10" s="7" t="n">
        <v>32.24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3798</v>
      </c>
      <c r="C11" s="7" t="n">
        <v>30.91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3732.5</v>
      </c>
      <c r="C12" s="7" t="n">
        <v>30.68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3785.3</v>
      </c>
      <c r="C13" s="7" t="n">
        <v>31.1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3746.35</v>
      </c>
      <c r="C14" s="7" t="n">
        <v>30.14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3651.9</v>
      </c>
      <c r="C15" s="7" t="n">
        <v>28.5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3490.5</v>
      </c>
      <c r="C16" s="7" t="n">
        <v>28.09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3860.35</v>
      </c>
      <c r="C17" s="7" t="n">
        <v>30.7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3951</v>
      </c>
      <c r="C18" s="7" t="n">
        <v>29.57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3846.6</v>
      </c>
      <c r="C19" s="7" t="n">
        <v>27.78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3936.1</v>
      </c>
      <c r="C20" s="7" t="n">
        <v>28.09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4031.35</v>
      </c>
      <c r="C21" s="7" t="n">
        <v>27.86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3867.1</v>
      </c>
      <c r="C22" s="7" t="n">
        <v>26.61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3852.3</v>
      </c>
      <c r="C23" s="7" t="n">
        <v>25.97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3824.85</v>
      </c>
      <c r="C24" s="7" t="n">
        <v>24.99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3816.15</v>
      </c>
      <c r="C25" s="7" t="n">
        <v>24.92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3948.7</v>
      </c>
      <c r="C26" s="7" t="n">
        <v>25.53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4182.8</v>
      </c>
      <c r="C27" s="7" t="n">
        <v>26.97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4319.7</v>
      </c>
      <c r="C28" s="7" t="n">
        <v>27.59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4368.55</v>
      </c>
      <c r="C29" s="7" t="n">
        <v>27.85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4330.3</v>
      </c>
      <c r="C30" s="7" t="n">
        <v>27.44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4432.85</v>
      </c>
      <c r="C31" s="7" t="n">
        <v>28.04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4368</v>
      </c>
      <c r="C32" s="7" t="n">
        <v>27.09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4673.4</v>
      </c>
      <c r="C33" s="7" t="n">
        <v>28.35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5044.4</v>
      </c>
      <c r="C34" s="7" t="n">
        <v>31.24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4997.2</v>
      </c>
      <c r="C35" s="7" t="n">
        <v>30.63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5088.9</v>
      </c>
      <c r="C36" s="7" t="n">
        <v>30.58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5112.25</v>
      </c>
      <c r="C37" s="7" t="n">
        <v>30.72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5189.3</v>
      </c>
      <c r="C38" s="7" t="n">
        <v>30.74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5352</v>
      </c>
      <c r="C39" s="7" t="n">
        <v>30.96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5642.25</v>
      </c>
      <c r="C40" s="7" t="n">
        <v>33.85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6000.45</v>
      </c>
      <c r="C41" s="7" t="n">
        <v>35.4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6103.7</v>
      </c>
      <c r="C42" s="7" t="n">
        <v>34.94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6267.7</v>
      </c>
      <c r="C43" s="7" t="n">
        <v>35.89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5729.8</v>
      </c>
      <c r="C44" s="7" t="n">
        <v>32.49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5716.1</v>
      </c>
      <c r="C45" s="7" t="n">
        <v>32.51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5542.7</v>
      </c>
      <c r="C46" s="7" t="n">
        <v>30.33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5525.95</v>
      </c>
      <c r="C47" s="7" t="n">
        <v>29.99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4986.95</v>
      </c>
      <c r="C48" s="7" t="n">
        <v>26.92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5229.8</v>
      </c>
      <c r="C49" s="7" t="n">
        <v>28.24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5384.3</v>
      </c>
      <c r="C50" s="7" t="n">
        <v>28.91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5549.75</v>
      </c>
      <c r="C51" s="7" t="n">
        <v>29.46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5666.5</v>
      </c>
      <c r="C52" s="7" t="n">
        <v>29.58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5506.3</v>
      </c>
      <c r="C53" s="7" t="n">
        <v>28.64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5581</v>
      </c>
      <c r="C54" s="7" t="n">
        <v>29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5567.55</v>
      </c>
      <c r="C55" s="7" t="n">
        <v>28.94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5732.2</v>
      </c>
      <c r="C56" s="7" t="n">
        <v>29.96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5830.45</v>
      </c>
      <c r="C57" s="7" t="n">
        <v>30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5860.05</v>
      </c>
      <c r="C58" s="7" t="n">
        <v>32.14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5806.6</v>
      </c>
      <c r="C59" s="7" t="n">
        <v>31.83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5561.5</v>
      </c>
      <c r="C60" s="7" t="n">
        <v>30.15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5033.1</v>
      </c>
      <c r="C61" s="7" t="n">
        <v>27.28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5556.55</v>
      </c>
      <c r="C62" s="7" t="n">
        <v>29.38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5522.95</v>
      </c>
      <c r="C63" s="7" t="n">
        <v>28.95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5388.05</v>
      </c>
      <c r="C64" s="7" t="n">
        <v>26.58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5674.2</v>
      </c>
      <c r="C65" s="7" t="n">
        <v>27.33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5719.8</v>
      </c>
      <c r="C66" s="7" t="n">
        <v>27.55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43373</v>
      </c>
      <c r="B2" s="6" t="n">
        <v>2542.75</v>
      </c>
      <c r="C2" s="7" t="n">
        <v>26.91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IF(C2="","",(COUNTIFS($D$2:$D$33,D2,$C$2:$C$33,"&gt;0",$C$2:$C$33,"&lt;"&amp;C2)+(COUNTIFS($D$2:$D$33,D2,$C$2:$C$33,C2)+1)/2)/COUNTIFS($D$2:$D$33,D2,$C$2:$C$33,"&gt;0"))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43465</v>
      </c>
      <c r="B3" s="6" t="n">
        <v>2622.05</v>
      </c>
      <c r="C3" s="7" t="n">
        <v>28.5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IF(C3="","",(COUNTIFS($D$2:$D$33,D3,$C$2:$C$33,"&gt;0",$C$2:$C$33,"&lt;"&amp;C3)+(COUNTIFS($D$2:$D$33,D3,$C$2:$C$33,C3)+1)/2)/COUNTIFS($D$2:$D$33,D3,$C$2:$C$33,"&gt;0"))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43555</v>
      </c>
      <c r="B4" s="6" t="n">
        <v>2742.5</v>
      </c>
      <c r="C4" s="7" t="n">
        <v>28.3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IF(C4="","",(COUNTIFS($D$2:$D$33,D4,$C$2:$C$33,"&gt;0",$C$2:$C$33,"&lt;"&amp;C4)+(COUNTIFS($D$2:$D$33,D4,$C$2:$C$33,C4)+1)/2)/COUNTIFS($D$2:$D$33,D4,$C$2:$C$33,"&gt;0"))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43646</v>
      </c>
      <c r="B5" s="6" t="n">
        <v>2660.3</v>
      </c>
      <c r="C5" s="7" t="n">
        <v>26.73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IF(C5="","",(COUNTIFS($D$2:$D$33,D5,$C$2:$C$33,"&gt;0",$C$2:$C$33,"&lt;"&amp;C5)+(COUNTIFS($D$2:$D$33,D5,$C$2:$C$33,C5)+1)/2)/COUNTIFS($D$2:$D$33,D5,$C$2:$C$33,"&gt;0"))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43738</v>
      </c>
      <c r="B6" s="6" t="n">
        <v>2711.6</v>
      </c>
      <c r="C6" s="7" t="n">
        <v>26.8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IF(C6="","",(COUNTIFS($D$2:$D$33,D6,$C$2:$C$33,"&gt;0",$C$2:$C$33,"&lt;"&amp;C6)+(COUNTIFS($D$2:$D$33,D6,$C$2:$C$33,C6)+1)/2)/COUNTIFS($D$2:$D$33,D6,$C$2:$C$33,"&gt;0"))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43830</v>
      </c>
      <c r="B7" s="6" t="n">
        <v>2730.05</v>
      </c>
      <c r="C7" s="7" t="n">
        <v>27.32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IF(C7="","",(COUNTIFS($D$2:$D$33,D7,$C$2:$C$33,"&gt;0",$C$2:$C$33,"&lt;"&amp;C7)+(COUNTIFS($D$2:$D$33,D7,$C$2:$C$33,C7)+1)/2)/COUNTIFS($D$2:$D$33,D7,$C$2:$C$33,"&gt;0"))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43921</v>
      </c>
      <c r="B8" s="6" t="n">
        <v>2107.05</v>
      </c>
      <c r="C8" s="7" t="n">
        <v>22.22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IF(C8="","",(COUNTIFS($D$2:$D$33,D8,$C$2:$C$33,"&gt;0",$C$2:$C$33,"&lt;"&amp;C8)+(COUNTIFS($D$2:$D$33,D8,$C$2:$C$33,C8)+1)/2)/COUNTIFS($D$2:$D$33,D8,$C$2:$C$33,"&gt;0"))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44012</v>
      </c>
      <c r="B9" s="6" t="n">
        <v>2460.25</v>
      </c>
      <c r="C9" s="7" t="n">
        <v>24.53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IF(C9="","",(COUNTIFS($D$2:$D$33,D9,$C$2:$C$33,"&gt;0",$C$2:$C$33,"&lt;"&amp;C9)+(COUNTIFS($D$2:$D$33,D9,$C$2:$C$33,C9)+1)/2)/COUNTIFS($D$2:$D$33,D9,$C$2:$C$33,"&gt;0"))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44104</v>
      </c>
      <c r="B10" s="6" t="n">
        <v>2725.8</v>
      </c>
      <c r="C10" s="7" t="n">
        <v>29.45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IF(C10="","",(COUNTIFS($D$2:$D$33,D10,$C$2:$C$33,"&gt;0",$C$2:$C$33,"&lt;"&amp;C10)+(COUNTIFS($D$2:$D$33,D10,$C$2:$C$33,C10)+1)/2)/COUNTIFS($D$2:$D$33,D10,$C$2:$C$33,"&gt;0"))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44196</v>
      </c>
      <c r="B11" s="6" t="n">
        <v>3301.25</v>
      </c>
      <c r="C11" s="7" t="n">
        <v>36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IF(C11="","",(COUNTIFS($D$2:$D$33,D11,$C$2:$C$33,"&gt;0",$C$2:$C$33,"&lt;"&amp;C11)+(COUNTIFS($D$2:$D$33,D11,$C$2:$C$33,C11)+1)/2)/COUNTIFS($D$2:$D$33,D11,$C$2:$C$33,"&gt;0"))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44286</v>
      </c>
      <c r="B12" s="6" t="n">
        <v>3357.25</v>
      </c>
      <c r="C12" s="7" t="n">
        <v>30.87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IF(C12="","",(COUNTIFS($D$2:$D$33,D12,$C$2:$C$33,"&gt;0",$C$2:$C$33,"&lt;"&amp;C12)+(COUNTIFS($D$2:$D$33,D12,$C$2:$C$33,C12)+1)/2)/COUNTIFS($D$2:$D$33,D12,$C$2:$C$33,"&gt;0"))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44377</v>
      </c>
      <c r="B13" s="6" t="n">
        <v>3619.85</v>
      </c>
      <c r="C13" s="7" t="n">
        <v>31.98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IF(C13="","",(COUNTIFS($D$2:$D$33,D13,$C$2:$C$33,"&gt;0",$C$2:$C$33,"&lt;"&amp;C13)+(COUNTIFS($D$2:$D$33,D13,$C$2:$C$33,C13)+1)/2)/COUNTIFS($D$2:$D$33,D13,$C$2:$C$33,"&gt;0"))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44469</v>
      </c>
      <c r="B14" s="6" t="n">
        <v>4023.2</v>
      </c>
      <c r="C14" s="7" t="n">
        <v>33.13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IF(C14="","",(COUNTIFS($D$2:$D$33,D14,$C$2:$C$33,"&gt;0",$C$2:$C$33,"&lt;"&amp;C14)+(COUNTIFS($D$2:$D$33,D14,$C$2:$C$33,C14)+1)/2)/COUNTIFS($D$2:$D$33,D14,$C$2:$C$33,"&gt;0"))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 t="n"/>
      <c r="L14" s="16" t="n"/>
    </row>
    <row r="15">
      <c r="A15" s="18" t="n">
        <v>44561</v>
      </c>
      <c r="B15" s="6" t="n">
        <v>3967.65</v>
      </c>
      <c r="C15" s="7" t="n">
        <v>32.24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IF(C15="","",(COUNTIFS($D$2:$D$33,D15,$C$2:$C$33,"&gt;0",$C$2:$C$33,"&lt;"&amp;C15)+(COUNTIFS($D$2:$D$33,D15,$C$2:$C$33,C15)+1)/2)/COUNTIFS($D$2:$D$33,D15,$C$2:$C$33,"&gt;0"))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 t="n"/>
      <c r="L15" s="16" t="n"/>
    </row>
    <row r="16">
      <c r="A16" s="18" t="n">
        <v>44651</v>
      </c>
      <c r="B16" s="6" t="n">
        <v>3785.3</v>
      </c>
      <c r="C16" s="7" t="n">
        <v>31.1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IF(C16="","",(COUNTIFS($D$2:$D$33,D16,$C$2:$C$33,"&gt;0",$C$2:$C$33,"&lt;"&amp;C16)+(COUNTIFS($D$2:$D$33,D16,$C$2:$C$33,C16)+1)/2)/COUNTIFS($D$2:$D$33,D16,$C$2:$C$33,"&gt;0"))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 t="n"/>
      <c r="L16" s="16" t="n"/>
    </row>
    <row r="17">
      <c r="A17" s="18" t="n">
        <v>44742</v>
      </c>
      <c r="B17" s="6" t="n">
        <v>3490.5</v>
      </c>
      <c r="C17" s="7" t="n">
        <v>28.09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IF(C17="","",(COUNTIFS($D$2:$D$33,D17,$C$2:$C$33,"&gt;0",$C$2:$C$33,"&lt;"&amp;C17)+(COUNTIFS($D$2:$D$33,D17,$C$2:$C$33,C17)+1)/2)/COUNTIFS($D$2:$D$33,D17,$C$2:$C$33,"&gt;0"))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 t="n"/>
      <c r="L17" s="16" t="n"/>
    </row>
    <row r="18">
      <c r="A18" s="18" t="n">
        <v>44834</v>
      </c>
      <c r="B18" s="6" t="n">
        <v>3846.6</v>
      </c>
      <c r="C18" s="7" t="n">
        <v>27.78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IF(C18="","",(COUNTIFS($D$2:$D$33,D18,$C$2:$C$33,"&gt;0",$C$2:$C$33,"&lt;"&amp;C18)+(COUNTIFS($D$2:$D$33,D18,$C$2:$C$33,C18)+1)/2)/COUNTIFS($D$2:$D$33,D18,$C$2:$C$33,"&gt;0"))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44926</v>
      </c>
      <c r="B19" s="6" t="n">
        <v>3867.1</v>
      </c>
      <c r="C19" s="7" t="n">
        <v>26.61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IF(C19="","",(COUNTIFS($D$2:$D$33,D19,$C$2:$C$33,"&gt;0",$C$2:$C$33,"&lt;"&amp;C19)+(COUNTIFS($D$2:$D$33,D19,$C$2:$C$33,C19)+1)/2)/COUNTIFS($D$2:$D$33,D19,$C$2:$C$33,"&gt;0"))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45016</v>
      </c>
      <c r="B20" s="6" t="n">
        <v>3816.15</v>
      </c>
      <c r="C20" s="7" t="n">
        <v>24.92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IF(C20="","",(COUNTIFS($D$2:$D$33,D20,$C$2:$C$33,"&gt;0",$C$2:$C$33,"&lt;"&amp;C20)+(COUNTIFS($D$2:$D$33,D20,$C$2:$C$33,C20)+1)/2)/COUNTIFS($D$2:$D$33,D20,$C$2:$C$33,"&gt;0"))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45107</v>
      </c>
      <c r="B21" s="6" t="n">
        <v>4319.7</v>
      </c>
      <c r="C21" s="7" t="n">
        <v>27.59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IF(C21="","",(COUNTIFS($D$2:$D$33,D21,$C$2:$C$33,"&gt;0",$C$2:$C$33,"&lt;"&amp;C21)+(COUNTIFS($D$2:$D$33,D21,$C$2:$C$33,C21)+1)/2)/COUNTIFS($D$2:$D$33,D21,$C$2:$C$33,"&gt;0"))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45199</v>
      </c>
      <c r="B22" s="6" t="n">
        <v>4432.85</v>
      </c>
      <c r="C22" s="7" t="n">
        <v>28.04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IF(C22="","",(COUNTIFS($D$2:$D$33,D22,$C$2:$C$33,"&gt;0",$C$2:$C$33,"&lt;"&amp;C22)+(COUNTIFS($D$2:$D$33,D22,$C$2:$C$33,C22)+1)/2)/COUNTIFS($D$2:$D$33,D22,$C$2:$C$33,"&gt;0"))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 t="n"/>
      <c r="K22" s="16" t="n"/>
      <c r="L22" s="16" t="n"/>
    </row>
    <row r="23">
      <c r="A23" s="18" t="n">
        <v>45291</v>
      </c>
      <c r="B23" s="6" t="n">
        <v>5044.4</v>
      </c>
      <c r="C23" s="7" t="n">
        <v>31.24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IF(C23="","",(COUNTIFS($D$2:$D$33,D23,$C$2:$C$33,"&gt;0",$C$2:$C$33,"&lt;"&amp;C23)+(COUNTIFS($D$2:$D$33,D23,$C$2:$C$33,C23)+1)/2)/COUNTIFS($D$2:$D$33,D23,$C$2:$C$33,"&gt;0"))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 t="n"/>
      <c r="K23" s="16" t="n"/>
      <c r="L23" s="16" t="n"/>
    </row>
    <row r="24">
      <c r="A24" s="18" t="n">
        <v>45382</v>
      </c>
      <c r="B24" s="6" t="n">
        <v>5112.25</v>
      </c>
      <c r="C24" s="7" t="n">
        <v>30.72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IF(C24="","",(COUNTIFS($D$2:$D$33,D24,$C$2:$C$33,"&gt;0",$C$2:$C$33,"&lt;"&amp;C24)+(COUNTIFS($D$2:$D$33,D24,$C$2:$C$33,C24)+1)/2)/COUNTIFS($D$2:$D$33,D24,$C$2:$C$33,"&gt;0"))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 t="n"/>
      <c r="K24" s="16" t="n"/>
      <c r="L24" s="16" t="n"/>
    </row>
    <row r="25">
      <c r="A25" s="18" t="n">
        <v>45473</v>
      </c>
      <c r="B25" s="6" t="n">
        <v>5642.25</v>
      </c>
      <c r="C25" s="7" t="n">
        <v>33.85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IF(C25="","",(COUNTIFS($D$2:$D$33,D25,$C$2:$C$33,"&gt;0",$C$2:$C$33,"&lt;"&amp;C25)+(COUNTIFS($D$2:$D$33,D25,$C$2:$C$33,C25)+1)/2)/COUNTIFS($D$2:$D$33,D25,$C$2:$C$33,"&gt;0"))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 t="n"/>
      <c r="K25" s="16" t="n"/>
      <c r="L25" s="16" t="n"/>
    </row>
    <row r="26">
      <c r="A26" s="18" t="n">
        <v>45565</v>
      </c>
      <c r="B26" s="6" t="n">
        <v>6267.7</v>
      </c>
      <c r="C26" s="7" t="n">
        <v>35.89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IF(C26="","",(COUNTIFS($D$2:$D$33,D26,$C$2:$C$33,"&gt;0",$C$2:$C$33,"&lt;"&amp;C26)+(COUNTIFS($D$2:$D$33,D26,$C$2:$C$33,C26)+1)/2)/COUNTIFS($D$2:$D$33,D26,$C$2:$C$33,"&gt;0"))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45657</v>
      </c>
      <c r="B27" s="6" t="n">
        <v>5542.7</v>
      </c>
      <c r="C27" s="7" t="n">
        <v>30.33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IF(C27="","",(COUNTIFS($D$2:$D$33,D27,$C$2:$C$33,"&gt;0",$C$2:$C$33,"&lt;"&amp;C27)+(COUNTIFS($D$2:$D$33,D27,$C$2:$C$33,C27)+1)/2)/COUNTIFS($D$2:$D$33,D27,$C$2:$C$33,"&gt;0"))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45747</v>
      </c>
      <c r="B28" s="6" t="n">
        <v>5229.8</v>
      </c>
      <c r="C28" s="7" t="n">
        <v>28.24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IF(C28="","",(COUNTIFS($D$2:$D$33,D28,$C$2:$C$33,"&gt;0",$C$2:$C$33,"&lt;"&amp;C28)+(COUNTIFS($D$2:$D$33,D28,$C$2:$C$33,C28)+1)/2)/COUNTIFS($D$2:$D$33,D28,$C$2:$C$33,"&gt;0"))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45838</v>
      </c>
      <c r="B29" s="6" t="n">
        <v>5666.5</v>
      </c>
      <c r="C29" s="7" t="n">
        <v>29.58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IF(C29="","",(COUNTIFS($D$2:$D$33,D29,$C$2:$C$33,"&gt;0",$C$2:$C$33,"&lt;"&amp;C29)+(COUNTIFS($D$2:$D$33,D29,$C$2:$C$33,C29)+1)/2)/COUNTIFS($D$2:$D$33,D29,$C$2:$C$33,"&gt;0"))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45930</v>
      </c>
      <c r="B30" s="6" t="n">
        <v>5567.55</v>
      </c>
      <c r="C30" s="7" t="n">
        <v>28.94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IF(C30="","",(COUNTIFS($D$2:$D$33,D30,$C$2:$C$33,"&gt;0",$C$2:$C$33,"&lt;"&amp;C30)+(COUNTIFS($D$2:$D$33,D30,$C$2:$C$33,C30)+1)/2)/COUNTIFS($D$2:$D$33,D30,$C$2:$C$33,"&gt;0"))</f>
        <v/>
      </c>
      <c r="H30">
        <f>IF(G30="","",IF(G30&lt;=20%,"Q1 Cheapest",IF(G30&lt;=40%,"Q2",IF(G30&lt;=60%,"Q3",IF(G30&lt;=80%,"Q4","Q5 Most Expensive")))))</f>
        <v/>
      </c>
      <c r="I30" s="16" t="n"/>
      <c r="J30" s="16" t="n"/>
      <c r="K30" s="16" t="n"/>
      <c r="L30" s="16" t="n"/>
    </row>
    <row r="31">
      <c r="A31" s="18" t="n">
        <v>46022</v>
      </c>
      <c r="B31" s="6" t="n">
        <v>5860.05</v>
      </c>
      <c r="C31" s="7" t="n">
        <v>32.14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IF(C31="","",(COUNTIFS($D$2:$D$33,D31,$C$2:$C$33,"&gt;0",$C$2:$C$33,"&lt;"&amp;C31)+(COUNTIFS($D$2:$D$33,D31,$C$2:$C$33,C31)+1)/2)/COUNTIFS($D$2:$D$33,D31,$C$2:$C$33,"&gt;0"))</f>
        <v/>
      </c>
      <c r="H31">
        <f>IF(G31="","",IF(G31&lt;=20%,"Q1 Cheapest",IF(G31&lt;=40%,"Q2",IF(G31&lt;=60%,"Q3",IF(G31&lt;=80%,"Q4","Q5 Most Expensive")))))</f>
        <v/>
      </c>
      <c r="I31" s="16" t="n"/>
      <c r="J31" s="16" t="n"/>
      <c r="K31" s="16" t="n"/>
      <c r="L31" s="16" t="n"/>
    </row>
    <row r="32">
      <c r="A32" s="18" t="n">
        <v>46112</v>
      </c>
      <c r="B32" s="6" t="n">
        <v>5033.1</v>
      </c>
      <c r="C32" s="7" t="n">
        <v>27.28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IF(C32="","",(COUNTIFS($D$2:$D$33,D32,$C$2:$C$33,"&gt;0",$C$2:$C$33,"&lt;"&amp;C32)+(COUNTIFS($D$2:$D$33,D32,$C$2:$C$33,C32)+1)/2)/COUNTIFS($D$2:$D$33,D32,$C$2:$C$33,"&gt;0"))</f>
        <v/>
      </c>
      <c r="H32">
        <f>IF(G32="","",IF(G32&lt;=20%,"Q1 Cheapest",IF(G32&lt;=40%,"Q2",IF(G32&lt;=60%,"Q3",IF(G32&lt;=80%,"Q4","Q5 Most Expensive")))))</f>
        <v/>
      </c>
      <c r="I32" s="16" t="n"/>
      <c r="J32" s="16" t="n"/>
      <c r="K32" s="16" t="n"/>
      <c r="L32" s="16" t="n"/>
    </row>
    <row r="33">
      <c r="A33" s="18" t="n">
        <v>46203</v>
      </c>
      <c r="B33" s="6" t="n">
        <v>5388.05</v>
      </c>
      <c r="C33" s="7" t="n">
        <v>26.58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IF(C33="","",(COUNTIFS($D$2:$D$33,D33,$C$2:$C$33,"&gt;0",$C$2:$C$33,"&lt;"&amp;C33)+(COUNTIFS($D$2:$D$33,D33,$C$2:$C$33,C33)+1)/2)/COUNTIFS($D$2:$D$33,D33,$C$2:$C$33,"&gt;0"))</f>
        <v/>
      </c>
      <c r="H33">
        <f>IF(G33="","",IF(G33&lt;=20%,"Q1 Cheapest",IF(G33&lt;=40%,"Q2",IF(G33&lt;=60%,"Q3",IF(G33&lt;=80%,"Q4","Q5 Most Expensive")))))</f>
        <v/>
      </c>
      <c r="I33" s="16" t="n"/>
      <c r="J33" s="16" t="n"/>
      <c r="K33" s="16" t="n"/>
      <c r="L33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5444.35</v>
      </c>
      <c r="C2" s="7" t="n">
        <v>26.22</v>
      </c>
      <c r="D2" s="8" t="n">
        <v>0.0681818181818</v>
      </c>
      <c r="E2" s="8" t="n">
        <v>0.0789807970964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2026-09-21T10:14:34Z</dcterms:created>
  <dcterms:modified xsi:type="dcterms:W3CDTF">2026-09-21T10:14:34Z</dcterms:modified>
</cp:coreProperties>
</file>