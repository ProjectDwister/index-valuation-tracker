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46325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5415.4</v>
      </c>
      <c r="D5" s="2" t="inlineStr">
        <is>
          <t>P/E</t>
        </is>
      </c>
      <c r="E5" s="25" t="n">
        <v>25.5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212.3686274509804</v>
      </c>
    </row>
    <row r="7">
      <c r="A7" s="2" t="inlineStr">
        <is>
          <t>YoY implied EPS growth</t>
        </is>
      </c>
      <c r="B7" s="26" t="n">
        <v>0.09992973136955796</v>
      </c>
      <c r="D7" s="2" t="inlineStr">
        <is>
          <t>Earnings yield</t>
        </is>
      </c>
      <c r="E7" s="10" t="n">
        <v>0.0392156862745098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59.97189254782319</v>
      </c>
    </row>
    <row r="9">
      <c r="A9" s="2" t="inlineStr">
        <is>
          <t>Composite score</t>
        </is>
      </c>
      <c r="B9" s="28" t="n">
        <v>85.37962746583949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27.8474434724469</v>
      </c>
      <c r="C13" s="15" t="n">
        <v>5913.92334826231</v>
      </c>
      <c r="D13" s="30" t="n">
        <v>0.09205660676262339</v>
      </c>
    </row>
    <row r="14">
      <c r="A14" t="inlineStr">
        <is>
          <t>HOLD → SELL</t>
        </is>
      </c>
      <c r="B14" s="29" t="n">
        <v>30.70498384927054</v>
      </c>
      <c r="C14" s="15" t="n">
        <v>6520.775275974104</v>
      </c>
      <c r="D14" s="30" t="n">
        <v>0.2041170136968837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0.1949832048532649</v>
      </c>
      <c r="D19" s="30" t="n">
        <v>0.1091871013450871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0.009822054134832225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0.02299378942735597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0.1216169957011712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33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5320.35</v>
      </c>
      <c r="C67" s="25" t="n">
        <v>25.61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IF(C2="","",(COUNTIFS($D$2:$D$34,D2,$C$2:$C$34,"&gt;0",$C$2:$C$34,"&lt;"&amp;C2)+(COUNTIFS($D$2:$D$34,D2,$C$2:$C$34,C2)+1)/2)/COUNTIFS($D$2:$D$34,D2,$C$2:$C$34,"&gt;0"))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IF(C3="","",(COUNTIFS($D$2:$D$34,D3,$C$2:$C$34,"&gt;0",$C$2:$C$34,"&lt;"&amp;C3)+(COUNTIFS($D$2:$D$34,D3,$C$2:$C$34,C3)+1)/2)/COUNTIFS($D$2:$D$34,D3,$C$2:$C$34,"&gt;0"))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IF(C4="","",(COUNTIFS($D$2:$D$34,D4,$C$2:$C$34,"&gt;0",$C$2:$C$34,"&lt;"&amp;C4)+(COUNTIFS($D$2:$D$34,D4,$C$2:$C$34,C4)+1)/2)/COUNTIFS($D$2:$D$34,D4,$C$2:$C$34,"&gt;0"))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IF(C5="","",(COUNTIFS($D$2:$D$34,D5,$C$2:$C$34,"&gt;0",$C$2:$C$34,"&lt;"&amp;C5)+(COUNTIFS($D$2:$D$34,D5,$C$2:$C$34,C5)+1)/2)/COUNTIFS($D$2:$D$34,D5,$C$2:$C$34,"&gt;0"))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IF(C6="","",(COUNTIFS($D$2:$D$34,D6,$C$2:$C$34,"&gt;0",$C$2:$C$34,"&lt;"&amp;C6)+(COUNTIFS($D$2:$D$34,D6,$C$2:$C$34,C6)+1)/2)/COUNTIFS($D$2:$D$34,D6,$C$2:$C$34,"&gt;0"))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IF(C7="","",(COUNTIFS($D$2:$D$34,D7,$C$2:$C$34,"&gt;0",$C$2:$C$34,"&lt;"&amp;C7)+(COUNTIFS($D$2:$D$34,D7,$C$2:$C$34,C7)+1)/2)/COUNTIFS($D$2:$D$34,D7,$C$2:$C$34,"&gt;0"))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IF(C8="","",(COUNTIFS($D$2:$D$34,D8,$C$2:$C$34,"&gt;0",$C$2:$C$34,"&lt;"&amp;C8)+(COUNTIFS($D$2:$D$34,D8,$C$2:$C$34,C8)+1)/2)/COUNTIFS($D$2:$D$34,D8,$C$2:$C$34,"&gt;0"))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IF(C9="","",(COUNTIFS($D$2:$D$34,D9,$C$2:$C$34,"&gt;0",$C$2:$C$34,"&lt;"&amp;C9)+(COUNTIFS($D$2:$D$34,D9,$C$2:$C$34,C9)+1)/2)/COUNTIFS($D$2:$D$34,D9,$C$2:$C$34,"&gt;0"))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IF(C10="","",(COUNTIFS($D$2:$D$34,D10,$C$2:$C$34,"&gt;0",$C$2:$C$34,"&lt;"&amp;C10)+(COUNTIFS($D$2:$D$34,D10,$C$2:$C$34,C10)+1)/2)/COUNTIFS($D$2:$D$34,D10,$C$2:$C$34,"&gt;0"))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IF(C11="","",(COUNTIFS($D$2:$D$34,D11,$C$2:$C$34,"&gt;0",$C$2:$C$34,"&lt;"&amp;C11)+(COUNTIFS($D$2:$D$34,D11,$C$2:$C$34,C11)+1)/2)/COUNTIFS($D$2:$D$34,D11,$C$2:$C$34,"&gt;0"))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IF(C12="","",(COUNTIFS($D$2:$D$34,D12,$C$2:$C$34,"&gt;0",$C$2:$C$34,"&lt;"&amp;C12)+(COUNTIFS($D$2:$D$34,D12,$C$2:$C$34,C12)+1)/2)/COUNTIFS($D$2:$D$34,D12,$C$2:$C$34,"&gt;0"))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IF(C13="","",(COUNTIFS($D$2:$D$34,D13,$C$2:$C$34,"&gt;0",$C$2:$C$34,"&lt;"&amp;C13)+(COUNTIFS($D$2:$D$34,D13,$C$2:$C$34,C13)+1)/2)/COUNTIFS($D$2:$D$34,D13,$C$2:$C$34,"&gt;0"))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IF(C14="","",(COUNTIFS($D$2:$D$34,D14,$C$2:$C$34,"&gt;0",$C$2:$C$34,"&lt;"&amp;C14)+(COUNTIFS($D$2:$D$34,D14,$C$2:$C$34,C14)+1)/2)/COUNTIFS($D$2:$D$34,D14,$C$2:$C$34,"&gt;0"))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IF(C15="","",(COUNTIFS($D$2:$D$34,D15,$C$2:$C$34,"&gt;0",$C$2:$C$34,"&lt;"&amp;C15)+(COUNTIFS($D$2:$D$34,D15,$C$2:$C$34,C15)+1)/2)/COUNTIFS($D$2:$D$34,D15,$C$2:$C$34,"&gt;0"))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IF(C16="","",(COUNTIFS($D$2:$D$34,D16,$C$2:$C$34,"&gt;0",$C$2:$C$34,"&lt;"&amp;C16)+(COUNTIFS($D$2:$D$34,D16,$C$2:$C$34,C16)+1)/2)/COUNTIFS($D$2:$D$34,D16,$C$2:$C$34,"&gt;0"))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IF(C17="","",(COUNTIFS($D$2:$D$34,D17,$C$2:$C$34,"&gt;0",$C$2:$C$34,"&lt;"&amp;C17)+(COUNTIFS($D$2:$D$34,D17,$C$2:$C$34,C17)+1)/2)/COUNTIFS($D$2:$D$34,D17,$C$2:$C$34,"&gt;0"))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IF(C18="","",(COUNTIFS($D$2:$D$34,D18,$C$2:$C$34,"&gt;0",$C$2:$C$34,"&lt;"&amp;C18)+(COUNTIFS($D$2:$D$34,D18,$C$2:$C$34,C18)+1)/2)/COUNTIFS($D$2:$D$34,D18,$C$2:$C$34,"&gt;0"))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IF(C19="","",(COUNTIFS($D$2:$D$34,D19,$C$2:$C$34,"&gt;0",$C$2:$C$34,"&lt;"&amp;C19)+(COUNTIFS($D$2:$D$34,D19,$C$2:$C$34,C19)+1)/2)/COUNTIFS($D$2:$D$34,D19,$C$2:$C$34,"&gt;0"))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IF(C20="","",(COUNTIFS($D$2:$D$34,D20,$C$2:$C$34,"&gt;0",$C$2:$C$34,"&lt;"&amp;C20)+(COUNTIFS($D$2:$D$34,D20,$C$2:$C$34,C20)+1)/2)/COUNTIFS($D$2:$D$34,D20,$C$2:$C$34,"&gt;0"))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IF(C21="","",(COUNTIFS($D$2:$D$34,D21,$C$2:$C$34,"&gt;0",$C$2:$C$34,"&lt;"&amp;C21)+(COUNTIFS($D$2:$D$34,D21,$C$2:$C$34,C21)+1)/2)/COUNTIFS($D$2:$D$34,D21,$C$2:$C$34,"&gt;0"))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IF(C22="","",(COUNTIFS($D$2:$D$34,D22,$C$2:$C$34,"&gt;0",$C$2:$C$34,"&lt;"&amp;C22)+(COUNTIFS($D$2:$D$34,D22,$C$2:$C$34,C22)+1)/2)/COUNTIFS($D$2:$D$34,D22,$C$2:$C$34,"&gt;0"))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IF(C23="","",(COUNTIFS($D$2:$D$34,D23,$C$2:$C$34,"&gt;0",$C$2:$C$34,"&lt;"&amp;C23)+(COUNTIFS($D$2:$D$34,D23,$C$2:$C$34,C23)+1)/2)/COUNTIFS($D$2:$D$34,D23,$C$2:$C$34,"&gt;0"))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IF(C24="","",(COUNTIFS($D$2:$D$34,D24,$C$2:$C$34,"&gt;0",$C$2:$C$34,"&lt;"&amp;C24)+(COUNTIFS($D$2:$D$34,D24,$C$2:$C$34,C24)+1)/2)/COUNTIFS($D$2:$D$34,D24,$C$2:$C$34,"&gt;0"))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IF(C25="","",(COUNTIFS($D$2:$D$34,D25,$C$2:$C$34,"&gt;0",$C$2:$C$34,"&lt;"&amp;C25)+(COUNTIFS($D$2:$D$34,D25,$C$2:$C$34,C25)+1)/2)/COUNTIFS($D$2:$D$34,D25,$C$2:$C$34,"&gt;0"))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IF(C26="","",(COUNTIFS($D$2:$D$34,D26,$C$2:$C$34,"&gt;0",$C$2:$C$34,"&lt;"&amp;C26)+(COUNTIFS($D$2:$D$34,D26,$C$2:$C$34,C26)+1)/2)/COUNTIFS($D$2:$D$34,D26,$C$2:$C$34,"&gt;0"))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IF(C27="","",(COUNTIFS($D$2:$D$34,D27,$C$2:$C$34,"&gt;0",$C$2:$C$34,"&lt;"&amp;C27)+(COUNTIFS($D$2:$D$34,D27,$C$2:$C$34,C27)+1)/2)/COUNTIFS($D$2:$D$34,D27,$C$2:$C$34,"&gt;0"))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IF(C28="","",(COUNTIFS($D$2:$D$34,D28,$C$2:$C$34,"&gt;0",$C$2:$C$34,"&lt;"&amp;C28)+(COUNTIFS($D$2:$D$34,D28,$C$2:$C$34,C28)+1)/2)/COUNTIFS($D$2:$D$34,D28,$C$2:$C$34,"&gt;0"))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IF(C29="","",(COUNTIFS($D$2:$D$34,D29,$C$2:$C$34,"&gt;0",$C$2:$C$34,"&lt;"&amp;C29)+(COUNTIFS($D$2:$D$34,D29,$C$2:$C$34,C29)+1)/2)/COUNTIFS($D$2:$D$34,D29,$C$2:$C$34,"&gt;0"))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IF(C30="","",(COUNTIFS($D$2:$D$34,D30,$C$2:$C$34,"&gt;0",$C$2:$C$34,"&lt;"&amp;C30)+(COUNTIFS($D$2:$D$34,D30,$C$2:$C$34,C30)+1)/2)/COUNTIFS($D$2:$D$34,D30,$C$2:$C$34,"&gt;0"))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IF(C31="","",(COUNTIFS($D$2:$D$34,D31,$C$2:$C$34,"&gt;0",$C$2:$C$34,"&lt;"&amp;C31)+(COUNTIFS($D$2:$D$34,D31,$C$2:$C$34,C31)+1)/2)/COUNTIFS($D$2:$D$34,D31,$C$2:$C$34,"&gt;0"))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IF(C32="","",(COUNTIFS($D$2:$D$34,D32,$C$2:$C$34,"&gt;0",$C$2:$C$34,"&lt;"&amp;C32)+(COUNTIFS($D$2:$D$34,D32,$C$2:$C$34,C32)+1)/2)/COUNTIFS($D$2:$D$34,D32,$C$2:$C$34,"&gt;0"))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IF(C33="","",(COUNTIFS($D$2:$D$34,D33,$C$2:$C$34,"&gt;0",$C$2:$C$34,"&lt;"&amp;C33)+(COUNTIFS($D$2:$D$34,D33,$C$2:$C$34,C33)+1)/2)/COUNTIFS($D$2:$D$34,D33,$C$2:$C$34,"&gt;0"))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46295</v>
      </c>
      <c r="B34" s="24" t="n">
        <v>5320.35</v>
      </c>
      <c r="C34" s="25" t="n">
        <v>25.61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IF(C34="","",(COUNTIFS($D$2:$D$34,D34,$C$2:$C$34,"&gt;0",$C$2:$C$34,"&lt;"&amp;C34)+(COUNTIFS($D$2:$D$34,D34,$C$2:$C$34,C34)+1)/2)/COUNTIFS($D$2:$D$34,D34,$C$2:$C$34,"&gt;0"))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5482.4</v>
      </c>
      <c r="C5" s="25" t="n">
        <v>26.41</v>
      </c>
      <c r="D5" s="26" t="n">
        <v>0.0681818181818</v>
      </c>
      <c r="E5" s="26" t="n">
        <v>0.0787301127251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5418.45</v>
      </c>
      <c r="C6" s="25" t="n">
        <v>26.1</v>
      </c>
      <c r="D6" s="26" t="n">
        <v>0.0681818181818</v>
      </c>
      <c r="E6" s="26" t="n">
        <v>0.07886387007660001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5443.15</v>
      </c>
      <c r="C7" s="25" t="n">
        <v>26.22</v>
      </c>
      <c r="D7" s="26" t="n">
        <v>0.0681818181818</v>
      </c>
      <c r="E7" s="26" t="n">
        <v>0.07879992354989999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5379.3</v>
      </c>
      <c r="C8" s="25" t="n">
        <v>25.91</v>
      </c>
      <c r="D8" s="26" t="n">
        <v>0.0530303030303</v>
      </c>
      <c r="E8" s="26" t="n">
        <v>0.0790756192356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5306.25</v>
      </c>
      <c r="C9" s="25" t="n">
        <v>25.56</v>
      </c>
      <c r="D9" s="26" t="n">
        <v>0.0530303030303</v>
      </c>
      <c r="E9" s="26" t="n">
        <v>0.078687469871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5320.35</v>
      </c>
      <c r="C10" s="25" t="n">
        <v>25.61</v>
      </c>
      <c r="D10" s="26" t="n">
        <v>0.0597014925373</v>
      </c>
      <c r="E10" s="26" t="n">
        <v>0.0798539611705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5261.85</v>
      </c>
      <c r="C11" s="25" t="n">
        <v>25.32</v>
      </c>
      <c r="D11" s="26" t="n">
        <v>0.0373134328358</v>
      </c>
      <c r="E11" s="26" t="n">
        <v>0.0801038076152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5286.75</v>
      </c>
      <c r="C12" s="25" t="n">
        <v>25.44</v>
      </c>
      <c r="D12" s="26" t="n">
        <v>0.0373134328358</v>
      </c>
      <c r="E12" s="26" t="n">
        <v>0.0801767507678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5329.9</v>
      </c>
      <c r="C13" s="25" t="n">
        <v>25.65</v>
      </c>
      <c r="D13" s="26" t="n">
        <v>0.0671641791045</v>
      </c>
      <c r="E13" s="26" t="n">
        <v>0.08020815341400001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5267.3</v>
      </c>
      <c r="C14" s="25" t="n">
        <v>25.35</v>
      </c>
      <c r="D14" s="26" t="n">
        <v>0.0373134328358</v>
      </c>
      <c r="E14" s="26" t="n">
        <v>0.08021142298220001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5176.45</v>
      </c>
      <c r="C15" s="25" t="n">
        <v>24.91</v>
      </c>
      <c r="D15" s="26" t="n">
        <v>0.00746268656716</v>
      </c>
      <c r="E15" s="26" t="n">
        <v>0.0801559686771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5264.7</v>
      </c>
      <c r="C16" s="25" t="n">
        <v>25.34</v>
      </c>
      <c r="D16" s="26" t="n">
        <v>0.0373134328358</v>
      </c>
      <c r="E16" s="26" t="n">
        <v>0.0798295041386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5260.85</v>
      </c>
      <c r="C17" s="25" t="n">
        <v>25.24</v>
      </c>
      <c r="D17" s="26" t="n">
        <v>0.0373134328358</v>
      </c>
      <c r="E17" s="26" t="n">
        <v>0.0831641690417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5375.05</v>
      </c>
      <c r="C18" s="25" t="n">
        <v>25.71</v>
      </c>
      <c r="D18" s="26" t="n">
        <v>0.0671641791045</v>
      </c>
      <c r="E18" s="26" t="n">
        <v>0.08638070840709999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5399.3</v>
      </c>
      <c r="C19" s="25" t="n">
        <v>25.82</v>
      </c>
      <c r="D19" s="26" t="n">
        <v>0.0671641791045</v>
      </c>
      <c r="E19" s="26" t="n">
        <v>0.0868563397018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5412.85</v>
      </c>
      <c r="C20" s="25" t="n">
        <v>25.89</v>
      </c>
      <c r="D20" s="26" t="n">
        <v>0.0671641791045</v>
      </c>
      <c r="E20" s="26" t="n">
        <v>0.08685913769210001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5472</v>
      </c>
      <c r="C21" s="25" t="n">
        <v>26.08</v>
      </c>
      <c r="D21" s="26" t="n">
        <v>0.0820895522388</v>
      </c>
      <c r="E21" s="26" t="n">
        <v>0.0905270907645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5424.75</v>
      </c>
      <c r="C22" s="25" t="n">
        <v>25.86</v>
      </c>
      <c r="D22" s="26" t="n">
        <v>0.0671641791045</v>
      </c>
      <c r="E22" s="26" t="n">
        <v>0.0888787458214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5407.3</v>
      </c>
      <c r="C23" s="25" t="n">
        <v>25.77</v>
      </c>
      <c r="D23" s="26" t="n">
        <v>0.0671641791045</v>
      </c>
      <c r="E23" s="26" t="n">
        <v>0.0869349767633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5359.5</v>
      </c>
      <c r="C24" s="25" t="n">
        <v>25.23</v>
      </c>
      <c r="D24" s="26" t="n">
        <v>0.0373134328358</v>
      </c>
      <c r="E24" s="26" t="n">
        <v>0.100384697905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5302.15</v>
      </c>
      <c r="C25" s="25" t="n">
        <v>24.96</v>
      </c>
      <c r="D25" s="26" t="n">
        <v>0.0223880597015</v>
      </c>
      <c r="E25" s="26" t="n">
        <v>0.10029912443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5340.6</v>
      </c>
      <c r="C26" s="25" t="n">
        <v>25.14</v>
      </c>
      <c r="D26" s="26" t="n">
        <v>0.0373134328358</v>
      </c>
      <c r="E26" s="26" t="n">
        <v>0.100278924456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5366.1</v>
      </c>
      <c r="C27" s="25" t="n">
        <v>25.29</v>
      </c>
      <c r="D27" s="26" t="n">
        <v>0.0373134328358</v>
      </c>
      <c r="E27" s="26" t="n">
        <v>0.0989358511091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5343.65</v>
      </c>
      <c r="C28" s="25" t="n">
        <v>25.13</v>
      </c>
      <c r="D28" s="26" t="n">
        <v>0.0373134328358</v>
      </c>
      <c r="E28" s="26" t="n">
        <v>0.101416205007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5398.45</v>
      </c>
      <c r="C29" s="25" t="n">
        <v>25.39</v>
      </c>
      <c r="D29" s="26" t="n">
        <v>0.0373134328358</v>
      </c>
      <c r="E29" s="26" t="n">
        <v>0.101208703028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  <row r="30">
      <c r="A30" s="31" t="n">
        <v>46325</v>
      </c>
      <c r="B30" s="24" t="n">
        <v>5415.4</v>
      </c>
      <c r="C30" s="25" t="n">
        <v>25.5</v>
      </c>
      <c r="D30" s="26" t="n">
        <v>0.0373134328358</v>
      </c>
      <c r="E30" s="26" t="n">
        <v>0.0999297313696</v>
      </c>
      <c r="F30" s="34">
        <f>IF(D30="","",100*(1-D30))</f>
        <v/>
      </c>
      <c r="G30" s="34">
        <f>IF(E30="","",IF(E30&lt;=0,20,IF(E30&lt;5%,20+400*E30,IF(E30&lt;10%,40+400*(E30-5%),IF(E30&lt;15%,60+400*(E30-10%),IF(E30&lt;25%,80+200*(E30-15%),100))))))</f>
        <v/>
      </c>
      <c r="H30" s="34">
        <f>IF(OR(F30="",G30=""),"",70%*F30+30%*G30)</f>
        <v/>
      </c>
      <c r="I30">
        <f>IF(H30="","",IF(H30&gt;=70,"BUY",IF(H30&gt;=40,"HOLD","SELL")))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2026-10-30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2026-10-30T18:14:00Z</dcterms:created>
  <dcterms:modified xsi:type="dcterms:W3CDTF">2026-10-30T18:14:29Z</dcterms:modified>
</cp:coreProperties>
</file>