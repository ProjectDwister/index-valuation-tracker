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4" customWidth="1" min="5" max="5"/>
    <col width="21" customWidth="1" min="6" max="6"/>
    <col width="21" customWidth="1" min="7" max="7"/>
  </cols>
  <sheetData>
    <row r="1" ht="26" customHeight="1">
      <c r="A1" s="1" t="inlineStr">
        <is>
          <t>NIFTY PSU Bank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8317.549999999999</v>
      </c>
      <c r="D5" s="2" t="inlineStr">
        <is>
          <t>P/E</t>
        </is>
      </c>
      <c r="E5" s="7" t="n">
        <v>7.48</v>
      </c>
    </row>
    <row r="6">
      <c r="A6" s="2" t="inlineStr">
        <is>
          <t>P/E percentile</t>
        </is>
      </c>
      <c r="B6" s="8" t="n">
        <v>0.2045454545454546</v>
      </c>
      <c r="D6" s="2" t="inlineStr">
        <is>
          <t>Implied EPS</t>
        </is>
      </c>
      <c r="E6" s="9" t="n">
        <v>1111.97192513369</v>
      </c>
    </row>
    <row r="7">
      <c r="A7" s="2" t="inlineStr">
        <is>
          <t>YoY implied EPS growth</t>
        </is>
      </c>
      <c r="B7" s="8" t="n">
        <v>0.146378504416304</v>
      </c>
      <c r="D7" s="2" t="inlineStr">
        <is>
          <t>Earnings yield</t>
        </is>
      </c>
      <c r="E7" s="10" t="n">
        <v>0.1336898395721925</v>
      </c>
    </row>
    <row r="8">
      <c r="A8" s="2" t="inlineStr">
        <is>
          <t>Valuation score</t>
        </is>
      </c>
      <c r="B8" s="11" t="n">
        <v>79.54545454545455</v>
      </c>
      <c r="D8" s="2" t="inlineStr">
        <is>
          <t>Growth score</t>
        </is>
      </c>
      <c r="E8" s="11" t="n">
        <v>78.55140176652158</v>
      </c>
    </row>
    <row r="9">
      <c r="A9" s="2" t="inlineStr">
        <is>
          <t>Composite score</t>
        </is>
      </c>
      <c r="B9" s="11" t="n">
        <v>79.24723871177466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7.795287048255526</v>
      </c>
      <c r="C13" s="15" t="n">
        <v>8668.140346018414</v>
      </c>
      <c r="D13" s="16" t="n">
        <v>0.0421506749004712</v>
      </c>
    </row>
    <row r="14">
      <c r="A14" t="inlineStr">
        <is>
          <t>HOLD → SELL</t>
        </is>
      </c>
      <c r="B14" s="14" t="n">
        <v>9.59217957190593</v>
      </c>
      <c r="C14" s="15" t="n">
        <v>10666.23438480029</v>
      </c>
      <c r="D14" s="16" t="n">
        <v>0.2823769481157661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5</v>
      </c>
      <c r="C18" s="16" t="n">
        <v>0.2570568700705687</v>
      </c>
      <c r="D18" s="16" t="n">
        <v>0.2304489886089419</v>
      </c>
      <c r="E18" s="16" t="n">
        <v>-0.09356259931122046</v>
      </c>
      <c r="F18" s="16" t="n">
        <v>0.1153446481161819</v>
      </c>
      <c r="G18" s="16" t="n">
        <v>0</v>
      </c>
    </row>
    <row r="19">
      <c r="A19" t="inlineStr">
        <is>
          <t>Q2</t>
        </is>
      </c>
      <c r="B19" t="n">
        <v>5</v>
      </c>
      <c r="C19" s="16" t="n">
        <v>0.4400457338859511</v>
      </c>
      <c r="D19" s="16" t="n">
        <v>0.1912917228016042</v>
      </c>
      <c r="E19" s="16" t="n">
        <v>-0.02499632174872513</v>
      </c>
      <c r="F19" s="16" t="n">
        <v>0.1238763065559236</v>
      </c>
      <c r="G19" s="16" t="n">
        <v>0</v>
      </c>
    </row>
    <row r="20">
      <c r="A20" t="inlineStr">
        <is>
          <t>Q3</t>
        </is>
      </c>
      <c r="B20" t="n">
        <v>6</v>
      </c>
      <c r="C20" s="16" t="n">
        <v>0.1447899255266083</v>
      </c>
      <c r="D20" s="16" t="n">
        <v>0.2843713599635302</v>
      </c>
      <c r="E20" s="16" t="n">
        <v>-0.05914014173117188</v>
      </c>
      <c r="F20" s="16" t="n"/>
      <c r="G20" s="16" t="n">
        <v>0.3333333333333333</v>
      </c>
    </row>
    <row r="21">
      <c r="A21" t="inlineStr">
        <is>
          <t>Q4</t>
        </is>
      </c>
      <c r="B21" t="n">
        <v>5</v>
      </c>
      <c r="C21" s="16" t="n">
        <v>-0.06417892884223908</v>
      </c>
      <c r="D21" s="16" t="n">
        <v>0.03422272352697769</v>
      </c>
      <c r="E21" s="16" t="n">
        <v>-0.003115902436273577</v>
      </c>
      <c r="F21" s="16" t="n"/>
      <c r="G21" s="16" t="n">
        <v>0.5</v>
      </c>
    </row>
    <row r="22">
      <c r="A22" t="inlineStr">
        <is>
          <t>Q5 Most Expensive</t>
        </is>
      </c>
      <c r="B22" t="n">
        <v>6</v>
      </c>
      <c r="C22" s="16" t="n">
        <v>0.2346697197507955</v>
      </c>
      <c r="D22" s="16" t="n">
        <v>0.3842271121190056</v>
      </c>
      <c r="E22" s="16" t="n">
        <v>0.2751753482347543</v>
      </c>
      <c r="F22" s="16" t="n"/>
      <c r="G22" s="16" t="n">
        <v>0.1666666666666667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27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2055.25</v>
      </c>
      <c r="C2" s="7" t="n">
        <v>64.48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2426.3</v>
      </c>
      <c r="C3" s="7" t="n">
        <v>22.48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2518.8</v>
      </c>
      <c r="C4" s="7" t="n">
        <v>15.12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2441.35</v>
      </c>
      <c r="C5" s="7" t="n">
        <v>13.13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2335.1</v>
      </c>
      <c r="C6" s="7" t="n">
        <v>10.8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2483.05</v>
      </c>
      <c r="C7" s="7" t="n">
        <v>11.51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2825.15</v>
      </c>
      <c r="C8" s="7" t="n">
        <v>12.42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2560.15</v>
      </c>
      <c r="C9" s="7" t="n">
        <v>10.08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2530.4</v>
      </c>
      <c r="C10" s="7" t="n">
        <v>10.07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2982.25</v>
      </c>
      <c r="C11" s="7" t="n">
        <v>11.23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2667.6</v>
      </c>
      <c r="C12" s="7" t="n">
        <v>9.050000000000001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2725.65</v>
      </c>
      <c r="C13" s="7" t="n">
        <v>9.1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2758.55</v>
      </c>
      <c r="C14" s="7" t="n">
        <v>9.210000000000001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2575.6</v>
      </c>
      <c r="C15" s="7" t="n">
        <v>7.49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2434.75</v>
      </c>
      <c r="C16" s="7" t="n">
        <v>7.05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2784.95</v>
      </c>
      <c r="C17" s="7" t="n">
        <v>7.76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3003.35</v>
      </c>
      <c r="C18" s="7" t="n">
        <v>8.44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2995</v>
      </c>
      <c r="C19" s="7" t="n">
        <v>8.359999999999999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3461.05</v>
      </c>
      <c r="C20" s="7" t="n">
        <v>9.19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4000.75</v>
      </c>
      <c r="C21" s="7" t="n">
        <v>10.18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4318.55</v>
      </c>
      <c r="C22" s="7" t="n">
        <v>11.1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4006.55</v>
      </c>
      <c r="C23" s="7" t="n">
        <v>9.77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3658.35</v>
      </c>
      <c r="C24" s="7" t="n">
        <v>8.289999999999999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3716.15</v>
      </c>
      <c r="C25" s="7" t="n">
        <v>8.470000000000001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4167.65</v>
      </c>
      <c r="C26" s="7" t="n">
        <v>9.470000000000001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4029.7</v>
      </c>
      <c r="C27" s="7" t="n">
        <v>7.59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4110.2</v>
      </c>
      <c r="C28" s="7" t="n">
        <v>7.63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4620.55</v>
      </c>
      <c r="C29" s="7" t="n">
        <v>7.95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4467.2</v>
      </c>
      <c r="C30" s="7" t="n">
        <v>7.03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5258.3</v>
      </c>
      <c r="C31" s="7" t="n">
        <v>8.01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4934.4</v>
      </c>
      <c r="C32" s="7" t="n">
        <v>7.11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5041</v>
      </c>
      <c r="C33" s="7" t="n">
        <v>7.1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5713.45</v>
      </c>
      <c r="C34" s="7" t="n">
        <v>8.109999999999999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6271.65</v>
      </c>
      <c r="C35" s="7" t="n">
        <v>8.52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6929.85</v>
      </c>
      <c r="C36" s="7" t="n">
        <v>9.460000000000001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7007.25</v>
      </c>
      <c r="C37" s="7" t="n">
        <v>9.57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7605.6</v>
      </c>
      <c r="C38" s="7" t="n">
        <v>10.37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7386</v>
      </c>
      <c r="C39" s="7" t="n">
        <v>9.6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7365.95</v>
      </c>
      <c r="C40" s="7" t="n">
        <v>9.449999999999999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7396.95</v>
      </c>
      <c r="C41" s="7" t="n">
        <v>9.119999999999999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6985.8</v>
      </c>
      <c r="C42" s="7" t="n">
        <v>8.529999999999999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6756.15</v>
      </c>
      <c r="C43" s="7" t="n">
        <v>8.199999999999999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6725.35</v>
      </c>
      <c r="C44" s="7" t="n">
        <v>7.8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6813.85</v>
      </c>
      <c r="C45" s="7" t="n">
        <v>7.71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6540.7</v>
      </c>
      <c r="C46" s="7" t="n">
        <v>7.44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6317.3</v>
      </c>
      <c r="C47" s="7" t="n">
        <v>7.02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5652.1</v>
      </c>
      <c r="C48" s="7" t="n">
        <v>5.98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6263.4</v>
      </c>
      <c r="C49" s="7" t="n">
        <v>6.62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6542.25</v>
      </c>
      <c r="C50" s="7" t="n">
        <v>6.92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6976</v>
      </c>
      <c r="C51" s="7" t="n">
        <v>7.07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7202.4</v>
      </c>
      <c r="C52" s="7" t="n">
        <v>7.31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6850.95</v>
      </c>
      <c r="C53" s="7" t="n">
        <v>7.02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6756.05</v>
      </c>
      <c r="C54" s="7" t="n">
        <v>6.96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7526.75</v>
      </c>
      <c r="C55" s="7" t="n">
        <v>7.82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8184.35</v>
      </c>
      <c r="C56" s="7" t="n">
        <v>8.380000000000001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8514.4</v>
      </c>
      <c r="C57" s="7" t="n">
        <v>8.710000000000001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8533.15</v>
      </c>
      <c r="C58" s="7" t="n">
        <v>8.75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9019.35</v>
      </c>
      <c r="C59" s="7" t="n">
        <v>9.109999999999999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9820.450000000001</v>
      </c>
      <c r="C60" s="7" t="n">
        <v>9.74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7873.45</v>
      </c>
      <c r="C61" s="7" t="n">
        <v>7.76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8482.6</v>
      </c>
      <c r="C62" s="7" t="n">
        <v>8.300000000000001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8156.15</v>
      </c>
      <c r="C63" s="7" t="n">
        <v>7.91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8492.65</v>
      </c>
      <c r="C64" s="7" t="n">
        <v>8.140000000000001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8367.200000000001</v>
      </c>
      <c r="C65" s="7" t="n">
        <v>7.59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8609.549999999999</v>
      </c>
      <c r="C66" s="7" t="n">
        <v>7.75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42369</v>
      </c>
      <c r="B2" s="6" t="n">
        <v>2864.3</v>
      </c>
      <c r="C2" s="7" t="n">
        <v>11.71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IF(C2="","",(COUNTIFS($D$2:$D$44,D2,$C$2:$C$44,"&gt;0",$C$2:$C$44,"&lt;"&amp;C2)+(COUNTIFS($D$2:$D$44,D2,$C$2:$C$44,C2)+1)/2)/COUNTIFS($D$2:$D$44,D2,$C$2:$C$44,"&gt;0"))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>
        <f>IFERROR((B42/B2)^(1/10)-1,"")</f>
        <v/>
      </c>
    </row>
    <row r="3">
      <c r="A3" s="18" t="n">
        <v>42460</v>
      </c>
      <c r="B3" s="6" t="n">
        <v>2448.95</v>
      </c>
      <c r="C3" s="7" t="n">
        <v>18.87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IF(C3="","",(COUNTIFS($D$2:$D$44,D3,$C$2:$C$44,"&gt;0",$C$2:$C$44,"&lt;"&amp;C3)+(COUNTIFS($D$2:$D$44,D3,$C$2:$C$44,C3)+1)/2)/COUNTIFS($D$2:$D$44,D3,$C$2:$C$44,"&gt;0"))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>
        <f>IFERROR((B43/B3)^(1/10)-1,"")</f>
        <v/>
      </c>
    </row>
    <row r="4">
      <c r="A4" s="18" t="n">
        <v>42551</v>
      </c>
      <c r="B4" s="6" t="n">
        <v>2725</v>
      </c>
      <c r="C4" s="7" t="n"/>
      <c r="D4" s="2" t="inlineStr">
        <is>
          <t>Standalone</t>
        </is>
      </c>
      <c r="E4" s="21">
        <f>IFERROR(B4/C4,"")</f>
        <v/>
      </c>
      <c r="F4" s="16" t="n"/>
      <c r="G4" s="16">
        <f>IF(C4="","",(COUNTIFS($D$2:$D$44,D4,$C$2:$C$44,"&gt;0",$C$2:$C$44,"&lt;"&amp;C4)+(COUNTIFS($D$2:$D$44,D4,$C$2:$C$44,C4)+1)/2)/COUNTIFS($D$2:$D$44,D4,$C$2:$C$44,"&gt;0"))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>
        <f>IFERROR((B44/B4)^(1/10)-1,"")</f>
        <v/>
      </c>
    </row>
    <row r="5">
      <c r="A5" s="18" t="n">
        <v>42643</v>
      </c>
      <c r="B5" s="6" t="n">
        <v>3129.65</v>
      </c>
      <c r="C5" s="7" t="n"/>
      <c r="D5" s="2" t="inlineStr">
        <is>
          <t>Standalone</t>
        </is>
      </c>
      <c r="E5" s="21">
        <f>IFERROR(B5/C5,"")</f>
        <v/>
      </c>
      <c r="F5" s="16" t="n"/>
      <c r="G5" s="16">
        <f>IF(C5="","",(COUNTIFS($D$2:$D$44,D5,$C$2:$C$44,"&gt;0",$C$2:$C$44,"&lt;"&amp;C5)+(COUNTIFS($D$2:$D$44,D5,$C$2:$C$44,C5)+1)/2)/COUNTIFS($D$2:$D$44,D5,$C$2:$C$44,"&gt;0"))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42735</v>
      </c>
      <c r="B6" s="6" t="n">
        <v>2982</v>
      </c>
      <c r="C6" s="7" t="n"/>
      <c r="D6" s="2" t="inlineStr">
        <is>
          <t>Standalone</t>
        </is>
      </c>
      <c r="E6" s="21">
        <f>IFERROR(B6/C6,"")</f>
        <v/>
      </c>
      <c r="F6" s="16">
        <f>IF(AND(D6=D2,E2&lt;&gt;""),E6/E2-1,"")</f>
        <v/>
      </c>
      <c r="G6" s="16">
        <f>IF(C6="","",(COUNTIFS($D$2:$D$44,D6,$C$2:$C$44,"&gt;0",$C$2:$C$44,"&lt;"&amp;C6)+(COUNTIFS($D$2:$D$44,D6,$C$2:$C$44,C6)+1)/2)/COUNTIFS($D$2:$D$44,D6,$C$2:$C$44,"&gt;0"))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>
        <f>IFERROR((B26/B6)^(1/5)-1,"")</f>
        <v/>
      </c>
      <c r="L6" s="16" t="n"/>
    </row>
    <row r="7">
      <c r="A7" s="18" t="n">
        <v>42825</v>
      </c>
      <c r="B7" s="6" t="n">
        <v>3526.6</v>
      </c>
      <c r="C7" s="7" t="n"/>
      <c r="D7" s="2" t="inlineStr">
        <is>
          <t>Standalone</t>
        </is>
      </c>
      <c r="E7" s="21">
        <f>IFERROR(B7/C7,"")</f>
        <v/>
      </c>
      <c r="F7" s="16">
        <f>IF(AND(D7=D3,E3&lt;&gt;""),E7/E3-1,"")</f>
        <v/>
      </c>
      <c r="G7" s="16">
        <f>IF(C7="","",(COUNTIFS($D$2:$D$44,D7,$C$2:$C$44,"&gt;0",$C$2:$C$44,"&lt;"&amp;C7)+(COUNTIFS($D$2:$D$44,D7,$C$2:$C$44,C7)+1)/2)/COUNTIFS($D$2:$D$44,D7,$C$2:$C$44,"&gt;0"))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>
        <f>IFERROR((B27/B7)^(1/5)-1,"")</f>
        <v/>
      </c>
      <c r="L7" s="16" t="n"/>
    </row>
    <row r="8">
      <c r="A8" s="18" t="n">
        <v>42916</v>
      </c>
      <c r="B8" s="6" t="n">
        <v>3302.4</v>
      </c>
      <c r="C8" s="7" t="n">
        <v>33.24</v>
      </c>
      <c r="D8" s="2" t="inlineStr">
        <is>
          <t>Standalone</t>
        </is>
      </c>
      <c r="E8" s="21">
        <f>IFERROR(B8/C8,"")</f>
        <v/>
      </c>
      <c r="F8" s="16">
        <f>IF(AND(D8=D4,E4&lt;&gt;""),E8/E4-1,"")</f>
        <v/>
      </c>
      <c r="G8" s="16">
        <f>IF(C8="","",(COUNTIFS($D$2:$D$44,D8,$C$2:$C$44,"&gt;0",$C$2:$C$44,"&lt;"&amp;C8)+(COUNTIFS($D$2:$D$44,D8,$C$2:$C$44,C8)+1)/2)/COUNTIFS($D$2:$D$44,D8,$C$2:$C$44,"&gt;0"))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>
        <f>IFERROR((B28/B8)^(1/5)-1,"")</f>
        <v/>
      </c>
      <c r="L8" s="16" t="n"/>
    </row>
    <row r="9">
      <c r="A9" s="18" t="n">
        <v>43008</v>
      </c>
      <c r="B9" s="6" t="n">
        <v>3042.1</v>
      </c>
      <c r="C9" s="7" t="n">
        <v>36.22</v>
      </c>
      <c r="D9" s="2" t="inlineStr">
        <is>
          <t>Standalone</t>
        </is>
      </c>
      <c r="E9" s="21">
        <f>IFERROR(B9/C9,"")</f>
        <v/>
      </c>
      <c r="F9" s="16">
        <f>IF(AND(D9=D5,E5&lt;&gt;""),E9/E5-1,"")</f>
        <v/>
      </c>
      <c r="G9" s="16">
        <f>IF(C9="","",(COUNTIFS($D$2:$D$44,D9,$C$2:$C$44,"&gt;0",$C$2:$C$44,"&lt;"&amp;C9)+(COUNTIFS($D$2:$D$44,D9,$C$2:$C$44,C9)+1)/2)/COUNTIFS($D$2:$D$44,D9,$C$2:$C$44,"&gt;0"))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>
        <f>IFERROR((B29/B9)^(1/5)-1,"")</f>
        <v/>
      </c>
      <c r="L9" s="16" t="n"/>
    </row>
    <row r="10">
      <c r="A10" s="18" t="n">
        <v>43100</v>
      </c>
      <c r="B10" s="6" t="n">
        <v>3700.55</v>
      </c>
      <c r="C10" s="7" t="n">
        <v>88.37</v>
      </c>
      <c r="D10" s="2" t="inlineStr">
        <is>
          <t>Standalone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IF(C10="","",(COUNTIFS($D$2:$D$44,D10,$C$2:$C$44,"&gt;0",$C$2:$C$44,"&lt;"&amp;C10)+(COUNTIFS($D$2:$D$44,D10,$C$2:$C$44,C10)+1)/2)/COUNTIFS($D$2:$D$44,D10,$C$2:$C$44,"&gt;0"))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>
        <f>IFERROR((B30/B10)^(1/5)-1,"")</f>
        <v/>
      </c>
      <c r="L10" s="16" t="n"/>
    </row>
    <row r="11">
      <c r="A11" s="18" t="n">
        <v>43190</v>
      </c>
      <c r="B11" s="6" t="n">
        <v>2878.5</v>
      </c>
      <c r="C11" s="7" t="n"/>
      <c r="D11" s="2" t="inlineStr">
        <is>
          <t>Standalone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IF(C11="","",(COUNTIFS($D$2:$D$44,D11,$C$2:$C$44,"&gt;0",$C$2:$C$44,"&lt;"&amp;C11)+(COUNTIFS($D$2:$D$44,D11,$C$2:$C$44,C11)+1)/2)/COUNTIFS($D$2:$D$44,D11,$C$2:$C$44,"&gt;0"))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>
        <f>IFERROR((B31/B11)^(1/5)-1,"")</f>
        <v/>
      </c>
      <c r="L11" s="16" t="n"/>
    </row>
    <row r="12">
      <c r="A12" s="18" t="n">
        <v>43281</v>
      </c>
      <c r="B12" s="6" t="n">
        <v>2791.5</v>
      </c>
      <c r="C12" s="7" t="n"/>
      <c r="D12" s="2" t="inlineStr">
        <is>
          <t>Standalone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IF(C12="","",(COUNTIFS($D$2:$D$44,D12,$C$2:$C$44,"&gt;0",$C$2:$C$44,"&lt;"&amp;C12)+(COUNTIFS($D$2:$D$44,D12,$C$2:$C$44,C12)+1)/2)/COUNTIFS($D$2:$D$44,D12,$C$2:$C$44,"&gt;0"))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>
        <f>IFERROR((B32/B12)^(1/5)-1,"")</f>
        <v/>
      </c>
      <c r="L12" s="16" t="n"/>
    </row>
    <row r="13">
      <c r="A13" s="18" t="n">
        <v>43373</v>
      </c>
      <c r="B13" s="6" t="n">
        <v>2700.45</v>
      </c>
      <c r="C13" s="7" t="n"/>
      <c r="D13" s="2" t="inlineStr">
        <is>
          <t>Standalone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IF(C13="","",(COUNTIFS($D$2:$D$44,D13,$C$2:$C$44,"&gt;0",$C$2:$C$44,"&lt;"&amp;C13)+(COUNTIFS($D$2:$D$44,D13,$C$2:$C$44,C13)+1)/2)/COUNTIFS($D$2:$D$44,D13,$C$2:$C$44,"&gt;0"))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>
        <f>IFERROR((B33/B13)^(1/5)-1,"")</f>
        <v/>
      </c>
      <c r="L13" s="16" t="n"/>
    </row>
    <row r="14">
      <c r="A14" s="18" t="n">
        <v>43465</v>
      </c>
      <c r="B14" s="6" t="n">
        <v>3088</v>
      </c>
      <c r="C14" s="7" t="n"/>
      <c r="D14" s="2" t="inlineStr">
        <is>
          <t>Standalone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IF(C14="","",(COUNTIFS($D$2:$D$44,D14,$C$2:$C$44,"&gt;0",$C$2:$C$44,"&lt;"&amp;C14)+(COUNTIFS($D$2:$D$44,D14,$C$2:$C$44,C14)+1)/2)/COUNTIFS($D$2:$D$44,D14,$C$2:$C$44,"&gt;0"))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>
        <f>IFERROR((B26/B14)^(1/3)-1,"")</f>
        <v/>
      </c>
      <c r="K14" s="16">
        <f>IFERROR((B34/B14)^(1/5)-1,"")</f>
        <v/>
      </c>
      <c r="L14" s="16" t="n"/>
    </row>
    <row r="15">
      <c r="A15" s="18" t="n">
        <v>43555</v>
      </c>
      <c r="B15" s="6" t="n">
        <v>3339.35</v>
      </c>
      <c r="C15" s="7" t="n"/>
      <c r="D15" s="2" t="inlineStr">
        <is>
          <t>Standalone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IF(C15="","",(COUNTIFS($D$2:$D$44,D15,$C$2:$C$44,"&gt;0",$C$2:$C$44,"&lt;"&amp;C15)+(COUNTIFS($D$2:$D$44,D15,$C$2:$C$44,C15)+1)/2)/COUNTIFS($D$2:$D$44,D15,$C$2:$C$44,"&gt;0"))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>
        <f>IFERROR((B27/B15)^(1/3)-1,"")</f>
        <v/>
      </c>
      <c r="K15" s="16">
        <f>IFERROR((B35/B15)^(1/5)-1,"")</f>
        <v/>
      </c>
      <c r="L15" s="16" t="n"/>
    </row>
    <row r="16">
      <c r="A16" s="18" t="n">
        <v>43646</v>
      </c>
      <c r="B16" s="6" t="n">
        <v>3205.65</v>
      </c>
      <c r="C16" s="7" t="n"/>
      <c r="D16" s="2" t="inlineStr">
        <is>
          <t>Standalone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IF(C16="","",(COUNTIFS($D$2:$D$44,D16,$C$2:$C$44,"&gt;0",$C$2:$C$44,"&lt;"&amp;C16)+(COUNTIFS($D$2:$D$44,D16,$C$2:$C$44,C16)+1)/2)/COUNTIFS($D$2:$D$44,D16,$C$2:$C$44,"&gt;0"))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>
        <f>IFERROR((B28/B16)^(1/3)-1,"")</f>
        <v/>
      </c>
      <c r="K16" s="16">
        <f>IFERROR((B36/B16)^(1/5)-1,"")</f>
        <v/>
      </c>
      <c r="L16" s="16" t="n"/>
    </row>
    <row r="17">
      <c r="A17" s="18" t="n">
        <v>43738</v>
      </c>
      <c r="B17" s="6" t="n">
        <v>2294.1</v>
      </c>
      <c r="C17" s="7" t="n"/>
      <c r="D17" s="2" t="inlineStr">
        <is>
          <t>Standalone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IF(C17="","",(COUNTIFS($D$2:$D$44,D17,$C$2:$C$44,"&gt;0",$C$2:$C$44,"&lt;"&amp;C17)+(COUNTIFS($D$2:$D$44,D17,$C$2:$C$44,C17)+1)/2)/COUNTIFS($D$2:$D$44,D17,$C$2:$C$44,"&gt;0"))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>
        <f>IFERROR((B29/B17)^(1/3)-1,"")</f>
        <v/>
      </c>
      <c r="K17" s="16">
        <f>IFERROR((B37/B17)^(1/5)-1,"")</f>
        <v/>
      </c>
      <c r="L17" s="16" t="n"/>
    </row>
    <row r="18">
      <c r="A18" s="18" t="n">
        <v>43830</v>
      </c>
      <c r="B18" s="6" t="n">
        <v>2524.35</v>
      </c>
      <c r="C18" s="7" t="n"/>
      <c r="D18" s="2" t="inlineStr">
        <is>
          <t>Standalone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IF(C18="","",(COUNTIFS($D$2:$D$44,D18,$C$2:$C$44,"&gt;0",$C$2:$C$44,"&lt;"&amp;C18)+(COUNTIFS($D$2:$D$44,D18,$C$2:$C$44,C18)+1)/2)/COUNTIFS($D$2:$D$44,D18,$C$2:$C$44,"&gt;0"))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>
        <f>IFERROR((B30/B18)^(1/3)-1,"")</f>
        <v/>
      </c>
      <c r="K18" s="16">
        <f>IFERROR((B38/B18)^(1/5)-1,"")</f>
        <v/>
      </c>
      <c r="L18" s="16" t="n"/>
    </row>
    <row r="19">
      <c r="A19" s="18" t="n">
        <v>43921</v>
      </c>
      <c r="B19" s="6" t="n">
        <v>1324.85</v>
      </c>
      <c r="C19" s="7" t="n"/>
      <c r="D19" s="2" t="inlineStr">
        <is>
          <t>Standalone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IF(C19="","",(COUNTIFS($D$2:$D$44,D19,$C$2:$C$44,"&gt;0",$C$2:$C$44,"&lt;"&amp;C19)+(COUNTIFS($D$2:$D$44,D19,$C$2:$C$44,C19)+1)/2)/COUNTIFS($D$2:$D$44,D19,$C$2:$C$44,"&gt;0"))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>
        <f>IFERROR((B31/B19)^(1/3)-1,"")</f>
        <v/>
      </c>
      <c r="K19" s="16">
        <f>IFERROR((B39/B19)^(1/5)-1,"")</f>
        <v/>
      </c>
      <c r="L19" s="16" t="n"/>
    </row>
    <row r="20">
      <c r="A20" s="18" t="n">
        <v>44012</v>
      </c>
      <c r="B20" s="6" t="n">
        <v>1427.9</v>
      </c>
      <c r="C20" s="7" t="n"/>
      <c r="D20" s="2" t="inlineStr">
        <is>
          <t>Standalone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IF(C20="","",(COUNTIFS($D$2:$D$44,D20,$C$2:$C$44,"&gt;0",$C$2:$C$44,"&lt;"&amp;C20)+(COUNTIFS($D$2:$D$44,D20,$C$2:$C$44,C20)+1)/2)/COUNTIFS($D$2:$D$44,D20,$C$2:$C$44,"&gt;0"))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>
        <f>IFERROR((B32/B20)^(1/3)-1,"")</f>
        <v/>
      </c>
      <c r="K20" s="16">
        <f>IFERROR((B40/B20)^(1/5)-1,"")</f>
        <v/>
      </c>
      <c r="L20" s="16" t="n"/>
    </row>
    <row r="21">
      <c r="A21" s="18" t="n">
        <v>44104</v>
      </c>
      <c r="B21" s="6" t="n">
        <v>1277.4</v>
      </c>
      <c r="C21" s="7" t="n"/>
      <c r="D21" s="2" t="inlineStr">
        <is>
          <t>Standalone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IF(C21="","",(COUNTIFS($D$2:$D$44,D21,$C$2:$C$44,"&gt;0",$C$2:$C$44,"&lt;"&amp;C21)+(COUNTIFS($D$2:$D$44,D21,$C$2:$C$44,C21)+1)/2)/COUNTIFS($D$2:$D$44,D21,$C$2:$C$44,"&gt;0"))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>
        <f>IFERROR((B33/B21)^(1/3)-1,"")</f>
        <v/>
      </c>
      <c r="K21" s="16">
        <f>IFERROR((B41/B21)^(1/5)-1,"")</f>
        <v/>
      </c>
      <c r="L21" s="16" t="n"/>
    </row>
    <row r="22">
      <c r="A22" s="18" t="n">
        <v>44196</v>
      </c>
      <c r="B22" s="6" t="n">
        <v>1752.7</v>
      </c>
      <c r="C22" s="7" t="n"/>
      <c r="D22" s="2" t="inlineStr">
        <is>
          <t>Standalone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IF(C22="","",(COUNTIFS($D$2:$D$44,D22,$C$2:$C$44,"&gt;0",$C$2:$C$44,"&lt;"&amp;C22)+(COUNTIFS($D$2:$D$44,D22,$C$2:$C$44,C22)+1)/2)/COUNTIFS($D$2:$D$44,D22,$C$2:$C$44,"&gt;0"))</f>
        <v/>
      </c>
      <c r="H22">
        <f>IF(G22="","",IF(G22&lt;=20%,"Q1 Cheapest",IF(G22&lt;=40%,"Q2",IF(G22&lt;=60%,"Q3",IF(G22&lt;=80%,"Q4","Q5 Most Expensive")))))</f>
        <v/>
      </c>
      <c r="I22" s="16">
        <f>IFERROR(B26/B22-1,"")</f>
        <v/>
      </c>
      <c r="J22" s="16">
        <f>IFERROR((B34/B22)^(1/3)-1,"")</f>
        <v/>
      </c>
      <c r="K22" s="16">
        <f>IFERROR((B42/B22)^(1/5)-1,"")</f>
        <v/>
      </c>
      <c r="L22" s="16" t="n"/>
    </row>
    <row r="23">
      <c r="A23" s="18" t="n">
        <v>44286</v>
      </c>
      <c r="B23" s="6" t="n">
        <v>2157.8</v>
      </c>
      <c r="C23" s="7" t="n">
        <v>67.7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IF(C23="","",(COUNTIFS($D$2:$D$44,D23,$C$2:$C$44,"&gt;0",$C$2:$C$44,"&lt;"&amp;C23)+(COUNTIFS($D$2:$D$44,D23,$C$2:$C$44,C23)+1)/2)/COUNTIFS($D$2:$D$44,D23,$C$2:$C$44,"&gt;0"))</f>
        <v/>
      </c>
      <c r="H23">
        <f>IF(G23="","",IF(G23&lt;=20%,"Q1 Cheapest",IF(G23&lt;=40%,"Q2",IF(G23&lt;=60%,"Q3",IF(G23&lt;=80%,"Q4","Q5 Most Expensive")))))</f>
        <v/>
      </c>
      <c r="I23" s="16">
        <f>IFERROR(B27/B23-1,"")</f>
        <v/>
      </c>
      <c r="J23" s="16">
        <f>IFERROR((B35/B23)^(1/3)-1,"")</f>
        <v/>
      </c>
      <c r="K23" s="16">
        <f>IFERROR((B43/B23)^(1/5)-1,"")</f>
        <v/>
      </c>
      <c r="L23" s="16" t="n"/>
    </row>
    <row r="24">
      <c r="A24" s="18" t="n">
        <v>44377</v>
      </c>
      <c r="B24" s="6" t="n">
        <v>2518.8</v>
      </c>
      <c r="C24" s="7" t="n">
        <v>15.12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IF(C24="","",(COUNTIFS($D$2:$D$44,D24,$C$2:$C$44,"&gt;0",$C$2:$C$44,"&lt;"&amp;C24)+(COUNTIFS($D$2:$D$44,D24,$C$2:$C$44,C24)+1)/2)/COUNTIFS($D$2:$D$44,D24,$C$2:$C$44,"&gt;0"))</f>
        <v/>
      </c>
      <c r="H24">
        <f>IF(G24="","",IF(G24&lt;=20%,"Q1 Cheapest",IF(G24&lt;=40%,"Q2",IF(G24&lt;=60%,"Q3",IF(G24&lt;=80%,"Q4","Q5 Most Expensive")))))</f>
        <v/>
      </c>
      <c r="I24" s="16">
        <f>IFERROR(B28/B24-1,"")</f>
        <v/>
      </c>
      <c r="J24" s="16">
        <f>IFERROR((B36/B24)^(1/3)-1,"")</f>
        <v/>
      </c>
      <c r="K24" s="16">
        <f>IFERROR((B44/B24)^(1/5)-1,"")</f>
        <v/>
      </c>
      <c r="L24" s="16" t="n"/>
    </row>
    <row r="25">
      <c r="A25" s="18" t="n">
        <v>44469</v>
      </c>
      <c r="B25" s="6" t="n">
        <v>2483.05</v>
      </c>
      <c r="C25" s="7" t="n">
        <v>11.51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IF(C25="","",(COUNTIFS($D$2:$D$44,D25,$C$2:$C$44,"&gt;0",$C$2:$C$44,"&lt;"&amp;C25)+(COUNTIFS($D$2:$D$44,D25,$C$2:$C$44,C25)+1)/2)/COUNTIFS($D$2:$D$44,D25,$C$2:$C$44,"&gt;0"))</f>
        <v/>
      </c>
      <c r="H25">
        <f>IF(G25="","",IF(G25&lt;=20%,"Q1 Cheapest",IF(G25&lt;=40%,"Q2",IF(G25&lt;=60%,"Q3",IF(G25&lt;=80%,"Q4","Q5 Most Expensive")))))</f>
        <v/>
      </c>
      <c r="I25" s="16">
        <f>IFERROR(B29/B25-1,"")</f>
        <v/>
      </c>
      <c r="J25" s="16">
        <f>IFERROR((B37/B25)^(1/3)-1,"")</f>
        <v/>
      </c>
      <c r="K25" s="16" t="n"/>
      <c r="L25" s="16" t="n"/>
    </row>
    <row r="26">
      <c r="A26" s="18" t="n">
        <v>44561</v>
      </c>
      <c r="B26" s="6" t="n">
        <v>2530.4</v>
      </c>
      <c r="C26" s="7" t="n">
        <v>10.07</v>
      </c>
      <c r="D26" s="2" t="inlineStr">
        <is>
          <t>Consolidated</t>
        </is>
      </c>
      <c r="E26" s="21">
        <f>IFERROR(B26/C26,"")</f>
        <v/>
      </c>
      <c r="F26" s="16">
        <f>IF(AND(D26=D22,E22&lt;&gt;""),E26/E22-1,"")</f>
        <v/>
      </c>
      <c r="G26" s="16">
        <f>IF(C26="","",(COUNTIFS($D$2:$D$44,D26,$C$2:$C$44,"&gt;0",$C$2:$C$44,"&lt;"&amp;C26)+(COUNTIFS($D$2:$D$44,D26,$C$2:$C$44,C26)+1)/2)/COUNTIFS($D$2:$D$44,D26,$C$2:$C$44,"&gt;0"))</f>
        <v/>
      </c>
      <c r="H26">
        <f>IF(G26="","",IF(G26&lt;=20%,"Q1 Cheapest",IF(G26&lt;=40%,"Q2",IF(G26&lt;=60%,"Q3",IF(G26&lt;=80%,"Q4","Q5 Most Expensive")))))</f>
        <v/>
      </c>
      <c r="I26" s="16">
        <f>IFERROR(B30/B26-1,"")</f>
        <v/>
      </c>
      <c r="J26" s="16">
        <f>IFERROR((B38/B26)^(1/3)-1,"")</f>
        <v/>
      </c>
      <c r="K26" s="16" t="n"/>
      <c r="L26" s="16" t="n"/>
    </row>
    <row r="27">
      <c r="A27" s="18" t="n">
        <v>44651</v>
      </c>
      <c r="B27" s="6" t="n">
        <v>2725.65</v>
      </c>
      <c r="C27" s="7" t="n">
        <v>9.1</v>
      </c>
      <c r="D27" s="2" t="inlineStr">
        <is>
          <t>Consolidated</t>
        </is>
      </c>
      <c r="E27" s="21">
        <f>IFERROR(B27/C27,"")</f>
        <v/>
      </c>
      <c r="F27" s="16">
        <f>IF(AND(D27=D23,E23&lt;&gt;""),E27/E23-1,"")</f>
        <v/>
      </c>
      <c r="G27" s="16">
        <f>IF(C27="","",(COUNTIFS($D$2:$D$44,D27,$C$2:$C$44,"&gt;0",$C$2:$C$44,"&lt;"&amp;C27)+(COUNTIFS($D$2:$D$44,D27,$C$2:$C$44,C27)+1)/2)/COUNTIFS($D$2:$D$44,D27,$C$2:$C$44,"&gt;0"))</f>
        <v/>
      </c>
      <c r="H27">
        <f>IF(G27="","",IF(G27&lt;=20%,"Q1 Cheapest",IF(G27&lt;=40%,"Q2",IF(G27&lt;=60%,"Q3",IF(G27&lt;=80%,"Q4","Q5 Most Expensive")))))</f>
        <v/>
      </c>
      <c r="I27" s="16">
        <f>IFERROR(B31/B27-1,"")</f>
        <v/>
      </c>
      <c r="J27" s="16">
        <f>IFERROR((B39/B27)^(1/3)-1,"")</f>
        <v/>
      </c>
      <c r="K27" s="16" t="n"/>
      <c r="L27" s="16" t="n"/>
    </row>
    <row r="28">
      <c r="A28" s="18" t="n">
        <v>44742</v>
      </c>
      <c r="B28" s="6" t="n">
        <v>2434.75</v>
      </c>
      <c r="C28" s="7" t="n">
        <v>7.05</v>
      </c>
      <c r="D28" s="2" t="inlineStr">
        <is>
          <t>Consolidated</t>
        </is>
      </c>
      <c r="E28" s="21">
        <f>IFERROR(B28/C28,"")</f>
        <v/>
      </c>
      <c r="F28" s="16">
        <f>IF(AND(D28=D24,E24&lt;&gt;""),E28/E24-1,"")</f>
        <v/>
      </c>
      <c r="G28" s="16">
        <f>IF(C28="","",(COUNTIFS($D$2:$D$44,D28,$C$2:$C$44,"&gt;0",$C$2:$C$44,"&lt;"&amp;C28)+(COUNTIFS($D$2:$D$44,D28,$C$2:$C$44,C28)+1)/2)/COUNTIFS($D$2:$D$44,D28,$C$2:$C$44,"&gt;0"))</f>
        <v/>
      </c>
      <c r="H28">
        <f>IF(G28="","",IF(G28&lt;=20%,"Q1 Cheapest",IF(G28&lt;=40%,"Q2",IF(G28&lt;=60%,"Q3",IF(G28&lt;=80%,"Q4","Q5 Most Expensive")))))</f>
        <v/>
      </c>
      <c r="I28" s="16">
        <f>IFERROR(B32/B28-1,"")</f>
        <v/>
      </c>
      <c r="J28" s="16">
        <f>IFERROR((B40/B28)^(1/3)-1,"")</f>
        <v/>
      </c>
      <c r="K28" s="16" t="n"/>
      <c r="L28" s="16" t="n"/>
    </row>
    <row r="29">
      <c r="A29" s="18" t="n">
        <v>44834</v>
      </c>
      <c r="B29" s="6" t="n">
        <v>2995</v>
      </c>
      <c r="C29" s="7" t="n">
        <v>8.359999999999999</v>
      </c>
      <c r="D29" s="2" t="inlineStr">
        <is>
          <t>Consolidated</t>
        </is>
      </c>
      <c r="E29" s="21">
        <f>IFERROR(B29/C29,"")</f>
        <v/>
      </c>
      <c r="F29" s="16">
        <f>IF(AND(D29=D25,E25&lt;&gt;""),E29/E25-1,"")</f>
        <v/>
      </c>
      <c r="G29" s="16">
        <f>IF(C29="","",(COUNTIFS($D$2:$D$44,D29,$C$2:$C$44,"&gt;0",$C$2:$C$44,"&lt;"&amp;C29)+(COUNTIFS($D$2:$D$44,D29,$C$2:$C$44,C29)+1)/2)/COUNTIFS($D$2:$D$44,D29,$C$2:$C$44,"&gt;0"))</f>
        <v/>
      </c>
      <c r="H29">
        <f>IF(G29="","",IF(G29&lt;=20%,"Q1 Cheapest",IF(G29&lt;=40%,"Q2",IF(G29&lt;=60%,"Q3",IF(G29&lt;=80%,"Q4","Q5 Most Expensive")))))</f>
        <v/>
      </c>
      <c r="I29" s="16">
        <f>IFERROR(B33/B29-1,"")</f>
        <v/>
      </c>
      <c r="J29" s="16">
        <f>IFERROR((B41/B29)^(1/3)-1,"")</f>
        <v/>
      </c>
      <c r="K29" s="16" t="n"/>
      <c r="L29" s="16" t="n"/>
    </row>
    <row r="30">
      <c r="A30" s="18" t="n">
        <v>44926</v>
      </c>
      <c r="B30" s="6" t="n">
        <v>4318.55</v>
      </c>
      <c r="C30" s="7" t="n">
        <v>11.1</v>
      </c>
      <c r="D30" s="2" t="inlineStr">
        <is>
          <t>Consolidated</t>
        </is>
      </c>
      <c r="E30" s="21">
        <f>IFERROR(B30/C30,"")</f>
        <v/>
      </c>
      <c r="F30" s="16">
        <f>IF(AND(D30=D26,E26&lt;&gt;""),E30/E26-1,"")</f>
        <v/>
      </c>
      <c r="G30" s="16">
        <f>IF(C30="","",(COUNTIFS($D$2:$D$44,D30,$C$2:$C$44,"&gt;0",$C$2:$C$44,"&lt;"&amp;C30)+(COUNTIFS($D$2:$D$44,D30,$C$2:$C$44,C30)+1)/2)/COUNTIFS($D$2:$D$44,D30,$C$2:$C$44,"&gt;0"))</f>
        <v/>
      </c>
      <c r="H30">
        <f>IF(G30="","",IF(G30&lt;=20%,"Q1 Cheapest",IF(G30&lt;=40%,"Q2",IF(G30&lt;=60%,"Q3",IF(G30&lt;=80%,"Q4","Q5 Most Expensive")))))</f>
        <v/>
      </c>
      <c r="I30" s="16">
        <f>IFERROR(B34/B30-1,"")</f>
        <v/>
      </c>
      <c r="J30" s="16">
        <f>IFERROR((B42/B30)^(1/3)-1,"")</f>
        <v/>
      </c>
      <c r="K30" s="16" t="n"/>
      <c r="L30" s="16" t="n"/>
    </row>
    <row r="31">
      <c r="A31" s="18" t="n">
        <v>45016</v>
      </c>
      <c r="B31" s="6" t="n">
        <v>3716.15</v>
      </c>
      <c r="C31" s="7" t="n">
        <v>8.470000000000001</v>
      </c>
      <c r="D31" s="2" t="inlineStr">
        <is>
          <t>Consolidated</t>
        </is>
      </c>
      <c r="E31" s="21">
        <f>IFERROR(B31/C31,"")</f>
        <v/>
      </c>
      <c r="F31" s="16">
        <f>IF(AND(D31=D27,E27&lt;&gt;""),E31/E27-1,"")</f>
        <v/>
      </c>
      <c r="G31" s="16">
        <f>IF(C31="","",(COUNTIFS($D$2:$D$44,D31,$C$2:$C$44,"&gt;0",$C$2:$C$44,"&lt;"&amp;C31)+(COUNTIFS($D$2:$D$44,D31,$C$2:$C$44,C31)+1)/2)/COUNTIFS($D$2:$D$44,D31,$C$2:$C$44,"&gt;0"))</f>
        <v/>
      </c>
      <c r="H31">
        <f>IF(G31="","",IF(G31&lt;=20%,"Q1 Cheapest",IF(G31&lt;=40%,"Q2",IF(G31&lt;=60%,"Q3",IF(G31&lt;=80%,"Q4","Q5 Most Expensive")))))</f>
        <v/>
      </c>
      <c r="I31" s="16">
        <f>IFERROR(B35/B31-1,"")</f>
        <v/>
      </c>
      <c r="J31" s="16">
        <f>IFERROR((B43/B31)^(1/3)-1,"")</f>
        <v/>
      </c>
      <c r="K31" s="16" t="n"/>
      <c r="L31" s="16" t="n"/>
    </row>
    <row r="32">
      <c r="A32" s="18" t="n">
        <v>45107</v>
      </c>
      <c r="B32" s="6" t="n">
        <v>4110.2</v>
      </c>
      <c r="C32" s="7" t="n">
        <v>7.63</v>
      </c>
      <c r="D32" s="2" t="inlineStr">
        <is>
          <t>Consolidated</t>
        </is>
      </c>
      <c r="E32" s="21">
        <f>IFERROR(B32/C32,"")</f>
        <v/>
      </c>
      <c r="F32" s="16">
        <f>IF(AND(D32=D28,E28&lt;&gt;""),E32/E28-1,"")</f>
        <v/>
      </c>
      <c r="G32" s="16">
        <f>IF(C32="","",(COUNTIFS($D$2:$D$44,D32,$C$2:$C$44,"&gt;0",$C$2:$C$44,"&lt;"&amp;C32)+(COUNTIFS($D$2:$D$44,D32,$C$2:$C$44,C32)+1)/2)/COUNTIFS($D$2:$D$44,D32,$C$2:$C$44,"&gt;0"))</f>
        <v/>
      </c>
      <c r="H32">
        <f>IF(G32="","",IF(G32&lt;=20%,"Q1 Cheapest",IF(G32&lt;=40%,"Q2",IF(G32&lt;=60%,"Q3",IF(G32&lt;=80%,"Q4","Q5 Most Expensive")))))</f>
        <v/>
      </c>
      <c r="I32" s="16">
        <f>IFERROR(B36/B32-1,"")</f>
        <v/>
      </c>
      <c r="J32" s="16">
        <f>IFERROR((B44/B32)^(1/3)-1,"")</f>
        <v/>
      </c>
      <c r="K32" s="16" t="n"/>
      <c r="L32" s="16" t="n"/>
    </row>
    <row r="33">
      <c r="A33" s="18" t="n">
        <v>45199</v>
      </c>
      <c r="B33" s="6" t="n">
        <v>5258.3</v>
      </c>
      <c r="C33" s="7" t="n">
        <v>8.01</v>
      </c>
      <c r="D33" s="2" t="inlineStr">
        <is>
          <t>Consolidated</t>
        </is>
      </c>
      <c r="E33" s="21">
        <f>IFERROR(B33/C33,"")</f>
        <v/>
      </c>
      <c r="F33" s="16">
        <f>IF(AND(D33=D29,E29&lt;&gt;""),E33/E29-1,"")</f>
        <v/>
      </c>
      <c r="G33" s="16">
        <f>IF(C33="","",(COUNTIFS($D$2:$D$44,D33,$C$2:$C$44,"&gt;0",$C$2:$C$44,"&lt;"&amp;C33)+(COUNTIFS($D$2:$D$44,D33,$C$2:$C$44,C33)+1)/2)/COUNTIFS($D$2:$D$44,D33,$C$2:$C$44,"&gt;0"))</f>
        <v/>
      </c>
      <c r="H33">
        <f>IF(G33="","",IF(G33&lt;=20%,"Q1 Cheapest",IF(G33&lt;=40%,"Q2",IF(G33&lt;=60%,"Q3",IF(G33&lt;=80%,"Q4","Q5 Most Expensive")))))</f>
        <v/>
      </c>
      <c r="I33" s="16">
        <f>IFERROR(B37/B33-1,"")</f>
        <v/>
      </c>
      <c r="J33" s="16" t="n"/>
      <c r="K33" s="16" t="n"/>
      <c r="L33" s="16" t="n"/>
    </row>
    <row r="34">
      <c r="A34" s="18" t="n">
        <v>45291</v>
      </c>
      <c r="B34" s="6" t="n">
        <v>5713.45</v>
      </c>
      <c r="C34" s="7" t="n">
        <v>8.109999999999999</v>
      </c>
      <c r="D34" s="2" t="inlineStr">
        <is>
          <t>Consolidated</t>
        </is>
      </c>
      <c r="E34" s="21">
        <f>IFERROR(B34/C34,"")</f>
        <v/>
      </c>
      <c r="F34" s="16">
        <f>IF(AND(D34=D30,E30&lt;&gt;""),E34/E30-1,"")</f>
        <v/>
      </c>
      <c r="G34" s="16">
        <f>IF(C34="","",(COUNTIFS($D$2:$D$44,D34,$C$2:$C$44,"&gt;0",$C$2:$C$44,"&lt;"&amp;C34)+(COUNTIFS($D$2:$D$44,D34,$C$2:$C$44,C34)+1)/2)/COUNTIFS($D$2:$D$44,D34,$C$2:$C$44,"&gt;0"))</f>
        <v/>
      </c>
      <c r="H34">
        <f>IF(G34="","",IF(G34&lt;=20%,"Q1 Cheapest",IF(G34&lt;=40%,"Q2",IF(G34&lt;=60%,"Q3",IF(G34&lt;=80%,"Q4","Q5 Most Expensive")))))</f>
        <v/>
      </c>
      <c r="I34" s="16">
        <f>IFERROR(B38/B34-1,"")</f>
        <v/>
      </c>
      <c r="J34" s="16" t="n"/>
      <c r="K34" s="16" t="n"/>
      <c r="L34" s="16" t="n"/>
    </row>
    <row r="35">
      <c r="A35" s="18" t="n">
        <v>45382</v>
      </c>
      <c r="B35" s="6" t="n">
        <v>7007.25</v>
      </c>
      <c r="C35" s="7" t="n">
        <v>9.57</v>
      </c>
      <c r="D35" s="2" t="inlineStr">
        <is>
          <t>Consolidated</t>
        </is>
      </c>
      <c r="E35" s="21">
        <f>IFERROR(B35/C35,"")</f>
        <v/>
      </c>
      <c r="F35" s="16">
        <f>IF(AND(D35=D31,E31&lt;&gt;""),E35/E31-1,"")</f>
        <v/>
      </c>
      <c r="G35" s="16">
        <f>IF(C35="","",(COUNTIFS($D$2:$D$44,D35,$C$2:$C$44,"&gt;0",$C$2:$C$44,"&lt;"&amp;C35)+(COUNTIFS($D$2:$D$44,D35,$C$2:$C$44,C35)+1)/2)/COUNTIFS($D$2:$D$44,D35,$C$2:$C$44,"&gt;0"))</f>
        <v/>
      </c>
      <c r="H35">
        <f>IF(G35="","",IF(G35&lt;=20%,"Q1 Cheapest",IF(G35&lt;=40%,"Q2",IF(G35&lt;=60%,"Q3",IF(G35&lt;=80%,"Q4","Q5 Most Expensive")))))</f>
        <v/>
      </c>
      <c r="I35" s="16">
        <f>IFERROR(B39/B35-1,"")</f>
        <v/>
      </c>
      <c r="J35" s="16" t="n"/>
      <c r="K35" s="16" t="n"/>
      <c r="L35" s="16" t="n"/>
    </row>
    <row r="36">
      <c r="A36" s="18" t="n">
        <v>45473</v>
      </c>
      <c r="B36" s="6" t="n">
        <v>7365.95</v>
      </c>
      <c r="C36" s="7" t="n">
        <v>9.449999999999999</v>
      </c>
      <c r="D36" s="2" t="inlineStr">
        <is>
          <t>Consolidated</t>
        </is>
      </c>
      <c r="E36" s="21">
        <f>IFERROR(B36/C36,"")</f>
        <v/>
      </c>
      <c r="F36" s="16">
        <f>IF(AND(D36=D32,E32&lt;&gt;""),E36/E32-1,"")</f>
        <v/>
      </c>
      <c r="G36" s="16">
        <f>IF(C36="","",(COUNTIFS($D$2:$D$44,D36,$C$2:$C$44,"&gt;0",$C$2:$C$44,"&lt;"&amp;C36)+(COUNTIFS($D$2:$D$44,D36,$C$2:$C$44,C36)+1)/2)/COUNTIFS($D$2:$D$44,D36,$C$2:$C$44,"&gt;0"))</f>
        <v/>
      </c>
      <c r="H36">
        <f>IF(G36="","",IF(G36&lt;=20%,"Q1 Cheapest",IF(G36&lt;=40%,"Q2",IF(G36&lt;=60%,"Q3",IF(G36&lt;=80%,"Q4","Q5 Most Expensive")))))</f>
        <v/>
      </c>
      <c r="I36" s="16">
        <f>IFERROR(B40/B36-1,"")</f>
        <v/>
      </c>
      <c r="J36" s="16" t="n"/>
      <c r="K36" s="16" t="n"/>
      <c r="L36" s="16" t="n"/>
    </row>
    <row r="37">
      <c r="A37" s="18" t="n">
        <v>45565</v>
      </c>
      <c r="B37" s="6" t="n">
        <v>6756.15</v>
      </c>
      <c r="C37" s="7" t="n">
        <v>8.199999999999999</v>
      </c>
      <c r="D37" s="2" t="inlineStr">
        <is>
          <t>Consolidated</t>
        </is>
      </c>
      <c r="E37" s="21">
        <f>IFERROR(B37/C37,"")</f>
        <v/>
      </c>
      <c r="F37" s="16">
        <f>IF(AND(D37=D33,E33&lt;&gt;""),E37/E33-1,"")</f>
        <v/>
      </c>
      <c r="G37" s="16">
        <f>IF(C37="","",(COUNTIFS($D$2:$D$44,D37,$C$2:$C$44,"&gt;0",$C$2:$C$44,"&lt;"&amp;C37)+(COUNTIFS($D$2:$D$44,D37,$C$2:$C$44,C37)+1)/2)/COUNTIFS($D$2:$D$44,D37,$C$2:$C$44,"&gt;0"))</f>
        <v/>
      </c>
      <c r="H37">
        <f>IF(G37="","",IF(G37&lt;=20%,"Q1 Cheapest",IF(G37&lt;=40%,"Q2",IF(G37&lt;=60%,"Q3",IF(G37&lt;=80%,"Q4","Q5 Most Expensive")))))</f>
        <v/>
      </c>
      <c r="I37" s="16">
        <f>IFERROR(B41/B37-1,"")</f>
        <v/>
      </c>
      <c r="J37" s="16" t="n"/>
      <c r="K37" s="16" t="n"/>
      <c r="L37" s="16" t="n"/>
    </row>
    <row r="38">
      <c r="A38" s="18" t="n">
        <v>45657</v>
      </c>
      <c r="B38" s="6" t="n">
        <v>6540.7</v>
      </c>
      <c r="C38" s="7" t="n">
        <v>7.44</v>
      </c>
      <c r="D38" s="2" t="inlineStr">
        <is>
          <t>Consolidated</t>
        </is>
      </c>
      <c r="E38" s="21">
        <f>IFERROR(B38/C38,"")</f>
        <v/>
      </c>
      <c r="F38" s="16">
        <f>IF(AND(D38=D34,E34&lt;&gt;""),E38/E34-1,"")</f>
        <v/>
      </c>
      <c r="G38" s="16">
        <f>IF(C38="","",(COUNTIFS($D$2:$D$44,D38,$C$2:$C$44,"&gt;0",$C$2:$C$44,"&lt;"&amp;C38)+(COUNTIFS($D$2:$D$44,D38,$C$2:$C$44,C38)+1)/2)/COUNTIFS($D$2:$D$44,D38,$C$2:$C$44,"&gt;0"))</f>
        <v/>
      </c>
      <c r="H38">
        <f>IF(G38="","",IF(G38&lt;=20%,"Q1 Cheapest",IF(G38&lt;=40%,"Q2",IF(G38&lt;=60%,"Q3",IF(G38&lt;=80%,"Q4","Q5 Most Expensive")))))</f>
        <v/>
      </c>
      <c r="I38" s="16">
        <f>IFERROR(B42/B38-1,"")</f>
        <v/>
      </c>
      <c r="J38" s="16" t="n"/>
      <c r="K38" s="16" t="n"/>
      <c r="L38" s="16" t="n"/>
    </row>
    <row r="39">
      <c r="A39" s="18" t="n">
        <v>45747</v>
      </c>
      <c r="B39" s="6" t="n">
        <v>6263.4</v>
      </c>
      <c r="C39" s="7" t="n">
        <v>6.62</v>
      </c>
      <c r="D39" s="2" t="inlineStr">
        <is>
          <t>Consolidated</t>
        </is>
      </c>
      <c r="E39" s="21">
        <f>IFERROR(B39/C39,"")</f>
        <v/>
      </c>
      <c r="F39" s="16">
        <f>IF(AND(D39=D35,E35&lt;&gt;""),E39/E35-1,"")</f>
        <v/>
      </c>
      <c r="G39" s="16">
        <f>IF(C39="","",(COUNTIFS($D$2:$D$44,D39,$C$2:$C$44,"&gt;0",$C$2:$C$44,"&lt;"&amp;C39)+(COUNTIFS($D$2:$D$44,D39,$C$2:$C$44,C39)+1)/2)/COUNTIFS($D$2:$D$44,D39,$C$2:$C$44,"&gt;0"))</f>
        <v/>
      </c>
      <c r="H39">
        <f>IF(G39="","",IF(G39&lt;=20%,"Q1 Cheapest",IF(G39&lt;=40%,"Q2",IF(G39&lt;=60%,"Q3",IF(G39&lt;=80%,"Q4","Q5 Most Expensive")))))</f>
        <v/>
      </c>
      <c r="I39" s="16">
        <f>IFERROR(B43/B39-1,"")</f>
        <v/>
      </c>
      <c r="J39" s="16" t="n"/>
      <c r="K39" s="16" t="n"/>
      <c r="L39" s="16" t="n"/>
    </row>
    <row r="40">
      <c r="A40" s="18" t="n">
        <v>45838</v>
      </c>
      <c r="B40" s="6" t="n">
        <v>7202.4</v>
      </c>
      <c r="C40" s="7" t="n">
        <v>7.31</v>
      </c>
      <c r="D40" s="2" t="inlineStr">
        <is>
          <t>Consolidated</t>
        </is>
      </c>
      <c r="E40" s="21">
        <f>IFERROR(B40/C40,"")</f>
        <v/>
      </c>
      <c r="F40" s="16">
        <f>IF(AND(D40=D36,E36&lt;&gt;""),E40/E36-1,"")</f>
        <v/>
      </c>
      <c r="G40" s="16">
        <f>IF(C40="","",(COUNTIFS($D$2:$D$44,D40,$C$2:$C$44,"&gt;0",$C$2:$C$44,"&lt;"&amp;C40)+(COUNTIFS($D$2:$D$44,D40,$C$2:$C$44,C40)+1)/2)/COUNTIFS($D$2:$D$44,D40,$C$2:$C$44,"&gt;0"))</f>
        <v/>
      </c>
      <c r="H40">
        <f>IF(G40="","",IF(G40&lt;=20%,"Q1 Cheapest",IF(G40&lt;=40%,"Q2",IF(G40&lt;=60%,"Q3",IF(G40&lt;=80%,"Q4","Q5 Most Expensive")))))</f>
        <v/>
      </c>
      <c r="I40" s="16">
        <f>IFERROR(B44/B40-1,"")</f>
        <v/>
      </c>
      <c r="J40" s="16" t="n"/>
      <c r="K40" s="16" t="n"/>
      <c r="L40" s="16" t="n"/>
    </row>
    <row r="41">
      <c r="A41" s="18" t="n">
        <v>45930</v>
      </c>
      <c r="B41" s="6" t="n">
        <v>7526.75</v>
      </c>
      <c r="C41" s="7" t="n">
        <v>7.82</v>
      </c>
      <c r="D41" s="2" t="inlineStr">
        <is>
          <t>Consolidated</t>
        </is>
      </c>
      <c r="E41" s="21">
        <f>IFERROR(B41/C41,"")</f>
        <v/>
      </c>
      <c r="F41" s="16">
        <f>IF(AND(D41=D37,E37&lt;&gt;""),E41/E37-1,"")</f>
        <v/>
      </c>
      <c r="G41" s="16">
        <f>IF(C41="","",(COUNTIFS($D$2:$D$44,D41,$C$2:$C$44,"&gt;0",$C$2:$C$44,"&lt;"&amp;C41)+(COUNTIFS($D$2:$D$44,D41,$C$2:$C$44,C41)+1)/2)/COUNTIFS($D$2:$D$44,D41,$C$2:$C$44,"&gt;0"))</f>
        <v/>
      </c>
      <c r="H41">
        <f>IF(G41="","",IF(G41&lt;=20%,"Q1 Cheapest",IF(G41&lt;=40%,"Q2",IF(G41&lt;=60%,"Q3",IF(G41&lt;=80%,"Q4","Q5 Most Expensive")))))</f>
        <v/>
      </c>
      <c r="I41" s="16" t="n"/>
      <c r="J41" s="16" t="n"/>
      <c r="K41" s="16" t="n"/>
      <c r="L41" s="16" t="n"/>
    </row>
    <row r="42">
      <c r="A42" s="18" t="n">
        <v>46022</v>
      </c>
      <c r="B42" s="6" t="n">
        <v>8533.15</v>
      </c>
      <c r="C42" s="7" t="n">
        <v>8.75</v>
      </c>
      <c r="D42" s="2" t="inlineStr">
        <is>
          <t>Consolidated</t>
        </is>
      </c>
      <c r="E42" s="21">
        <f>IFERROR(B42/C42,"")</f>
        <v/>
      </c>
      <c r="F42" s="16">
        <f>IF(AND(D42=D38,E38&lt;&gt;""),E42/E38-1,"")</f>
        <v/>
      </c>
      <c r="G42" s="16">
        <f>IF(C42="","",(COUNTIFS($D$2:$D$44,D42,$C$2:$C$44,"&gt;0",$C$2:$C$44,"&lt;"&amp;C42)+(COUNTIFS($D$2:$D$44,D42,$C$2:$C$44,C42)+1)/2)/COUNTIFS($D$2:$D$44,D42,$C$2:$C$44,"&gt;0"))</f>
        <v/>
      </c>
      <c r="H42">
        <f>IF(G42="","",IF(G42&lt;=20%,"Q1 Cheapest",IF(G42&lt;=40%,"Q2",IF(G42&lt;=60%,"Q3",IF(G42&lt;=80%,"Q4","Q5 Most Expensive")))))</f>
        <v/>
      </c>
      <c r="I42" s="16" t="n"/>
      <c r="J42" s="16" t="n"/>
      <c r="K42" s="16" t="n"/>
      <c r="L42" s="16" t="n"/>
    </row>
    <row r="43">
      <c r="A43" s="18" t="n">
        <v>46112</v>
      </c>
      <c r="B43" s="6" t="n">
        <v>7873.45</v>
      </c>
      <c r="C43" s="7" t="n">
        <v>7.76</v>
      </c>
      <c r="D43" s="2" t="inlineStr">
        <is>
          <t>Consolidated</t>
        </is>
      </c>
      <c r="E43" s="21">
        <f>IFERROR(B43/C43,"")</f>
        <v/>
      </c>
      <c r="F43" s="16">
        <f>IF(AND(D43=D39,E39&lt;&gt;""),E43/E39-1,"")</f>
        <v/>
      </c>
      <c r="G43" s="16">
        <f>IF(C43="","",(COUNTIFS($D$2:$D$44,D43,$C$2:$C$44,"&gt;0",$C$2:$C$44,"&lt;"&amp;C43)+(COUNTIFS($D$2:$D$44,D43,$C$2:$C$44,C43)+1)/2)/COUNTIFS($D$2:$D$44,D43,$C$2:$C$44,"&gt;0"))</f>
        <v/>
      </c>
      <c r="H43">
        <f>IF(G43="","",IF(G43&lt;=20%,"Q1 Cheapest",IF(G43&lt;=40%,"Q2",IF(G43&lt;=60%,"Q3",IF(G43&lt;=80%,"Q4","Q5 Most Expensive")))))</f>
        <v/>
      </c>
      <c r="I43" s="16" t="n"/>
      <c r="J43" s="16" t="n"/>
      <c r="K43" s="16" t="n"/>
      <c r="L43" s="16" t="n"/>
    </row>
    <row r="44">
      <c r="A44" s="18" t="n">
        <v>46203</v>
      </c>
      <c r="B44" s="6" t="n">
        <v>8492.65</v>
      </c>
      <c r="C44" s="7" t="n">
        <v>8.140000000000001</v>
      </c>
      <c r="D44" s="2" t="inlineStr">
        <is>
          <t>Consolidated</t>
        </is>
      </c>
      <c r="E44" s="21">
        <f>IFERROR(B44/C44,"")</f>
        <v/>
      </c>
      <c r="F44" s="16">
        <f>IF(AND(D44=D40,E40&lt;&gt;""),E44/E40-1,"")</f>
        <v/>
      </c>
      <c r="G44" s="16">
        <f>IF(C44="","",(COUNTIFS($D$2:$D$44,D44,$C$2:$C$44,"&gt;0",$C$2:$C$44,"&lt;"&amp;C44)+(COUNTIFS($D$2:$D$44,D44,$C$2:$C$44,C44)+1)/2)/COUNTIFS($D$2:$D$44,D44,$C$2:$C$44,"&gt;0"))</f>
        <v/>
      </c>
      <c r="H44">
        <f>IF(G44="","",IF(G44&lt;=20%,"Q1 Cheapest",IF(G44&lt;=40%,"Q2",IF(G44&lt;=60%,"Q3",IF(G44&lt;=80%,"Q4","Q5 Most Expensive")))))</f>
        <v/>
      </c>
      <c r="I44" s="16" t="n"/>
      <c r="J44" s="16" t="n"/>
      <c r="K44" s="16" t="n"/>
      <c r="L4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8317.549999999999</v>
      </c>
      <c r="C2" s="7" t="n">
        <v>7.48</v>
      </c>
      <c r="D2" s="8" t="n">
        <v>0.204545454545</v>
      </c>
      <c r="E2" s="8" t="n">
        <v>0.146378504416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2026-09-21T10:07:35Z</dcterms:created>
  <dcterms:modified xsi:type="dcterms:W3CDTF">2026-09-21T10:07:35Z</dcterms:modified>
</cp:coreProperties>
</file>