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46324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5575.15</v>
      </c>
      <c r="D5" s="2" t="inlineStr">
        <is>
          <t>P/E</t>
        </is>
      </c>
      <c r="E5" s="25" t="n">
        <v>12.49</v>
      </c>
    </row>
    <row r="6">
      <c r="A6" s="2" t="inlineStr">
        <is>
          <t>P/E percentile</t>
        </is>
      </c>
      <c r="B6" s="26" t="n">
        <v>0.08208955223880597</v>
      </c>
      <c r="D6" s="2" t="inlineStr">
        <is>
          <t>Implied EPS</t>
        </is>
      </c>
      <c r="E6" s="27" t="n">
        <v>446.3690952762209</v>
      </c>
    </row>
    <row r="7">
      <c r="A7" s="2" t="inlineStr">
        <is>
          <t>YoY implied EPS growth</t>
        </is>
      </c>
      <c r="B7" s="26" t="n">
        <v>0.06927679715710067</v>
      </c>
      <c r="D7" s="2" t="inlineStr">
        <is>
          <t>Earnings yield</t>
        </is>
      </c>
      <c r="E7" s="10" t="n">
        <v>0.08006405124099279</v>
      </c>
    </row>
    <row r="8">
      <c r="A8" s="2" t="inlineStr">
        <is>
          <t>Valuation score</t>
        </is>
      </c>
      <c r="B8" s="28" t="n">
        <v>91.79104477611941</v>
      </c>
      <c r="D8" s="2" t="inlineStr">
        <is>
          <t>Growth score</t>
        </is>
      </c>
      <c r="E8" s="28" t="n">
        <v>47.71071886284027</v>
      </c>
    </row>
    <row r="9">
      <c r="A9" s="2" t="inlineStr">
        <is>
          <t>Composite score</t>
        </is>
      </c>
      <c r="B9" s="28" t="n">
        <v>78.56694700213566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13.48981270484814</v>
      </c>
      <c r="C13" s="15" t="n">
        <v>6021.435492508734</v>
      </c>
      <c r="D13" s="30" t="n">
        <v>0.08004905563235676</v>
      </c>
    </row>
    <row r="14">
      <c r="A14" t="inlineStr">
        <is>
          <t>HOLD → SELL</t>
        </is>
      </c>
      <c r="B14" s="29" t="n">
        <v>15.85839606231436</v>
      </c>
      <c r="C14" s="15" t="n">
        <v>7078.697902867245</v>
      </c>
      <c r="D14" s="30" t="n">
        <v>0.2696874349330951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5319.75</v>
      </c>
      <c r="C15" s="25" t="n">
        <v>12.07</v>
      </c>
      <c r="D15" s="26" t="n">
        <v>0.0373134328358</v>
      </c>
      <c r="E15" s="26" t="n">
        <v>0.0686605260643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5419.85</v>
      </c>
      <c r="C16" s="25" t="n">
        <v>12.29</v>
      </c>
      <c r="D16" s="26" t="n">
        <v>0.0522388059701</v>
      </c>
      <c r="E16" s="26" t="n">
        <v>0.0689234979813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5378.5</v>
      </c>
      <c r="C17" s="25" t="n">
        <v>12.18</v>
      </c>
      <c r="D17" s="26" t="n">
        <v>0.0373134328358</v>
      </c>
      <c r="E17" s="26" t="n">
        <v>0.070636306265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5513</v>
      </c>
      <c r="C18" s="25" t="n">
        <v>12.47</v>
      </c>
      <c r="D18" s="26" t="n">
        <v>0.0820895522388</v>
      </c>
      <c r="E18" s="26" t="n">
        <v>0.0715778505644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5534.05</v>
      </c>
      <c r="C19" s="25" t="n">
        <v>12.52</v>
      </c>
      <c r="D19" s="26" t="n">
        <v>0.0820895522388</v>
      </c>
      <c r="E19" s="26" t="n">
        <v>0.0713948227707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5571.15</v>
      </c>
      <c r="C20" s="25" t="n">
        <v>12.59</v>
      </c>
      <c r="D20" s="26" t="n">
        <v>0.0820895522388</v>
      </c>
      <c r="E20" s="26" t="n">
        <v>0.0724258565058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5631.45</v>
      </c>
      <c r="C21" s="25" t="n">
        <v>12.71</v>
      </c>
      <c r="D21" s="26" t="n">
        <v>0.0970149253731</v>
      </c>
      <c r="E21" s="26" t="n">
        <v>0.0737289478969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5598.5</v>
      </c>
      <c r="C22" s="25" t="n">
        <v>12.62</v>
      </c>
      <c r="D22" s="26" t="n">
        <v>0.0820895522388</v>
      </c>
      <c r="E22" s="26" t="n">
        <v>0.0725563801741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5609.55</v>
      </c>
      <c r="C23" s="25" t="n">
        <v>12.65</v>
      </c>
      <c r="D23" s="26" t="n">
        <v>0.0820895522388</v>
      </c>
      <c r="E23" s="26" t="n">
        <v>0.07154017652649999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5580.35</v>
      </c>
      <c r="C24" s="25" t="n">
        <v>12.55</v>
      </c>
      <c r="D24" s="26" t="n">
        <v>0.0820895522388</v>
      </c>
      <c r="E24" s="26" t="n">
        <v>0.0744560961205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5510.75</v>
      </c>
      <c r="C25" s="25" t="n">
        <v>12.39</v>
      </c>
      <c r="D25" s="26" t="n">
        <v>0.0671641791045</v>
      </c>
      <c r="E25" s="26" t="n">
        <v>0.0744593636597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5539.2</v>
      </c>
      <c r="C26" s="25" t="n">
        <v>12.45</v>
      </c>
      <c r="D26" s="26" t="n">
        <v>0.0820895522388</v>
      </c>
      <c r="E26" s="26" t="n">
        <v>0.0746878079992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  <row r="27">
      <c r="A27" s="31" t="n">
        <v>46322</v>
      </c>
      <c r="B27" s="24" t="n">
        <v>5542.1</v>
      </c>
      <c r="C27" s="25" t="n">
        <v>12.43</v>
      </c>
      <c r="D27" s="26" t="n">
        <v>0.0820895522388</v>
      </c>
      <c r="E27" s="26" t="n">
        <v>0.077240830466</v>
      </c>
      <c r="F27" s="34">
        <f>IF(D27="","",100*(1-D27))</f>
        <v/>
      </c>
      <c r="G27" s="34">
        <f>IF(E27="","",IF(E27&lt;=0,20,IF(E27&lt;5%,20+400*E27,IF(E27&lt;10%,40+400*(E27-5%),IF(E27&lt;15%,60+400*(E27-10%),IF(E27&lt;25%,80+200*(E27-15%),100))))))</f>
        <v/>
      </c>
      <c r="H27" s="34">
        <f>IF(OR(F27="",G27=""),"",70%*F27+30%*G27)</f>
        <v/>
      </c>
      <c r="I27">
        <f>IF(H27="","",IF(H27&gt;=70,"BUY",IF(H27&gt;=40,"HOLD","SELL")))</f>
        <v/>
      </c>
    </row>
    <row r="28">
      <c r="A28" s="31" t="n">
        <v>46323</v>
      </c>
      <c r="B28" s="24" t="n">
        <v>5510.95</v>
      </c>
      <c r="C28" s="25" t="n">
        <v>12.35</v>
      </c>
      <c r="D28" s="26" t="n">
        <v>0.0597014925373</v>
      </c>
      <c r="E28" s="26" t="n">
        <v>0.068511534076</v>
      </c>
      <c r="F28" s="34">
        <f>IF(D28="","",100*(1-D28))</f>
        <v/>
      </c>
      <c r="G28" s="34">
        <f>IF(E28="","",IF(E28&lt;=0,20,IF(E28&lt;5%,20+400*E28,IF(E28&lt;10%,40+400*(E28-5%),IF(E28&lt;15%,60+400*(E28-10%),IF(E28&lt;25%,80+200*(E28-15%),100))))))</f>
        <v/>
      </c>
      <c r="H28" s="34">
        <f>IF(OR(F28="",G28=""),"",70%*F28+30%*G28)</f>
        <v/>
      </c>
      <c r="I28">
        <f>IF(H28="","",IF(H28&gt;=70,"BUY",IF(H28&gt;=40,"HOLD","SELL")))</f>
        <v/>
      </c>
    </row>
    <row r="29">
      <c r="A29" s="31" t="n">
        <v>46324</v>
      </c>
      <c r="B29" s="24" t="n">
        <v>5575.15</v>
      </c>
      <c r="C29" s="25" t="n">
        <v>12.49</v>
      </c>
      <c r="D29" s="26" t="n">
        <v>0.0820895522388</v>
      </c>
      <c r="E29" s="26" t="n">
        <v>0.0692767971571</v>
      </c>
      <c r="F29" s="34">
        <f>IF(D29="","",100*(1-D29))</f>
        <v/>
      </c>
      <c r="G29" s="34">
        <f>IF(E29="","",IF(E29&lt;=0,20,IF(E29&lt;5%,20+400*E29,IF(E29&lt;10%,40+400*(E29-5%),IF(E29&lt;15%,60+400*(E29-10%),IF(E29&lt;25%,80+200*(E29-15%),100))))))</f>
        <v/>
      </c>
      <c r="H29" s="34">
        <f>IF(OR(F29="",G29=""),"",70%*F29+30%*G29)</f>
        <v/>
      </c>
      <c r="I29">
        <f>IF(H29="","",IF(H29&gt;=70,"BUY",IF(H29&gt;=40,"HOLD","SELL")))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2026-10-29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2026-10-29T18:39:41Z</dcterms:created>
  <dcterms:modified xsi:type="dcterms:W3CDTF">2026-10-29T18:40:11Z</dcterms:modified>
</cp:coreProperties>
</file>