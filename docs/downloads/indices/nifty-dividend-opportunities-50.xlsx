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divopp50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9" customWidth="1" min="5" max="5"/>
    <col width="21" customWidth="1" min="6" max="6"/>
    <col width="21" customWidth="1" min="7" max="7"/>
  </cols>
  <sheetData>
    <row r="1" ht="26" customHeight="1">
      <c r="A1" s="1" t="inlineStr">
        <is>
          <t>NIFTY Dividend Opportunities 50 Valuation Tracker</t>
        </is>
      </c>
    </row>
    <row r="2">
      <c r="A2" s="2" t="inlineStr">
        <is>
          <t>As of</t>
        </is>
      </c>
      <c r="B2" s="23" t="n">
        <v>46321</v>
      </c>
      <c r="D2" s="2" t="inlineStr">
        <is>
          <t>Group</t>
        </is>
      </c>
      <c r="E2" s="4" t="inlineStr">
        <is>
          <t>Strategy / Thematic / Other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5539.2</v>
      </c>
      <c r="D5" s="2" t="inlineStr">
        <is>
          <t>P/E</t>
        </is>
      </c>
      <c r="E5" s="25" t="n">
        <v>12.45</v>
      </c>
    </row>
    <row r="6">
      <c r="A6" s="2" t="inlineStr">
        <is>
          <t>P/E percentile</t>
        </is>
      </c>
      <c r="B6" s="26" t="n">
        <v>0.08208955223880597</v>
      </c>
      <c r="D6" s="2" t="inlineStr">
        <is>
          <t>Implied EPS</t>
        </is>
      </c>
      <c r="E6" s="27" t="n">
        <v>444.9156626506024</v>
      </c>
    </row>
    <row r="7">
      <c r="A7" s="2" t="inlineStr">
        <is>
          <t>YoY implied EPS growth</t>
        </is>
      </c>
      <c r="B7" s="26" t="n">
        <v>0.07468780799919972</v>
      </c>
      <c r="D7" s="2" t="inlineStr">
        <is>
          <t>Earnings yield</t>
        </is>
      </c>
      <c r="E7" s="10" t="n">
        <v>0.08032128514056225</v>
      </c>
    </row>
    <row r="8">
      <c r="A8" s="2" t="inlineStr">
        <is>
          <t>Valuation score</t>
        </is>
      </c>
      <c r="B8" s="28" t="n">
        <v>91.79104477611941</v>
      </c>
      <c r="D8" s="2" t="inlineStr">
        <is>
          <t>Growth score</t>
        </is>
      </c>
      <c r="E8" s="28" t="n">
        <v>49.87512319967988</v>
      </c>
    </row>
    <row r="9">
      <c r="A9" s="2" t="inlineStr">
        <is>
          <t>Composite score</t>
        </is>
      </c>
      <c r="B9" s="28" t="n">
        <v>79.21626830318755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13.51860278783276</v>
      </c>
      <c r="C13" s="15" t="n">
        <v>6014.638117458892</v>
      </c>
      <c r="D13" s="30" t="n">
        <v>0.08583154922351466</v>
      </c>
    </row>
    <row r="14">
      <c r="A14" t="inlineStr">
        <is>
          <t>HOLD → SELL</t>
        </is>
      </c>
      <c r="B14" s="29" t="n">
        <v>15.97471733538851</v>
      </c>
      <c r="C14" s="15" t="n">
        <v>7107.401948930446</v>
      </c>
      <c r="D14" s="30" t="n">
        <v>0.2831098261356235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8</v>
      </c>
      <c r="C18" s="30" t="n">
        <v>0.202401945386922</v>
      </c>
      <c r="D18" s="30" t="n">
        <v>0.1942809331560093</v>
      </c>
      <c r="E18" s="30" t="n">
        <v>0.210225153131483</v>
      </c>
      <c r="F18" s="30" t="n"/>
      <c r="G18" s="30" t="n">
        <v>0</v>
      </c>
    </row>
    <row r="19">
      <c r="A19" t="inlineStr">
        <is>
          <t>Q2</t>
        </is>
      </c>
      <c r="B19" t="n">
        <v>9</v>
      </c>
      <c r="C19" s="30" t="n">
        <v>-0.02717757505292079</v>
      </c>
      <c r="D19" s="30" t="n">
        <v>0.1351270960508619</v>
      </c>
      <c r="E19" s="30" t="n">
        <v>0.1597958253068824</v>
      </c>
      <c r="F19" s="30" t="n">
        <v>0.1202291208985893</v>
      </c>
      <c r="G19" s="30" t="n">
        <v>0</v>
      </c>
    </row>
    <row r="20">
      <c r="A20" t="inlineStr">
        <is>
          <t>Q3</t>
        </is>
      </c>
      <c r="B20" t="n">
        <v>8</v>
      </c>
      <c r="C20" s="30" t="n">
        <v>0.09915391445135024</v>
      </c>
      <c r="D20" s="30" t="n">
        <v>0.1130976996849755</v>
      </c>
      <c r="E20" s="30" t="n">
        <v>0.1099059098461903</v>
      </c>
      <c r="F20" s="30" t="n">
        <v>0.1279964084345548</v>
      </c>
      <c r="G20" s="30" t="n">
        <v>0</v>
      </c>
    </row>
    <row r="21">
      <c r="A21" t="inlineStr">
        <is>
          <t>Q4</t>
        </is>
      </c>
      <c r="B21" t="n">
        <v>9</v>
      </c>
      <c r="C21" s="30" t="n">
        <v>0.1008086709852236</v>
      </c>
      <c r="D21" s="30" t="n">
        <v>0.06728819186066559</v>
      </c>
      <c r="E21" s="30" t="n">
        <v>0.08960430475611902</v>
      </c>
      <c r="F21" s="30" t="n"/>
      <c r="G21" s="30" t="n">
        <v>0.2857142857142857</v>
      </c>
    </row>
    <row r="22">
      <c r="A22" t="inlineStr">
        <is>
          <t>Q5 Most Expensive</t>
        </is>
      </c>
      <c r="B22" t="n">
        <v>10</v>
      </c>
      <c r="C22" s="30" t="n">
        <v>0.05554739690151644</v>
      </c>
      <c r="D22" s="30" t="n">
        <v>0.1084383016808521</v>
      </c>
      <c r="E22" s="30" t="n">
        <v>0.1129152073539865</v>
      </c>
      <c r="F22" s="30" t="n">
        <v>0.1063478141566007</v>
      </c>
      <c r="G22" s="30" t="n">
        <v>0.1428571428571428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44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3033.9</v>
      </c>
      <c r="C2" s="25" t="n">
        <v>20.55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3229.6</v>
      </c>
      <c r="C3" s="25" t="n">
        <v>18.8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3345.8</v>
      </c>
      <c r="C4" s="25" t="n">
        <v>17.97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3402.85</v>
      </c>
      <c r="C5" s="25" t="n">
        <v>17.84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3635.5</v>
      </c>
      <c r="C6" s="25" t="n">
        <v>16.53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3747.1</v>
      </c>
      <c r="C7" s="25" t="n">
        <v>16.89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3645.8</v>
      </c>
      <c r="C8" s="25" t="n">
        <v>15.71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3574.85</v>
      </c>
      <c r="C9" s="25" t="n">
        <v>14.04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3718.3</v>
      </c>
      <c r="C10" s="25" t="n">
        <v>14.55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3690.5</v>
      </c>
      <c r="C11" s="25" t="n">
        <v>14.38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3557</v>
      </c>
      <c r="C12" s="25" t="n">
        <v>13.1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3705.9</v>
      </c>
      <c r="C13" s="25" t="n">
        <v>12.68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3639.75</v>
      </c>
      <c r="C14" s="25" t="n">
        <v>12.35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3539.65</v>
      </c>
      <c r="C15" s="25" t="n">
        <v>11.98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3339.65</v>
      </c>
      <c r="C16" s="25" t="n">
        <v>11.3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3621.65</v>
      </c>
      <c r="C17" s="25" t="n">
        <v>12.26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3698.3</v>
      </c>
      <c r="C18" s="25" t="n">
        <v>13.28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3567.65</v>
      </c>
      <c r="C19" s="25" t="n">
        <v>12.79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3749.25</v>
      </c>
      <c r="C20" s="25" t="n">
        <v>13.37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3907.65</v>
      </c>
      <c r="C21" s="25" t="n">
        <v>15.47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3788.15</v>
      </c>
      <c r="C22" s="25" t="n">
        <v>15.02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3881.8</v>
      </c>
      <c r="C23" s="25" t="n">
        <v>15.52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3843.45</v>
      </c>
      <c r="C24" s="25" t="n">
        <v>16.09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3874.6</v>
      </c>
      <c r="C25" s="25" t="n">
        <v>14.84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3953.65</v>
      </c>
      <c r="C26" s="25" t="n">
        <v>15.05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4104.5</v>
      </c>
      <c r="C27" s="25" t="n">
        <v>16.12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4270</v>
      </c>
      <c r="C28" s="25" t="n">
        <v>16.81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4445.9</v>
      </c>
      <c r="C29" s="25" t="n">
        <v>16.87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4393.05</v>
      </c>
      <c r="C30" s="25" t="n">
        <v>15.11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4602.05</v>
      </c>
      <c r="C31" s="25" t="n">
        <v>15.9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4511.05</v>
      </c>
      <c r="C32" s="25" t="n">
        <v>14.86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4902.7</v>
      </c>
      <c r="C33" s="25" t="n">
        <v>15.39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5384.4</v>
      </c>
      <c r="C34" s="25" t="n">
        <v>17.1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5654.7</v>
      </c>
      <c r="C35" s="25" t="n">
        <v>17.13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5766.05</v>
      </c>
      <c r="C36" s="25" t="n">
        <v>17.26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5719.85</v>
      </c>
      <c r="C37" s="25" t="n">
        <v>16.69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5909.35</v>
      </c>
      <c r="C38" s="25" t="n">
        <v>17.12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5944.45</v>
      </c>
      <c r="C39" s="25" t="n">
        <v>16.76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6246.05</v>
      </c>
      <c r="C40" s="25" t="n">
        <v>17.72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6828.3</v>
      </c>
      <c r="C41" s="25" t="n">
        <v>19.43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6899.35</v>
      </c>
      <c r="C42" s="25" t="n">
        <v>19.71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6931.8</v>
      </c>
      <c r="C43" s="25" t="n">
        <v>19.69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6434.05</v>
      </c>
      <c r="C44" s="25" t="n">
        <v>18.54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6465.65</v>
      </c>
      <c r="C45" s="25" t="n">
        <v>17.9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6280.75</v>
      </c>
      <c r="C46" s="25" t="n">
        <v>17.32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6148.15</v>
      </c>
      <c r="C47" s="25" t="n">
        <v>16.78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5496.2</v>
      </c>
      <c r="C48" s="25" t="n">
        <v>14.59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5844.6</v>
      </c>
      <c r="C49" s="25" t="n">
        <v>14.7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5880.15</v>
      </c>
      <c r="C50" s="25" t="n">
        <v>14.77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5996</v>
      </c>
      <c r="C51" s="25" t="n">
        <v>14.84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6132.55</v>
      </c>
      <c r="C52" s="25" t="n">
        <v>15.22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5869</v>
      </c>
      <c r="C53" s="25" t="n">
        <v>14.51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5814.3</v>
      </c>
      <c r="C54" s="25" t="n">
        <v>14.01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5915.5</v>
      </c>
      <c r="C55" s="25" t="n">
        <v>14.34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6161.35</v>
      </c>
      <c r="C56" s="25" t="n">
        <v>14.7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6250.3</v>
      </c>
      <c r="C57" s="25" t="n">
        <v>14.74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6385.25</v>
      </c>
      <c r="C58" s="25" t="n">
        <v>15.01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6406.65</v>
      </c>
      <c r="C59" s="25" t="n">
        <v>14.99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6316.4</v>
      </c>
      <c r="C60" s="25" t="n">
        <v>14.51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5644.3</v>
      </c>
      <c r="C61" s="25" t="n">
        <v>13.51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6056.4</v>
      </c>
      <c r="C62" s="25" t="n">
        <v>14.41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5880.9</v>
      </c>
      <c r="C63" s="25" t="n">
        <v>13.59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5701.1</v>
      </c>
      <c r="C64" s="25" t="n">
        <v>12.75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5939.1</v>
      </c>
      <c r="C65" s="25" t="n">
        <v>13.47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5862.35</v>
      </c>
      <c r="C66" s="25" t="n">
        <v>13.31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5472.6</v>
      </c>
      <c r="C67" s="25" t="n">
        <v>12.41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1914.7</v>
      </c>
      <c r="C2" s="25" t="n">
        <v>16.47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IF(C2="","",(COUNTIFS($D$2:$D$45,D2,$C$2:$C$45,"&gt;0",$C$2:$C$45,"&lt;"&amp;C2)+(COUNTIFS($D$2:$D$45,D2,$C$2:$C$45,C2)+1)/2)/COUNTIFS($D$2:$D$45,D2,$C$2:$C$45,"&gt;0"))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42460</v>
      </c>
      <c r="B3" s="24" t="n">
        <v>1813.6</v>
      </c>
      <c r="C3" s="25" t="n">
        <v>15.66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IF(C3="","",(COUNTIFS($D$2:$D$45,D3,$C$2:$C$45,"&gt;0",$C$2:$C$45,"&lt;"&amp;C3)+(COUNTIFS($D$2:$D$45,D3,$C$2:$C$45,C3)+1)/2)/COUNTIFS($D$2:$D$45,D3,$C$2:$C$45,"&gt;0"))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42551</v>
      </c>
      <c r="B4" s="24" t="n">
        <v>1959.7</v>
      </c>
      <c r="C4" s="25" t="n">
        <v>20.18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IF(C4="","",(COUNTIFS($D$2:$D$45,D4,$C$2:$C$45,"&gt;0",$C$2:$C$45,"&lt;"&amp;C4)+(COUNTIFS($D$2:$D$45,D4,$C$2:$C$45,C4)+1)/2)/COUNTIFS($D$2:$D$45,D4,$C$2:$C$45,"&gt;0"))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42643</v>
      </c>
      <c r="B5" s="24" t="n">
        <v>2109.95</v>
      </c>
      <c r="C5" s="25" t="n">
        <v>22.77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IF(C5="","",(COUNTIFS($D$2:$D$45,D5,$C$2:$C$45,"&gt;0",$C$2:$C$45,"&lt;"&amp;C5)+(COUNTIFS($D$2:$D$45,D5,$C$2:$C$45,C5)+1)/2)/COUNTIFS($D$2:$D$45,D5,$C$2:$C$45,"&gt;0"))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42735</v>
      </c>
      <c r="B6" s="24" t="n">
        <v>2104.55</v>
      </c>
      <c r="C6" s="25" t="n">
        <v>15.87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IF(C6="","",(COUNTIFS($D$2:$D$45,D6,$C$2:$C$45,"&gt;0",$C$2:$C$45,"&lt;"&amp;C6)+(COUNTIFS($D$2:$D$45,D6,$C$2:$C$45,C6)+1)/2)/COUNTIFS($D$2:$D$45,D6,$C$2:$C$45,"&gt;0"))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42825</v>
      </c>
      <c r="B7" s="24" t="n">
        <v>2328.85</v>
      </c>
      <c r="C7" s="25" t="n">
        <v>16.69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IF(C7="","",(COUNTIFS($D$2:$D$45,D7,$C$2:$C$45,"&gt;0",$C$2:$C$45,"&lt;"&amp;C7)+(COUNTIFS($D$2:$D$45,D7,$C$2:$C$45,C7)+1)/2)/COUNTIFS($D$2:$D$45,D7,$C$2:$C$45,"&gt;0"))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42916</v>
      </c>
      <c r="B8" s="24" t="n">
        <v>2361.9</v>
      </c>
      <c r="C8" s="25" t="n">
        <v>16.82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IF(C8="","",(COUNTIFS($D$2:$D$45,D8,$C$2:$C$45,"&gt;0",$C$2:$C$45,"&lt;"&amp;C8)+(COUNTIFS($D$2:$D$45,D8,$C$2:$C$45,C8)+1)/2)/COUNTIFS($D$2:$D$45,D8,$C$2:$C$45,"&gt;0"))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43008</v>
      </c>
      <c r="B9" s="24" t="n">
        <v>2434.45</v>
      </c>
      <c r="C9" s="25" t="n">
        <v>18.15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IF(C9="","",(COUNTIFS($D$2:$D$45,D9,$C$2:$C$45,"&gt;0",$C$2:$C$45,"&lt;"&amp;C9)+(COUNTIFS($D$2:$D$45,D9,$C$2:$C$45,C9)+1)/2)/COUNTIFS($D$2:$D$45,D9,$C$2:$C$45,"&gt;0"))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43100</v>
      </c>
      <c r="B10" s="24" t="n">
        <v>2637.4</v>
      </c>
      <c r="C10" s="25" t="n">
        <v>18.54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IF(C10="","",(COUNTIFS($D$2:$D$45,D10,$C$2:$C$45,"&gt;0",$C$2:$C$45,"&lt;"&amp;C10)+(COUNTIFS($D$2:$D$45,D10,$C$2:$C$45,C10)+1)/2)/COUNTIFS($D$2:$D$45,D10,$C$2:$C$45,"&gt;0"))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43190</v>
      </c>
      <c r="B11" s="24" t="n">
        <v>2522.8</v>
      </c>
      <c r="C11" s="25" t="n">
        <v>16.85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IF(C11="","",(COUNTIFS($D$2:$D$45,D11,$C$2:$C$45,"&gt;0",$C$2:$C$45,"&lt;"&amp;C11)+(COUNTIFS($D$2:$D$45,D11,$C$2:$C$45,C11)+1)/2)/COUNTIFS($D$2:$D$45,D11,$C$2:$C$45,"&gt;0"))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43281</v>
      </c>
      <c r="B12" s="24" t="n">
        <v>2600</v>
      </c>
      <c r="C12" s="25" t="n">
        <v>16.5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IF(C12="","",(COUNTIFS($D$2:$D$45,D12,$C$2:$C$45,"&gt;0",$C$2:$C$45,"&lt;"&amp;C12)+(COUNTIFS($D$2:$D$45,D12,$C$2:$C$45,C12)+1)/2)/COUNTIFS($D$2:$D$45,D12,$C$2:$C$45,"&gt;0"))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43373</v>
      </c>
      <c r="B13" s="24" t="n">
        <v>2664.4</v>
      </c>
      <c r="C13" s="25" t="n">
        <v>16.4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IF(C13="","",(COUNTIFS($D$2:$D$45,D13,$C$2:$C$45,"&gt;0",$C$2:$C$45,"&lt;"&amp;C13)+(COUNTIFS($D$2:$D$45,D13,$C$2:$C$45,C13)+1)/2)/COUNTIFS($D$2:$D$45,D13,$C$2:$C$45,"&gt;0"))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43465</v>
      </c>
      <c r="B14" s="24" t="n">
        <v>2589.1</v>
      </c>
      <c r="C14" s="25" t="n">
        <v>15.79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IF(C14="","",(COUNTIFS($D$2:$D$45,D14,$C$2:$C$45,"&gt;0",$C$2:$C$45,"&lt;"&amp;C14)+(COUNTIFS($D$2:$D$45,D14,$C$2:$C$45,C14)+1)/2)/COUNTIFS($D$2:$D$45,D14,$C$2:$C$45,"&gt;0"))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43555</v>
      </c>
      <c r="B15" s="24" t="n">
        <v>2701.25</v>
      </c>
      <c r="C15" s="25" t="n">
        <v>15.84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IF(C15="","",(COUNTIFS($D$2:$D$45,D15,$C$2:$C$45,"&gt;0",$C$2:$C$45,"&lt;"&amp;C15)+(COUNTIFS($D$2:$D$45,D15,$C$2:$C$45,C15)+1)/2)/COUNTIFS($D$2:$D$45,D15,$C$2:$C$45,"&gt;0"))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43646</v>
      </c>
      <c r="B16" s="24" t="n">
        <v>2668.85</v>
      </c>
      <c r="C16" s="25" t="n">
        <v>15.16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IF(C16="","",(COUNTIFS($D$2:$D$45,D16,$C$2:$C$45,"&gt;0",$C$2:$C$45,"&lt;"&amp;C16)+(COUNTIFS($D$2:$D$45,D16,$C$2:$C$45,C16)+1)/2)/COUNTIFS($D$2:$D$45,D16,$C$2:$C$45,"&gt;0"))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43738</v>
      </c>
      <c r="B17" s="24" t="n">
        <v>2564.9</v>
      </c>
      <c r="C17" s="25" t="n">
        <v>15.18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IF(C17="","",(COUNTIFS($D$2:$D$45,D17,$C$2:$C$45,"&gt;0",$C$2:$C$45,"&lt;"&amp;C17)+(COUNTIFS($D$2:$D$45,D17,$C$2:$C$45,C17)+1)/2)/COUNTIFS($D$2:$D$45,D17,$C$2:$C$45,"&gt;0"))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43830</v>
      </c>
      <c r="B18" s="24" t="n">
        <v>2537.1</v>
      </c>
      <c r="C18" s="25" t="n">
        <v>14.66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IF(C18="","",(COUNTIFS($D$2:$D$45,D18,$C$2:$C$45,"&gt;0",$C$2:$C$45,"&lt;"&amp;C18)+(COUNTIFS($D$2:$D$45,D18,$C$2:$C$45,C18)+1)/2)/COUNTIFS($D$2:$D$45,D18,$C$2:$C$45,"&gt;0"))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43921</v>
      </c>
      <c r="B19" s="24" t="n">
        <v>1941.25</v>
      </c>
      <c r="C19" s="25" t="n">
        <v>11.28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IF(C19="","",(COUNTIFS($D$2:$D$45,D19,$C$2:$C$45,"&gt;0",$C$2:$C$45,"&lt;"&amp;C19)+(COUNTIFS($D$2:$D$45,D19,$C$2:$C$45,C19)+1)/2)/COUNTIFS($D$2:$D$45,D19,$C$2:$C$45,"&gt;0"))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44012</v>
      </c>
      <c r="B20" s="24" t="n">
        <v>2253.45</v>
      </c>
      <c r="C20" s="25" t="n">
        <v>14.4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IF(C20="","",(COUNTIFS($D$2:$D$45,D20,$C$2:$C$45,"&gt;0",$C$2:$C$45,"&lt;"&amp;C20)+(COUNTIFS($D$2:$D$45,D20,$C$2:$C$45,C20)+1)/2)/COUNTIFS($D$2:$D$45,D20,$C$2:$C$45,"&gt;0"))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44104</v>
      </c>
      <c r="B21" s="24" t="n">
        <v>2368.35</v>
      </c>
      <c r="C21" s="25" t="n">
        <v>16.86</v>
      </c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IF(C21="","",(COUNTIFS($D$2:$D$45,D21,$C$2:$C$45,"&gt;0",$C$2:$C$45,"&lt;"&amp;C21)+(COUNTIFS($D$2:$D$45,D21,$C$2:$C$45,C21)+1)/2)/COUNTIFS($D$2:$D$45,D21,$C$2:$C$45,"&gt;0"))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44196</v>
      </c>
      <c r="B22" s="24" t="n">
        <v>2857.35</v>
      </c>
      <c r="C22" s="25" t="n">
        <v>20.57</v>
      </c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IF(C22="","",(COUNTIFS($D$2:$D$45,D22,$C$2:$C$45,"&gt;0",$C$2:$C$45,"&lt;"&amp;C22)+(COUNTIFS($D$2:$D$45,D22,$C$2:$C$45,C22)+1)/2)/COUNTIFS($D$2:$D$45,D22,$C$2:$C$45,"&gt;0"))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44286</v>
      </c>
      <c r="B23" s="24" t="n">
        <v>3067.1</v>
      </c>
      <c r="C23" s="25" t="n">
        <v>21.13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IF(C23="","",(COUNTIFS($D$2:$D$45,D23,$C$2:$C$45,"&gt;0",$C$2:$C$45,"&lt;"&amp;C23)+(COUNTIFS($D$2:$D$45,D23,$C$2:$C$45,C23)+1)/2)/COUNTIFS($D$2:$D$45,D23,$C$2:$C$45,"&gt;0"))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44377</v>
      </c>
      <c r="B24" s="24" t="n">
        <v>3345.8</v>
      </c>
      <c r="C24" s="25" t="n">
        <v>17.97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IF(C24="","",(COUNTIFS($D$2:$D$45,D24,$C$2:$C$45,"&gt;0",$C$2:$C$45,"&lt;"&amp;C24)+(COUNTIFS($D$2:$D$45,D24,$C$2:$C$45,C24)+1)/2)/COUNTIFS($D$2:$D$45,D24,$C$2:$C$45,"&gt;0"))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44469</v>
      </c>
      <c r="B25" s="24" t="n">
        <v>3747.1</v>
      </c>
      <c r="C25" s="25" t="n">
        <v>16.89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IF(C25="","",(COUNTIFS($D$2:$D$45,D25,$C$2:$C$45,"&gt;0",$C$2:$C$45,"&lt;"&amp;C25)+(COUNTIFS($D$2:$D$45,D25,$C$2:$C$45,C25)+1)/2)/COUNTIFS($D$2:$D$45,D25,$C$2:$C$45,"&gt;0"))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44561</v>
      </c>
      <c r="B26" s="24" t="n">
        <v>3718.3</v>
      </c>
      <c r="C26" s="25" t="n">
        <v>14.55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IF(C26="","",(COUNTIFS($D$2:$D$45,D26,$C$2:$C$45,"&gt;0",$C$2:$C$45,"&lt;"&amp;C26)+(COUNTIFS($D$2:$D$45,D26,$C$2:$C$45,C26)+1)/2)/COUNTIFS($D$2:$D$45,D26,$C$2:$C$45,"&gt;0"))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44651</v>
      </c>
      <c r="B27" s="24" t="n">
        <v>3705.9</v>
      </c>
      <c r="C27" s="25" t="n">
        <v>12.68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IF(C27="","",(COUNTIFS($D$2:$D$45,D27,$C$2:$C$45,"&gt;0",$C$2:$C$45,"&lt;"&amp;C27)+(COUNTIFS($D$2:$D$45,D27,$C$2:$C$45,C27)+1)/2)/COUNTIFS($D$2:$D$45,D27,$C$2:$C$45,"&gt;0"))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44742</v>
      </c>
      <c r="B28" s="24" t="n">
        <v>3339.65</v>
      </c>
      <c r="C28" s="25" t="n">
        <v>11.3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IF(C28="","",(COUNTIFS($D$2:$D$45,D28,$C$2:$C$45,"&gt;0",$C$2:$C$45,"&lt;"&amp;C28)+(COUNTIFS($D$2:$D$45,D28,$C$2:$C$45,C28)+1)/2)/COUNTIFS($D$2:$D$45,D28,$C$2:$C$45,"&gt;0"))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44834</v>
      </c>
      <c r="B29" s="24" t="n">
        <v>3567.65</v>
      </c>
      <c r="C29" s="25" t="n">
        <v>12.79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IF(C29="","",(COUNTIFS($D$2:$D$45,D29,$C$2:$C$45,"&gt;0",$C$2:$C$45,"&lt;"&amp;C29)+(COUNTIFS($D$2:$D$45,D29,$C$2:$C$45,C29)+1)/2)/COUNTIFS($D$2:$D$45,D29,$C$2:$C$45,"&gt;0"))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44926</v>
      </c>
      <c r="B30" s="24" t="n">
        <v>3788.15</v>
      </c>
      <c r="C30" s="25" t="n">
        <v>15.02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IF(C30="","",(COUNTIFS($D$2:$D$45,D30,$C$2:$C$45,"&gt;0",$C$2:$C$45,"&lt;"&amp;C30)+(COUNTIFS($D$2:$D$45,D30,$C$2:$C$45,C30)+1)/2)/COUNTIFS($D$2:$D$45,D30,$C$2:$C$45,"&gt;0"))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45016</v>
      </c>
      <c r="B31" s="24" t="n">
        <v>3874.6</v>
      </c>
      <c r="C31" s="25" t="n">
        <v>14.84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IF(C31="","",(COUNTIFS($D$2:$D$45,D31,$C$2:$C$45,"&gt;0",$C$2:$C$45,"&lt;"&amp;C31)+(COUNTIFS($D$2:$D$45,D31,$C$2:$C$45,C31)+1)/2)/COUNTIFS($D$2:$D$45,D31,$C$2:$C$45,"&gt;0"))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45107</v>
      </c>
      <c r="B32" s="24" t="n">
        <v>4270</v>
      </c>
      <c r="C32" s="25" t="n">
        <v>16.81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IF(C32="","",(COUNTIFS($D$2:$D$45,D32,$C$2:$C$45,"&gt;0",$C$2:$C$45,"&lt;"&amp;C32)+(COUNTIFS($D$2:$D$45,D32,$C$2:$C$45,C32)+1)/2)/COUNTIFS($D$2:$D$45,D32,$C$2:$C$45,"&gt;0"))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45199</v>
      </c>
      <c r="B33" s="24" t="n">
        <v>4602.05</v>
      </c>
      <c r="C33" s="25" t="n">
        <v>15.9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IF(C33="","",(COUNTIFS($D$2:$D$45,D33,$C$2:$C$45,"&gt;0",$C$2:$C$45,"&lt;"&amp;C33)+(COUNTIFS($D$2:$D$45,D33,$C$2:$C$45,C33)+1)/2)/COUNTIFS($D$2:$D$45,D33,$C$2:$C$45,"&gt;0"))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 t="n"/>
      <c r="L33" s="30" t="n"/>
    </row>
    <row r="34">
      <c r="A34" s="31" t="n">
        <v>45291</v>
      </c>
      <c r="B34" s="24" t="n">
        <v>5384.4</v>
      </c>
      <c r="C34" s="25" t="n">
        <v>17.1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IF(C34="","",(COUNTIFS($D$2:$D$45,D34,$C$2:$C$45,"&gt;0",$C$2:$C$45,"&lt;"&amp;C34)+(COUNTIFS($D$2:$D$45,D34,$C$2:$C$45,C34)+1)/2)/COUNTIFS($D$2:$D$45,D34,$C$2:$C$45,"&gt;0"))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45382</v>
      </c>
      <c r="B35" s="24" t="n">
        <v>5719.85</v>
      </c>
      <c r="C35" s="25" t="n">
        <v>16.69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IF(C35="","",(COUNTIFS($D$2:$D$45,D35,$C$2:$C$45,"&gt;0",$C$2:$C$45,"&lt;"&amp;C35)+(COUNTIFS($D$2:$D$45,D35,$C$2:$C$45,C35)+1)/2)/COUNTIFS($D$2:$D$45,D35,$C$2:$C$45,"&gt;0"))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45473</v>
      </c>
      <c r="B36" s="24" t="n">
        <v>6246.05</v>
      </c>
      <c r="C36" s="25" t="n">
        <v>17.72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IF(C36="","",(COUNTIFS($D$2:$D$45,D36,$C$2:$C$45,"&gt;0",$C$2:$C$45,"&lt;"&amp;C36)+(COUNTIFS($D$2:$D$45,D36,$C$2:$C$45,C36)+1)/2)/COUNTIFS($D$2:$D$45,D36,$C$2:$C$45,"&gt;0"))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45565</v>
      </c>
      <c r="B37" s="24" t="n">
        <v>6931.8</v>
      </c>
      <c r="C37" s="25" t="n">
        <v>19.69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IF(C37="","",(COUNTIFS($D$2:$D$45,D37,$C$2:$C$45,"&gt;0",$C$2:$C$45,"&lt;"&amp;C37)+(COUNTIFS($D$2:$D$45,D37,$C$2:$C$45,C37)+1)/2)/COUNTIFS($D$2:$D$45,D37,$C$2:$C$45,"&gt;0"))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45657</v>
      </c>
      <c r="B38" s="24" t="n">
        <v>6280.75</v>
      </c>
      <c r="C38" s="25" t="n">
        <v>17.32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IF(C38="","",(COUNTIFS($D$2:$D$45,D38,$C$2:$C$45,"&gt;0",$C$2:$C$45,"&lt;"&amp;C38)+(COUNTIFS($D$2:$D$45,D38,$C$2:$C$45,C38)+1)/2)/COUNTIFS($D$2:$D$45,D38,$C$2:$C$45,"&gt;0"))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45747</v>
      </c>
      <c r="B39" s="24" t="n">
        <v>5844.6</v>
      </c>
      <c r="C39" s="25" t="n">
        <v>14.7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IF(C39="","",(COUNTIFS($D$2:$D$45,D39,$C$2:$C$45,"&gt;0",$C$2:$C$45,"&lt;"&amp;C39)+(COUNTIFS($D$2:$D$45,D39,$C$2:$C$45,C39)+1)/2)/COUNTIFS($D$2:$D$45,D39,$C$2:$C$45,"&gt;0"))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45838</v>
      </c>
      <c r="B40" s="24" t="n">
        <v>6132.55</v>
      </c>
      <c r="C40" s="25" t="n">
        <v>15.22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IF(C40="","",(COUNTIFS($D$2:$D$45,D40,$C$2:$C$45,"&gt;0",$C$2:$C$45,"&lt;"&amp;C40)+(COUNTIFS($D$2:$D$45,D40,$C$2:$C$45,C40)+1)/2)/COUNTIFS($D$2:$D$45,D40,$C$2:$C$45,"&gt;0"))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45930</v>
      </c>
      <c r="B41" s="24" t="n">
        <v>5915.5</v>
      </c>
      <c r="C41" s="25" t="n">
        <v>14.34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IF(C41="","",(COUNTIFS($D$2:$D$45,D41,$C$2:$C$45,"&gt;0",$C$2:$C$45,"&lt;"&amp;C41)+(COUNTIFS($D$2:$D$45,D41,$C$2:$C$45,C41)+1)/2)/COUNTIFS($D$2:$D$45,D41,$C$2:$C$45,"&gt;0"))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 t="n"/>
      <c r="K41" s="30" t="n"/>
      <c r="L41" s="30" t="n"/>
    </row>
    <row r="42">
      <c r="A42" s="31" t="n">
        <v>46022</v>
      </c>
      <c r="B42" s="24" t="n">
        <v>6385.25</v>
      </c>
      <c r="C42" s="25" t="n">
        <v>15.01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IF(C42="","",(COUNTIFS($D$2:$D$45,D42,$C$2:$C$45,"&gt;0",$C$2:$C$45,"&lt;"&amp;C42)+(COUNTIFS($D$2:$D$45,D42,$C$2:$C$45,C42)+1)/2)/COUNTIFS($D$2:$D$45,D42,$C$2:$C$45,"&gt;0"))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46112</v>
      </c>
      <c r="B43" s="24" t="n">
        <v>5644.3</v>
      </c>
      <c r="C43" s="25" t="n">
        <v>13.51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IF(C43="","",(COUNTIFS($D$2:$D$45,D43,$C$2:$C$45,"&gt;0",$C$2:$C$45,"&lt;"&amp;C43)+(COUNTIFS($D$2:$D$45,D43,$C$2:$C$45,C43)+1)/2)/COUNTIFS($D$2:$D$45,D43,$C$2:$C$45,"&gt;0"))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46203</v>
      </c>
      <c r="B44" s="24" t="n">
        <v>5701.1</v>
      </c>
      <c r="C44" s="25" t="n">
        <v>12.75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IF(C44="","",(COUNTIFS($D$2:$D$45,D44,$C$2:$C$45,"&gt;0",$C$2:$C$45,"&lt;"&amp;C44)+(COUNTIFS($D$2:$D$45,D44,$C$2:$C$45,C44)+1)/2)/COUNTIFS($D$2:$D$45,D44,$C$2:$C$45,"&gt;0"))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  <row r="45">
      <c r="A45" s="31" t="n">
        <v>46295</v>
      </c>
      <c r="B45" s="24" t="n">
        <v>5472.6</v>
      </c>
      <c r="C45" s="25" t="n">
        <v>12.41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IF(C45="","",(COUNTIFS($D$2:$D$45,D45,$C$2:$C$45,"&gt;0",$C$2:$C$45,"&lt;"&amp;C45)+(COUNTIFS($D$2:$D$45,D45,$C$2:$C$45,C45)+1)/2)/COUNTIFS($D$2:$D$45,D45,$C$2:$C$45,"&gt;0"))</f>
        <v/>
      </c>
      <c r="H45">
        <f>IF(G45="","",IF(G45&lt;=20%,"Q1 Cheapest",IF(G45&lt;=40%,"Q2",IF(G45&lt;=60%,"Q3",IF(G45&lt;=80%,"Q4","Q5 Most Expensive")))))</f>
        <v/>
      </c>
      <c r="I45" s="30" t="n"/>
      <c r="J45" s="30" t="n"/>
      <c r="K45" s="30" t="n"/>
      <c r="L4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7" customWidth="1" min="4" max="4"/>
    <col width="17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5639.9</v>
      </c>
      <c r="C2" s="25" t="n">
        <v>12.8</v>
      </c>
      <c r="D2" s="26" t="n">
        <v>0.113636363636</v>
      </c>
      <c r="E2" s="26" t="n">
        <v>0.0613695504873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5644.75</v>
      </c>
      <c r="C3" s="25" t="n">
        <v>12.82</v>
      </c>
      <c r="D3" s="26" t="n">
        <v>0.113636363636</v>
      </c>
      <c r="E3" s="26" t="n">
        <v>0.0609484544246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5626.45</v>
      </c>
      <c r="C4" s="25" t="n">
        <v>12.77</v>
      </c>
      <c r="D4" s="26" t="n">
        <v>0.09848484848480001</v>
      </c>
      <c r="E4" s="26" t="n">
        <v>0.0616756549892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5657.15</v>
      </c>
      <c r="C5" s="25" t="n">
        <v>12.84</v>
      </c>
      <c r="D5" s="26" t="n">
        <v>0.113636363636</v>
      </c>
      <c r="E5" s="26" t="n">
        <v>0.061260208439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5600.35</v>
      </c>
      <c r="C6" s="25" t="n">
        <v>12.71</v>
      </c>
      <c r="D6" s="26" t="n">
        <v>0.08333333333329999</v>
      </c>
      <c r="E6" s="26" t="n">
        <v>0.0614379896816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5605</v>
      </c>
      <c r="C7" s="25" t="n">
        <v>12.73</v>
      </c>
      <c r="D7" s="26" t="n">
        <v>0.08333333333329999</v>
      </c>
      <c r="E7" s="26" t="n">
        <v>0.0610048929947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5518.65</v>
      </c>
      <c r="C8" s="25" t="n">
        <v>12.53</v>
      </c>
      <c r="D8" s="26" t="n">
        <v>0.0681818181818</v>
      </c>
      <c r="E8" s="26" t="n">
        <v>0.0615785015477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5479.35</v>
      </c>
      <c r="C9" s="25" t="n">
        <v>12.44</v>
      </c>
      <c r="D9" s="26" t="n">
        <v>0.0681818181818</v>
      </c>
      <c r="E9" s="26" t="n">
        <v>0.0612289514121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5472.6</v>
      </c>
      <c r="C10" s="25" t="n">
        <v>12.41</v>
      </c>
      <c r="D10" s="26" t="n">
        <v>0.0746268656716</v>
      </c>
      <c r="E10" s="26" t="n">
        <v>0.0690047064245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5420</v>
      </c>
      <c r="C11" s="25" t="n">
        <v>12.29</v>
      </c>
      <c r="D11" s="26" t="n">
        <v>0.0522388059701</v>
      </c>
      <c r="E11" s="26" t="n">
        <v>0.068793006622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5459.2</v>
      </c>
      <c r="C12" s="25" t="n">
        <v>12.38</v>
      </c>
      <c r="D12" s="26" t="n">
        <v>0.0671641791045</v>
      </c>
      <c r="E12" s="26" t="n">
        <v>0.0691509314368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5466.15</v>
      </c>
      <c r="C13" s="25" t="n">
        <v>12.4</v>
      </c>
      <c r="D13" s="26" t="n">
        <v>0.0671641791045</v>
      </c>
      <c r="E13" s="26" t="n">
        <v>0.06892688997599999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5411.1</v>
      </c>
      <c r="C14" s="25" t="n">
        <v>12.27</v>
      </c>
      <c r="D14" s="26" t="n">
        <v>0.0522388059701</v>
      </c>
      <c r="E14" s="26" t="n">
        <v>0.06907898711469999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5319.75</v>
      </c>
      <c r="C15" s="25" t="n">
        <v>12.07</v>
      </c>
      <c r="D15" s="26" t="n">
        <v>0.0373134328358</v>
      </c>
      <c r="E15" s="26" t="n">
        <v>0.0686605260643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5419.85</v>
      </c>
      <c r="C16" s="25" t="n">
        <v>12.29</v>
      </c>
      <c r="D16" s="26" t="n">
        <v>0.0522388059701</v>
      </c>
      <c r="E16" s="26" t="n">
        <v>0.0689234979813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5378.5</v>
      </c>
      <c r="C17" s="25" t="n">
        <v>12.18</v>
      </c>
      <c r="D17" s="26" t="n">
        <v>0.0373134328358</v>
      </c>
      <c r="E17" s="26" t="n">
        <v>0.070636306265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5513</v>
      </c>
      <c r="C18" s="25" t="n">
        <v>12.47</v>
      </c>
      <c r="D18" s="26" t="n">
        <v>0.0820895522388</v>
      </c>
      <c r="E18" s="26" t="n">
        <v>0.0715778505644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5534.05</v>
      </c>
      <c r="C19" s="25" t="n">
        <v>12.52</v>
      </c>
      <c r="D19" s="26" t="n">
        <v>0.0820895522388</v>
      </c>
      <c r="E19" s="26" t="n">
        <v>0.0713948227707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5571.15</v>
      </c>
      <c r="C20" s="25" t="n">
        <v>12.59</v>
      </c>
      <c r="D20" s="26" t="n">
        <v>0.0820895522388</v>
      </c>
      <c r="E20" s="26" t="n">
        <v>0.0724258565058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5631.45</v>
      </c>
      <c r="C21" s="25" t="n">
        <v>12.71</v>
      </c>
      <c r="D21" s="26" t="n">
        <v>0.0970149253731</v>
      </c>
      <c r="E21" s="26" t="n">
        <v>0.0737289478969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5598.5</v>
      </c>
      <c r="C22" s="25" t="n">
        <v>12.62</v>
      </c>
      <c r="D22" s="26" t="n">
        <v>0.0820895522388</v>
      </c>
      <c r="E22" s="26" t="n">
        <v>0.0725563801741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  <row r="23">
      <c r="A23" s="31" t="n">
        <v>46316</v>
      </c>
      <c r="B23" s="24" t="n">
        <v>5609.55</v>
      </c>
      <c r="C23" s="25" t="n">
        <v>12.65</v>
      </c>
      <c r="D23" s="26" t="n">
        <v>0.0820895522388</v>
      </c>
      <c r="E23" s="26" t="n">
        <v>0.07154017652649999</v>
      </c>
      <c r="F23" s="34">
        <f>IF(D23="","",100*(1-D23))</f>
        <v/>
      </c>
      <c r="G23" s="34">
        <f>IF(E23="","",IF(E23&lt;=0,20,IF(E23&lt;5%,20+400*E23,IF(E23&lt;10%,40+400*(E23-5%),IF(E23&lt;15%,60+400*(E23-10%),IF(E23&lt;25%,80+200*(E23-15%),100))))))</f>
        <v/>
      </c>
      <c r="H23" s="34">
        <f>IF(OR(F23="",G23=""),"",70%*F23+30%*G23)</f>
        <v/>
      </c>
      <c r="I23">
        <f>IF(H23="","",IF(H23&gt;=70,"BUY",IF(H23&gt;=40,"HOLD","SELL")))</f>
        <v/>
      </c>
    </row>
    <row r="24">
      <c r="A24" s="31" t="n">
        <v>46317</v>
      </c>
      <c r="B24" s="24" t="n">
        <v>5580.35</v>
      </c>
      <c r="C24" s="25" t="n">
        <v>12.55</v>
      </c>
      <c r="D24" s="26" t="n">
        <v>0.0820895522388</v>
      </c>
      <c r="E24" s="26" t="n">
        <v>0.0744560961205</v>
      </c>
      <c r="F24" s="34">
        <f>IF(D24="","",100*(1-D24))</f>
        <v/>
      </c>
      <c r="G24" s="34">
        <f>IF(E24="","",IF(E24&lt;=0,20,IF(E24&lt;5%,20+400*E24,IF(E24&lt;10%,40+400*(E24-5%),IF(E24&lt;15%,60+400*(E24-10%),IF(E24&lt;25%,80+200*(E24-15%),100))))))</f>
        <v/>
      </c>
      <c r="H24" s="34">
        <f>IF(OR(F24="",G24=""),"",70%*F24+30%*G24)</f>
        <v/>
      </c>
      <c r="I24">
        <f>IF(H24="","",IF(H24&gt;=70,"BUY",IF(H24&gt;=40,"HOLD","SELL")))</f>
        <v/>
      </c>
    </row>
    <row r="25">
      <c r="A25" s="31" t="n">
        <v>46318</v>
      </c>
      <c r="B25" s="24" t="n">
        <v>5510.75</v>
      </c>
      <c r="C25" s="25" t="n">
        <v>12.39</v>
      </c>
      <c r="D25" s="26" t="n">
        <v>0.0671641791045</v>
      </c>
      <c r="E25" s="26" t="n">
        <v>0.0744593636597</v>
      </c>
      <c r="F25" s="34">
        <f>IF(D25="","",100*(1-D25))</f>
        <v/>
      </c>
      <c r="G25" s="34">
        <f>IF(E25="","",IF(E25&lt;=0,20,IF(E25&lt;5%,20+400*E25,IF(E25&lt;10%,40+400*(E25-5%),IF(E25&lt;15%,60+400*(E25-10%),IF(E25&lt;25%,80+200*(E25-15%),100))))))</f>
        <v/>
      </c>
      <c r="H25" s="34">
        <f>IF(OR(F25="",G25=""),"",70%*F25+30%*G25)</f>
        <v/>
      </c>
      <c r="I25">
        <f>IF(H25="","",IF(H25&gt;=70,"BUY",IF(H25&gt;=40,"HOLD","SELL")))</f>
        <v/>
      </c>
    </row>
    <row r="26">
      <c r="A26" s="31" t="n">
        <v>46321</v>
      </c>
      <c r="B26" s="24" t="n">
        <v>5539.2</v>
      </c>
      <c r="C26" s="25" t="n">
        <v>12.45</v>
      </c>
      <c r="D26" s="26" t="n">
        <v>0.0820895522388</v>
      </c>
      <c r="E26" s="26" t="n">
        <v>0.0746878079992</v>
      </c>
      <c r="F26" s="34">
        <f>IF(D26="","",100*(1-D26))</f>
        <v/>
      </c>
      <c r="G26" s="34">
        <f>IF(E26="","",IF(E26&lt;=0,20,IF(E26&lt;5%,20+400*E26,IF(E26&lt;10%,40+400*(E26-5%),IF(E26&lt;15%,60+400*(E26-10%),IF(E26&lt;25%,80+200*(E26-15%),100))))))</f>
        <v/>
      </c>
      <c r="H26" s="34">
        <f>IF(OR(F26="",G26=""),"",70%*F26+30%*G26)</f>
        <v/>
      </c>
      <c r="I26">
        <f>IF(H26="","",IF(H26&gt;=70,"BUY",IF(H26&gt;=40,"HOLD","SELL")))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2" customWidth="1" min="3" max="3"/>
    <col width="32" customWidth="1" min="4" max="4"/>
    <col width="15" customWidth="1" min="5" max="5"/>
  </cols>
  <sheetData>
    <row r="1">
      <c r="A1" s="35" t="inlineStr">
        <is>
          <t>NIFTY Dividend Opportunities 50 Composition</t>
        </is>
      </c>
    </row>
    <row r="2">
      <c r="A2" s="2" t="inlineStr">
        <is>
          <t>As of</t>
        </is>
      </c>
      <c r="B2" s="4" t="inlineStr">
        <is>
          <t>Retrieved 2026-10-26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Angel One Ltd.</t>
        </is>
      </c>
      <c r="C6" t="inlineStr">
        <is>
          <t>ANGELONE</t>
        </is>
      </c>
      <c r="D6" t="inlineStr">
        <is>
          <t>Financial Services</t>
        </is>
      </c>
    </row>
    <row r="7">
      <c r="A7" t="n">
        <v>2</v>
      </c>
      <c r="B7" t="inlineStr">
        <is>
          <t>Ashok Leyland Ltd.</t>
        </is>
      </c>
      <c r="C7" t="inlineStr">
        <is>
          <t>ASHOKLEY</t>
        </is>
      </c>
      <c r="D7" t="inlineStr">
        <is>
          <t>Capital Goods</t>
        </is>
      </c>
    </row>
    <row r="8">
      <c r="A8" t="n">
        <v>3</v>
      </c>
      <c r="B8" t="inlineStr">
        <is>
          <t>Bajaj Auto Ltd.</t>
        </is>
      </c>
      <c r="C8" t="inlineStr">
        <is>
          <t>BAJAJ-AUTO</t>
        </is>
      </c>
      <c r="D8" t="inlineStr">
        <is>
          <t>Automobile and Auto Components</t>
        </is>
      </c>
    </row>
    <row r="9">
      <c r="A9" t="n">
        <v>4</v>
      </c>
      <c r="B9" t="inlineStr">
        <is>
          <t>Bank of Baroda</t>
        </is>
      </c>
      <c r="C9" t="inlineStr">
        <is>
          <t>BANKBARODA</t>
        </is>
      </c>
      <c r="D9" t="inlineStr">
        <is>
          <t>Financial Services</t>
        </is>
      </c>
    </row>
    <row r="10">
      <c r="A10" t="n">
        <v>5</v>
      </c>
      <c r="B10" t="inlineStr">
        <is>
          <t>Bank of India</t>
        </is>
      </c>
      <c r="C10" t="inlineStr">
        <is>
          <t>BANKINDIA</t>
        </is>
      </c>
      <c r="D10" t="inlineStr">
        <is>
          <t>Financial Services</t>
        </is>
      </c>
    </row>
    <row r="11">
      <c r="A11" t="n">
        <v>6</v>
      </c>
      <c r="B11" t="inlineStr">
        <is>
          <t>Bank of Maharashtra</t>
        </is>
      </c>
      <c r="C11" t="inlineStr">
        <is>
          <t>MAHABANK</t>
        </is>
      </c>
      <c r="D11" t="inlineStr">
        <is>
          <t>Financial Services</t>
        </is>
      </c>
    </row>
    <row r="12">
      <c r="A12" t="n">
        <v>7</v>
      </c>
      <c r="B12" t="inlineStr">
        <is>
          <t>Bharat Petroleum Corporation Ltd.</t>
        </is>
      </c>
      <c r="C12" t="inlineStr">
        <is>
          <t>BPCL</t>
        </is>
      </c>
      <c r="D12" t="inlineStr">
        <is>
          <t>Oil Gas &amp; Consumable Fuels</t>
        </is>
      </c>
    </row>
    <row r="13">
      <c r="A13" t="n">
        <v>8</v>
      </c>
      <c r="B13" t="inlineStr">
        <is>
          <t>Britannia Industries Ltd.</t>
        </is>
      </c>
      <c r="C13" t="inlineStr">
        <is>
          <t>BRITANNIA</t>
        </is>
      </c>
      <c r="D13" t="inlineStr">
        <is>
          <t>Fast Moving Consumer Goods</t>
        </is>
      </c>
    </row>
    <row r="14">
      <c r="A14" t="n">
        <v>9</v>
      </c>
      <c r="B14" t="inlineStr">
        <is>
          <t>Canara Bank</t>
        </is>
      </c>
      <c r="C14" t="inlineStr">
        <is>
          <t>CANBK</t>
        </is>
      </c>
      <c r="D14" t="inlineStr">
        <is>
          <t>Financial Services</t>
        </is>
      </c>
    </row>
    <row r="15">
      <c r="A15" t="n">
        <v>10</v>
      </c>
      <c r="B15" t="inlineStr">
        <is>
          <t>Coal India Ltd.</t>
        </is>
      </c>
      <c r="C15" t="inlineStr">
        <is>
          <t>COALINDIA</t>
        </is>
      </c>
      <c r="D15" t="inlineStr">
        <is>
          <t>Oil Gas &amp; Consumable Fuels</t>
        </is>
      </c>
    </row>
    <row r="16">
      <c r="A16" t="n">
        <v>11</v>
      </c>
      <c r="B16" t="inlineStr">
        <is>
          <t>Colgate Palmolive (India) Ltd.</t>
        </is>
      </c>
      <c r="C16" t="inlineStr">
        <is>
          <t>COLPAL</t>
        </is>
      </c>
      <c r="D16" t="inlineStr">
        <is>
          <t>Fast Moving Consumer Goods</t>
        </is>
      </c>
    </row>
    <row r="17">
      <c r="A17" t="n">
        <v>12</v>
      </c>
      <c r="B17" t="inlineStr">
        <is>
          <t>Cummins India Ltd.</t>
        </is>
      </c>
      <c r="C17" t="inlineStr">
        <is>
          <t>CUMMINSIND</t>
        </is>
      </c>
      <c r="D17" t="inlineStr">
        <is>
          <t>Capital Goods</t>
        </is>
      </c>
    </row>
    <row r="18">
      <c r="A18" t="n">
        <v>13</v>
      </c>
      <c r="B18" t="inlineStr">
        <is>
          <t>GAIL (India) Ltd.</t>
        </is>
      </c>
      <c r="C18" t="inlineStr">
        <is>
          <t>GAIL</t>
        </is>
      </c>
      <c r="D18" t="inlineStr">
        <is>
          <t>Oil Gas &amp; Consumable Fuels</t>
        </is>
      </c>
    </row>
    <row r="19">
      <c r="A19" t="n">
        <v>14</v>
      </c>
      <c r="B19" t="inlineStr">
        <is>
          <t>Godrej Consumer Products Ltd.</t>
        </is>
      </c>
      <c r="C19" t="inlineStr">
        <is>
          <t>GODREJCP</t>
        </is>
      </c>
      <c r="D19" t="inlineStr">
        <is>
          <t>Fast Moving Consumer Goods</t>
        </is>
      </c>
    </row>
    <row r="20">
      <c r="A20" t="n">
        <v>15</v>
      </c>
      <c r="B20" t="inlineStr">
        <is>
          <t>HCL Technologies Ltd.</t>
        </is>
      </c>
      <c r="C20" t="inlineStr">
        <is>
          <t>HCLTECH</t>
        </is>
      </c>
      <c r="D20" t="inlineStr">
        <is>
          <t>Information Technology</t>
        </is>
      </c>
    </row>
    <row r="21">
      <c r="A21" t="n">
        <v>16</v>
      </c>
      <c r="B21" t="inlineStr">
        <is>
          <t>HDFC Asset Management Company Ltd.</t>
        </is>
      </c>
      <c r="C21" t="inlineStr">
        <is>
          <t>HDFCAMC</t>
        </is>
      </c>
      <c r="D21" t="inlineStr">
        <is>
          <t>Financial Services</t>
        </is>
      </c>
    </row>
    <row r="22">
      <c r="A22" t="n">
        <v>17</v>
      </c>
      <c r="B22" t="inlineStr">
        <is>
          <t>Hero MotoCorp Ltd.</t>
        </is>
      </c>
      <c r="C22" t="inlineStr">
        <is>
          <t>HEROMOTOCO</t>
        </is>
      </c>
      <c r="D22" t="inlineStr">
        <is>
          <t>Automobile and Auto Components</t>
        </is>
      </c>
    </row>
    <row r="23">
      <c r="A23" t="n">
        <v>18</v>
      </c>
      <c r="B23" t="inlineStr">
        <is>
          <t>Hindustan Petroleum Corporation Ltd.</t>
        </is>
      </c>
      <c r="C23" t="inlineStr">
        <is>
          <t>HINDPETRO</t>
        </is>
      </c>
      <c r="D23" t="inlineStr">
        <is>
          <t>Oil Gas &amp; Consumable Fuels</t>
        </is>
      </c>
    </row>
    <row r="24">
      <c r="A24" t="n">
        <v>19</v>
      </c>
      <c r="B24" t="inlineStr">
        <is>
          <t>Hindustan Unilever Ltd.</t>
        </is>
      </c>
      <c r="C24" t="inlineStr">
        <is>
          <t>HINDUNILVR</t>
        </is>
      </c>
      <c r="D24" t="inlineStr">
        <is>
          <t>Fast Moving Consumer Goods</t>
        </is>
      </c>
    </row>
    <row r="25">
      <c r="A25" t="n">
        <v>20</v>
      </c>
      <c r="B25" t="inlineStr">
        <is>
          <t>Hindustan Zinc Ltd.</t>
        </is>
      </c>
      <c r="C25" t="inlineStr">
        <is>
          <t>HINDZINC</t>
        </is>
      </c>
      <c r="D25" t="inlineStr">
        <is>
          <t>Metals &amp; Mining</t>
        </is>
      </c>
    </row>
    <row r="26">
      <c r="A26" t="n">
        <v>21</v>
      </c>
      <c r="B26" t="inlineStr">
        <is>
          <t>Housing &amp; Urban Development Corporation Ltd.</t>
        </is>
      </c>
      <c r="C26" t="inlineStr">
        <is>
          <t>HUDCO</t>
        </is>
      </c>
      <c r="D26" t="inlineStr">
        <is>
          <t>Financial Services</t>
        </is>
      </c>
    </row>
    <row r="27">
      <c r="A27" t="n">
        <v>22</v>
      </c>
      <c r="B27" t="inlineStr">
        <is>
          <t>Indian Bank</t>
        </is>
      </c>
      <c r="C27" t="inlineStr">
        <is>
          <t>INDIANB</t>
        </is>
      </c>
      <c r="D27" t="inlineStr">
        <is>
          <t>Financial Services</t>
        </is>
      </c>
    </row>
    <row r="28">
      <c r="A28" t="n">
        <v>23</v>
      </c>
      <c r="B28" t="inlineStr">
        <is>
          <t>Indian Oil Corporation Ltd.</t>
        </is>
      </c>
      <c r="C28" t="inlineStr">
        <is>
          <t>IOC</t>
        </is>
      </c>
      <c r="D28" t="inlineStr">
        <is>
          <t>Oil Gas &amp; Consumable Fuels</t>
        </is>
      </c>
    </row>
    <row r="29">
      <c r="A29" t="n">
        <v>24</v>
      </c>
      <c r="B29" t="inlineStr">
        <is>
          <t>Indian Railway Finance Corporation Ltd.</t>
        </is>
      </c>
      <c r="C29" t="inlineStr">
        <is>
          <t>IRFC</t>
        </is>
      </c>
      <c r="D29" t="inlineStr">
        <is>
          <t>Financial Services</t>
        </is>
      </c>
    </row>
    <row r="30">
      <c r="A30" t="n">
        <v>25</v>
      </c>
      <c r="B30" t="inlineStr">
        <is>
          <t>Infosys Ltd.</t>
        </is>
      </c>
      <c r="C30" t="inlineStr">
        <is>
          <t>INFY</t>
        </is>
      </c>
      <c r="D30" t="inlineStr">
        <is>
          <t>Information Technology</t>
        </is>
      </c>
    </row>
    <row r="31">
      <c r="A31" t="n">
        <v>26</v>
      </c>
      <c r="B31" t="inlineStr">
        <is>
          <t>ITC Ltd.</t>
        </is>
      </c>
      <c r="C31" t="inlineStr">
        <is>
          <t>ITC</t>
        </is>
      </c>
      <c r="D31" t="inlineStr">
        <is>
          <t>Fast Moving Consumer Goods</t>
        </is>
      </c>
    </row>
    <row r="32">
      <c r="A32" t="n">
        <v>27</v>
      </c>
      <c r="B32" t="inlineStr">
        <is>
          <t>Mahindra &amp; Mahindra Financial Services Ltd.</t>
        </is>
      </c>
      <c r="C32" t="inlineStr">
        <is>
          <t>M&amp;MFIN</t>
        </is>
      </c>
      <c r="D32" t="inlineStr">
        <is>
          <t>Financial Services</t>
        </is>
      </c>
    </row>
    <row r="33">
      <c r="A33" t="n">
        <v>28</v>
      </c>
      <c r="B33" t="inlineStr">
        <is>
          <t>MphasiS Ltd.</t>
        </is>
      </c>
      <c r="C33" t="inlineStr">
        <is>
          <t>MPHASIS</t>
        </is>
      </c>
      <c r="D33" t="inlineStr">
        <is>
          <t>Information Technology</t>
        </is>
      </c>
    </row>
    <row r="34">
      <c r="A34" t="n">
        <v>29</v>
      </c>
      <c r="B34" t="inlineStr">
        <is>
          <t>National Aluminium Co. Ltd.</t>
        </is>
      </c>
      <c r="C34" t="inlineStr">
        <is>
          <t>NATIONALUM</t>
        </is>
      </c>
      <c r="D34" t="inlineStr">
        <is>
          <t>Metals &amp; Mining</t>
        </is>
      </c>
    </row>
    <row r="35">
      <c r="A35" t="n">
        <v>30</v>
      </c>
      <c r="B35" t="inlineStr">
        <is>
          <t>NHPC Ltd.</t>
        </is>
      </c>
      <c r="C35" t="inlineStr">
        <is>
          <t>NHPC</t>
        </is>
      </c>
      <c r="D35" t="inlineStr">
        <is>
          <t>Power</t>
        </is>
      </c>
    </row>
    <row r="36">
      <c r="A36" t="n">
        <v>31</v>
      </c>
      <c r="B36" t="inlineStr">
        <is>
          <t>NMDC Ltd.</t>
        </is>
      </c>
      <c r="C36" t="inlineStr">
        <is>
          <t>NMDC</t>
        </is>
      </c>
      <c r="D36" t="inlineStr">
        <is>
          <t>Metals &amp; Mining</t>
        </is>
      </c>
    </row>
    <row r="37">
      <c r="A37" t="n">
        <v>32</v>
      </c>
      <c r="B37" t="inlineStr">
        <is>
          <t>NTPC Ltd.</t>
        </is>
      </c>
      <c r="C37" t="inlineStr">
        <is>
          <t>NTPC</t>
        </is>
      </c>
      <c r="D37" t="inlineStr">
        <is>
          <t>Power</t>
        </is>
      </c>
    </row>
    <row r="38">
      <c r="A38" t="n">
        <v>33</v>
      </c>
      <c r="B38" t="inlineStr">
        <is>
          <t>Oil &amp; Natural Gas Corporation Ltd.</t>
        </is>
      </c>
      <c r="C38" t="inlineStr">
        <is>
          <t>ONGC</t>
        </is>
      </c>
      <c r="D38" t="inlineStr">
        <is>
          <t>Oil Gas &amp; Consumable Fuels</t>
        </is>
      </c>
    </row>
    <row r="39">
      <c r="A39" t="n">
        <v>34</v>
      </c>
      <c r="B39" t="inlineStr">
        <is>
          <t>Oil India Ltd.</t>
        </is>
      </c>
      <c r="C39" t="inlineStr">
        <is>
          <t>OIL</t>
        </is>
      </c>
      <c r="D39" t="inlineStr">
        <is>
          <t>Oil Gas &amp; Consumable Fuels</t>
        </is>
      </c>
    </row>
    <row r="40">
      <c r="A40" t="n">
        <v>35</v>
      </c>
      <c r="B40" t="inlineStr">
        <is>
          <t>Oracle Financial Services Software Ltd.</t>
        </is>
      </c>
      <c r="C40" t="inlineStr">
        <is>
          <t>OFSS</t>
        </is>
      </c>
      <c r="D40" t="inlineStr">
        <is>
          <t>Information Technology</t>
        </is>
      </c>
    </row>
    <row r="41">
      <c r="A41" t="n">
        <v>36</v>
      </c>
      <c r="B41" t="inlineStr">
        <is>
          <t>Page Industries Ltd.</t>
        </is>
      </c>
      <c r="C41" t="inlineStr">
        <is>
          <t>PAGEIND</t>
        </is>
      </c>
      <c r="D41" t="inlineStr">
        <is>
          <t>Textiles</t>
        </is>
      </c>
    </row>
    <row r="42">
      <c r="A42" t="n">
        <v>37</v>
      </c>
      <c r="B42" t="inlineStr">
        <is>
          <t>Power Finance Corporation Ltd.</t>
        </is>
      </c>
      <c r="C42" t="inlineStr">
        <is>
          <t>PFC</t>
        </is>
      </c>
      <c r="D42" t="inlineStr">
        <is>
          <t>Financial Services</t>
        </is>
      </c>
    </row>
    <row r="43">
      <c r="A43" t="n">
        <v>38</v>
      </c>
      <c r="B43" t="inlineStr">
        <is>
          <t>Power Grid Corporation of India Ltd.</t>
        </is>
      </c>
      <c r="C43" t="inlineStr">
        <is>
          <t>POWERGRID</t>
        </is>
      </c>
      <c r="D43" t="inlineStr">
        <is>
          <t>Power</t>
        </is>
      </c>
    </row>
    <row r="44">
      <c r="A44" t="n">
        <v>39</v>
      </c>
      <c r="B44" t="inlineStr">
        <is>
          <t>Punjab National Bank</t>
        </is>
      </c>
      <c r="C44" t="inlineStr">
        <is>
          <t>PNB</t>
        </is>
      </c>
      <c r="D44" t="inlineStr">
        <is>
          <t>Financial Services</t>
        </is>
      </c>
    </row>
    <row r="45">
      <c r="A45" t="n">
        <v>40</v>
      </c>
      <c r="B45" t="inlineStr">
        <is>
          <t>REC Ltd.</t>
        </is>
      </c>
      <c r="C45" t="inlineStr">
        <is>
          <t>RECLTD</t>
        </is>
      </c>
      <c r="D45" t="inlineStr">
        <is>
          <t>Financial Services</t>
        </is>
      </c>
    </row>
    <row r="46">
      <c r="A46" t="n">
        <v>41</v>
      </c>
      <c r="B46" t="inlineStr">
        <is>
          <t>Redington Ltd.</t>
        </is>
      </c>
      <c r="C46" t="inlineStr">
        <is>
          <t>REDINGTON</t>
        </is>
      </c>
      <c r="D46" t="inlineStr">
        <is>
          <t>Services</t>
        </is>
      </c>
    </row>
    <row r="47">
      <c r="A47" t="n">
        <v>42</v>
      </c>
      <c r="B47" t="inlineStr">
        <is>
          <t>Shriram Finance Ltd.</t>
        </is>
      </c>
      <c r="C47" t="inlineStr">
        <is>
          <t>SHRIRAMFIN</t>
        </is>
      </c>
      <c r="D47" t="inlineStr">
        <is>
          <t>Financial Services</t>
        </is>
      </c>
    </row>
    <row r="48">
      <c r="A48" t="n">
        <v>43</v>
      </c>
      <c r="B48" t="inlineStr">
        <is>
          <t>State Bank of India</t>
        </is>
      </c>
      <c r="C48" t="inlineStr">
        <is>
          <t>SBIN</t>
        </is>
      </c>
      <c r="D48" t="inlineStr">
        <is>
          <t>Financial Services</t>
        </is>
      </c>
    </row>
    <row r="49">
      <c r="A49" t="n">
        <v>44</v>
      </c>
      <c r="B49" t="inlineStr">
        <is>
          <t>Steel Authority of India Ltd.</t>
        </is>
      </c>
      <c r="C49" t="inlineStr">
        <is>
          <t>SAIL</t>
        </is>
      </c>
      <c r="D49" t="inlineStr">
        <is>
          <t>Metals &amp; Mining</t>
        </is>
      </c>
    </row>
    <row r="50">
      <c r="A50" t="n">
        <v>45</v>
      </c>
      <c r="B50" t="inlineStr">
        <is>
          <t>Tata Consultancy Services Ltd.</t>
        </is>
      </c>
      <c r="C50" t="inlineStr">
        <is>
          <t>TCS</t>
        </is>
      </c>
      <c r="D50" t="inlineStr">
        <is>
          <t>Information Technology</t>
        </is>
      </c>
    </row>
    <row r="51">
      <c r="A51" t="n">
        <v>46</v>
      </c>
      <c r="B51" t="inlineStr">
        <is>
          <t>Tata Steel Ltd.</t>
        </is>
      </c>
      <c r="C51" t="inlineStr">
        <is>
          <t>TATASTEEL</t>
        </is>
      </c>
      <c r="D51" t="inlineStr">
        <is>
          <t>Metals &amp; Mining</t>
        </is>
      </c>
    </row>
    <row r="52">
      <c r="A52" t="n">
        <v>47</v>
      </c>
      <c r="B52" t="inlineStr">
        <is>
          <t>Tech Mahindra Ltd.</t>
        </is>
      </c>
      <c r="C52" t="inlineStr">
        <is>
          <t>TECHM</t>
        </is>
      </c>
      <c r="D52" t="inlineStr">
        <is>
          <t>Information Technology</t>
        </is>
      </c>
    </row>
    <row r="53">
      <c r="A53" t="n">
        <v>48</v>
      </c>
      <c r="B53" t="inlineStr">
        <is>
          <t>Union Bank of India</t>
        </is>
      </c>
      <c r="C53" t="inlineStr">
        <is>
          <t>UNIONBANK</t>
        </is>
      </c>
      <c r="D53" t="inlineStr">
        <is>
          <t>Financial Services</t>
        </is>
      </c>
    </row>
    <row r="54">
      <c r="A54" t="n">
        <v>49</v>
      </c>
      <c r="B54" t="inlineStr">
        <is>
          <t>Vedanta Ltd.</t>
        </is>
      </c>
      <c r="C54" t="inlineStr">
        <is>
          <t>VEDL</t>
        </is>
      </c>
      <c r="D54" t="inlineStr">
        <is>
          <t>Metals &amp; Mining</t>
        </is>
      </c>
    </row>
    <row r="55">
      <c r="A55" t="n">
        <v>50</v>
      </c>
      <c r="B55" t="inlineStr">
        <is>
          <t>Wipro Ltd.</t>
        </is>
      </c>
      <c r="C55" t="inlineStr">
        <is>
          <t>WIPRO</t>
        </is>
      </c>
      <c r="D55" t="inlineStr">
        <is>
          <t>Information Technology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2026-10-26T18:52:20Z</dcterms:created>
  <dcterms:modified xsi:type="dcterms:W3CDTF">2026-10-26T18:52:57Z</dcterms:modified>
</cp:coreProperties>
</file>