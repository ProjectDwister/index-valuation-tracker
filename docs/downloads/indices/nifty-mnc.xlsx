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mnc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9" customWidth="1" min="5" max="5"/>
    <col width="21" customWidth="1" min="6" max="6"/>
    <col width="19" customWidth="1" min="7" max="7"/>
  </cols>
  <sheetData>
    <row r="1" ht="26" customHeight="1">
      <c r="A1" s="1" t="inlineStr">
        <is>
          <t>NIFTY Mnc Valuation Tracker</t>
        </is>
      </c>
    </row>
    <row r="2">
      <c r="A2" s="2" t="inlineStr">
        <is>
          <t>As of</t>
        </is>
      </c>
      <c r="B2" s="23" t="n">
        <v>46323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28460.75</v>
      </c>
      <c r="D5" s="2" t="inlineStr">
        <is>
          <t>P/E</t>
        </is>
      </c>
      <c r="E5" s="25" t="n">
        <v>32.98</v>
      </c>
    </row>
    <row r="6">
      <c r="A6" s="2" t="inlineStr">
        <is>
          <t>P/E percentile</t>
        </is>
      </c>
      <c r="B6" s="26" t="n">
        <v>0.02272727272727273</v>
      </c>
      <c r="D6" s="2" t="inlineStr">
        <is>
          <t>Implied EPS</t>
        </is>
      </c>
      <c r="E6" s="27" t="n">
        <v>862.9699818071559</v>
      </c>
    </row>
    <row r="7">
      <c r="A7" s="2" t="inlineStr">
        <is>
          <t>YoY implied EPS growth</t>
        </is>
      </c>
      <c r="B7" s="26" t="n">
        <v>0.03865187760404387</v>
      </c>
      <c r="D7" s="2" t="inlineStr">
        <is>
          <t>Earnings yield</t>
        </is>
      </c>
      <c r="E7" s="10" t="n">
        <v>0.03032140691328078</v>
      </c>
    </row>
    <row r="8">
      <c r="A8" s="2" t="inlineStr">
        <is>
          <t>Valuation score</t>
        </is>
      </c>
      <c r="B8" s="28" t="n">
        <v>97.72727272727273</v>
      </c>
      <c r="D8" s="2" t="inlineStr">
        <is>
          <t>Growth score</t>
        </is>
      </c>
      <c r="E8" s="28" t="n">
        <v>35.46075104161755</v>
      </c>
    </row>
    <row r="9">
      <c r="A9" s="2" t="inlineStr">
        <is>
          <t>Composite score</t>
        </is>
      </c>
      <c r="B9" s="28" t="n">
        <v>79.04731622157617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34.63567041517583</v>
      </c>
      <c r="C13" s="15" t="n">
        <v>29889.54386806293</v>
      </c>
      <c r="D13" s="30" t="n">
        <v>0.05020225637282683</v>
      </c>
    </row>
    <row r="14">
      <c r="A14" t="inlineStr">
        <is>
          <t>HOLD → SELL</t>
        </is>
      </c>
      <c r="B14" s="29" t="n">
        <v>45.10711613278855</v>
      </c>
      <c r="C14" s="15" t="n">
        <v>38926.08718848581</v>
      </c>
      <c r="D14" s="30" t="n">
        <v>0.3677112229468937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7</v>
      </c>
      <c r="C18" s="30" t="n">
        <v>0.09132775017701711</v>
      </c>
      <c r="D18" s="30" t="n">
        <v>0.04372230119618126</v>
      </c>
      <c r="E18" s="30" t="n">
        <v>0.07792095539878208</v>
      </c>
      <c r="F18" s="30" t="n"/>
      <c r="G18" s="30" t="n">
        <v>0</v>
      </c>
    </row>
    <row r="19">
      <c r="A19" t="inlineStr">
        <is>
          <t>Q2</t>
        </is>
      </c>
      <c r="B19" t="n">
        <v>7</v>
      </c>
      <c r="C19" s="30" t="n">
        <v>0.01546744933647926</v>
      </c>
      <c r="D19" s="30" t="n">
        <v>0.106688759099933</v>
      </c>
      <c r="E19" s="30" t="n">
        <v>0.1473895847445308</v>
      </c>
      <c r="F19" s="30" t="n"/>
      <c r="G19" s="30" t="n">
        <v>0</v>
      </c>
    </row>
    <row r="20">
      <c r="A20" t="inlineStr">
        <is>
          <t>Q3</t>
        </is>
      </c>
      <c r="B20" t="n">
        <v>8</v>
      </c>
      <c r="C20" s="30" t="n">
        <v>0.0542866018803051</v>
      </c>
      <c r="D20" s="30" t="n">
        <v>0.1136647759157019</v>
      </c>
      <c r="E20" s="30" t="n">
        <v>0.1031028663896776</v>
      </c>
      <c r="F20" s="30" t="n"/>
      <c r="G20" s="30" t="n">
        <v>0</v>
      </c>
    </row>
    <row r="21">
      <c r="A21" t="inlineStr">
        <is>
          <t>Q4</t>
        </is>
      </c>
      <c r="B21" t="n">
        <v>7</v>
      </c>
      <c r="C21" s="30" t="n">
        <v>0.02473239084979562</v>
      </c>
      <c r="D21" s="30" t="n">
        <v>0.1089461865875303</v>
      </c>
      <c r="E21" s="30" t="n">
        <v>0.1053316446201706</v>
      </c>
      <c r="F21" s="30" t="n">
        <v>0.1301581915926568</v>
      </c>
      <c r="G21" s="30" t="n">
        <v>0</v>
      </c>
    </row>
    <row r="22">
      <c r="A22" t="inlineStr">
        <is>
          <t>Q5 Most Expensive</t>
        </is>
      </c>
      <c r="B22" t="n">
        <v>9</v>
      </c>
      <c r="C22" s="30" t="n">
        <v>0.05675059230255219</v>
      </c>
      <c r="D22" s="30" t="n">
        <v>0.1421664121347532</v>
      </c>
      <c r="E22" s="30" t="n">
        <v>0.1291332310376054</v>
      </c>
      <c r="F22" s="30" t="n">
        <v>0.1197779294781602</v>
      </c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65</v>
      </c>
    </row>
    <row r="26">
      <c r="A26" s="2" t="inlineStr">
        <is>
          <t>Quarter-end P/E observations</t>
        </is>
      </c>
      <c r="B26" t="n">
        <v>38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15935.75</v>
      </c>
      <c r="C2" s="25" t="n"/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16913.5</v>
      </c>
      <c r="C3" s="25" t="n">
        <v>2986.15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17506.7</v>
      </c>
      <c r="C4" s="25" t="n">
        <v>1534.2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17762.4</v>
      </c>
      <c r="C5" s="25" t="n">
        <v>146.84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18717.5</v>
      </c>
      <c r="C6" s="25" t="n">
        <v>61.29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19220.6</v>
      </c>
      <c r="C7" s="25" t="n">
        <v>62.29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19069.95</v>
      </c>
      <c r="C8" s="25" t="n">
        <v>61.1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18540.55</v>
      </c>
      <c r="C9" s="25" t="n">
        <v>50.58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19225.8</v>
      </c>
      <c r="C10" s="25" t="n">
        <v>52.7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18827.2</v>
      </c>
      <c r="C11" s="25" t="n">
        <v>56.12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18357.85</v>
      </c>
      <c r="C12" s="25" t="n">
        <v>53.07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18107.3</v>
      </c>
      <c r="C13" s="25" t="n">
        <v>57.64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18456.75</v>
      </c>
      <c r="C14" s="25" t="n">
        <v>58.31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18355.3</v>
      </c>
      <c r="C15" s="25" t="n">
        <v>53.24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17594.65</v>
      </c>
      <c r="C16" s="25" t="n">
        <v>51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19200.55</v>
      </c>
      <c r="C17" s="25" t="n">
        <v>54.75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19768.65</v>
      </c>
      <c r="C18" s="25" t="n">
        <v>54.37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19707.75</v>
      </c>
      <c r="C19" s="25" t="n">
        <v>58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19909.6</v>
      </c>
      <c r="C20" s="25" t="n">
        <v>59.44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20371.3</v>
      </c>
      <c r="C21" s="25" t="n">
        <v>63.61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19701.3</v>
      </c>
      <c r="C22" s="25" t="n">
        <v>61.2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19364.9</v>
      </c>
      <c r="C23" s="25" t="n">
        <v>62.49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19009.6</v>
      </c>
      <c r="C24" s="25" t="n">
        <v>46.52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19134.9</v>
      </c>
      <c r="C25" s="25" t="n">
        <v>33.1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19811.55</v>
      </c>
      <c r="C26" s="25" t="n">
        <v>34.01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20801.4</v>
      </c>
      <c r="C27" s="25" t="n">
        <v>36.74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21839.55</v>
      </c>
      <c r="C28" s="25" t="n">
        <v>38.04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22491</v>
      </c>
      <c r="C29" s="25" t="n">
        <v>39.74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21926.65</v>
      </c>
      <c r="C30" s="25" t="n">
        <v>36.93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21962.8</v>
      </c>
      <c r="C31" s="25" t="n">
        <v>38.01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21713.25</v>
      </c>
      <c r="C32" s="25" t="n">
        <v>36.76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22664.85</v>
      </c>
      <c r="C33" s="25" t="n">
        <v>39.21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24208.35</v>
      </c>
      <c r="C34" s="25" t="n">
        <v>41.29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24306.35</v>
      </c>
      <c r="C35" s="25" t="n">
        <v>41.23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25090.65</v>
      </c>
      <c r="C36" s="25" t="n">
        <v>41.43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25873.65</v>
      </c>
      <c r="C37" s="25" t="n">
        <v>43.66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27071.4</v>
      </c>
      <c r="C38" s="25" t="n">
        <v>45.57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28550.8</v>
      </c>
      <c r="C39" s="25" t="n">
        <v>47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30362.4</v>
      </c>
      <c r="C40" s="25" t="n">
        <v>49.03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31305.8</v>
      </c>
      <c r="C41" s="25" t="n">
        <v>49.93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30975.7</v>
      </c>
      <c r="C42" s="25" t="n">
        <v>46.8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32582</v>
      </c>
      <c r="C43" s="25" t="n">
        <v>48.78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29235.15</v>
      </c>
      <c r="C44" s="25" t="n">
        <v>43.82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28852</v>
      </c>
      <c r="C45" s="25" t="n">
        <v>38.54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27932.5</v>
      </c>
      <c r="C46" s="25" t="n">
        <v>37.25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27463.4</v>
      </c>
      <c r="C47" s="25" t="n">
        <v>35.83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24934.4</v>
      </c>
      <c r="C48" s="25" t="n">
        <v>31.36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26241.5</v>
      </c>
      <c r="C49" s="25" t="n">
        <v>33.39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27015.7</v>
      </c>
      <c r="C50" s="25" t="n">
        <v>34.32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28115.8</v>
      </c>
      <c r="C51" s="25" t="n">
        <v>33.98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28937.7</v>
      </c>
      <c r="C52" s="25" t="n">
        <v>34.22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28746.85</v>
      </c>
      <c r="C53" s="25" t="n">
        <v>34.01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29337.55</v>
      </c>
      <c r="C54" s="25" t="n">
        <v>34.46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29829.95</v>
      </c>
      <c r="C55" s="25" t="n">
        <v>35.8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30204.95</v>
      </c>
      <c r="C56" s="25" t="n">
        <v>36.26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30392.45</v>
      </c>
      <c r="C57" s="25" t="n">
        <v>36.72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30568.1</v>
      </c>
      <c r="C58" s="25" t="n">
        <v>37.11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30419.45</v>
      </c>
      <c r="C59" s="25" t="n">
        <v>36.79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31703.1</v>
      </c>
      <c r="C60" s="25" t="n">
        <v>39.25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27791.25</v>
      </c>
      <c r="C61" s="25" t="n">
        <v>34.66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31886.6</v>
      </c>
      <c r="C62" s="25" t="n">
        <v>39.51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32455.9</v>
      </c>
      <c r="C63" s="25" t="n">
        <v>39.94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32514.35</v>
      </c>
      <c r="C64" s="25" t="n">
        <v>35.95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33056.15</v>
      </c>
      <c r="C65" s="25" t="n">
        <v>36.25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33033.55</v>
      </c>
      <c r="C66" s="25" t="n">
        <v>35.85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30335.5</v>
      </c>
      <c r="C67" s="25" t="n">
        <v>34.99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9558.25</v>
      </c>
      <c r="C2" s="25" t="n">
        <v>41.42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8965.799999999999</v>
      </c>
      <c r="C3" s="25" t="n">
        <v>38.48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9564.950000000001</v>
      </c>
      <c r="C4" s="25" t="n">
        <v>31.88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10271.25</v>
      </c>
      <c r="C5" s="25" t="n">
        <v>34.86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9667.85</v>
      </c>
      <c r="C6" s="25" t="n">
        <v>29.47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10974.65</v>
      </c>
      <c r="C7" s="25" t="n">
        <v>32.48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12090.55</v>
      </c>
      <c r="C8" s="25" t="n">
        <v>25.31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13125.55</v>
      </c>
      <c r="C9" s="25" t="n">
        <v>27.45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14801.9</v>
      </c>
      <c r="C10" s="25" t="n">
        <v>29.48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13767.7</v>
      </c>
      <c r="C11" s="25" t="n">
        <v>26.85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14271.7</v>
      </c>
      <c r="C12" s="25" t="n">
        <v>32.77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13446.45</v>
      </c>
      <c r="C13" s="25" t="n">
        <v>30.55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13941.85</v>
      </c>
      <c r="C14" s="25" t="n">
        <v>30.6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13359.1</v>
      </c>
      <c r="C15" s="25" t="n">
        <v>28.94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13044.1</v>
      </c>
      <c r="C16" s="25" t="n">
        <v>27.9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13471.4</v>
      </c>
      <c r="C17" s="25" t="n">
        <v>63.32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13788.95</v>
      </c>
      <c r="C18" s="25" t="n"/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11069.3</v>
      </c>
      <c r="C19" s="25" t="n"/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13226.55</v>
      </c>
      <c r="C20" s="25" t="n"/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14011.7</v>
      </c>
      <c r="C21" s="25" t="n"/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15653.45</v>
      </c>
      <c r="C22" s="25" t="n"/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16261.4</v>
      </c>
      <c r="C23" s="25" t="n"/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17506.7</v>
      </c>
      <c r="C24" s="25" t="n">
        <v>1534.2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19220.6</v>
      </c>
      <c r="C25" s="25" t="n">
        <v>62.29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19225.8</v>
      </c>
      <c r="C26" s="25" t="n">
        <v>52.7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18107.3</v>
      </c>
      <c r="C27" s="25" t="n">
        <v>57.64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17594.65</v>
      </c>
      <c r="C28" s="25" t="n">
        <v>51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19707.75</v>
      </c>
      <c r="C29" s="25" t="n">
        <v>58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19701.3</v>
      </c>
      <c r="C30" s="25" t="n">
        <v>61.2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19134.9</v>
      </c>
      <c r="C31" s="25" t="n">
        <v>33.1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21839.55</v>
      </c>
      <c r="C32" s="25" t="n">
        <v>38.04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21962.8</v>
      </c>
      <c r="C33" s="25" t="n">
        <v>38.01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24208.35</v>
      </c>
      <c r="C34" s="25" t="n">
        <v>41.29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25873.65</v>
      </c>
      <c r="C35" s="25" t="n">
        <v>43.66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30362.4</v>
      </c>
      <c r="C36" s="25" t="n">
        <v>49.03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32582</v>
      </c>
      <c r="C37" s="25" t="n">
        <v>48.78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27932.5</v>
      </c>
      <c r="C38" s="25" t="n">
        <v>37.25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26241.5</v>
      </c>
      <c r="C39" s="25" t="n">
        <v>33.39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28937.7</v>
      </c>
      <c r="C40" s="25" t="n">
        <v>34.22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29829.95</v>
      </c>
      <c r="C41" s="25" t="n">
        <v>35.8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30568.1</v>
      </c>
      <c r="C42" s="25" t="n">
        <v>37.11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27791.25</v>
      </c>
      <c r="C43" s="25" t="n">
        <v>34.66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32514.35</v>
      </c>
      <c r="C44" s="25" t="n">
        <v>35.95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30335.5</v>
      </c>
      <c r="C45" s="25" t="n">
        <v>34.99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7" customWidth="1" min="4" max="4"/>
    <col width="17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31687.05</v>
      </c>
      <c r="C2" s="25" t="n">
        <v>34.39</v>
      </c>
      <c r="D2" s="26" t="n">
        <v>0.130769230769</v>
      </c>
      <c r="E2" s="26" t="n">
        <v>0.08219057314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31562.65</v>
      </c>
      <c r="C3" s="25" t="n">
        <v>34.25</v>
      </c>
      <c r="D3" s="26" t="n">
        <v>0.115384615385</v>
      </c>
      <c r="E3" s="26" t="n">
        <v>0.0822029776722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31358.8</v>
      </c>
      <c r="C4" s="25" t="n">
        <v>34.03</v>
      </c>
      <c r="D4" s="26" t="n">
        <v>0.1</v>
      </c>
      <c r="E4" s="26" t="n">
        <v>0.08216461107340001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31591.2</v>
      </c>
      <c r="C5" s="25" t="n">
        <v>34.29</v>
      </c>
      <c r="D5" s="26" t="n">
        <v>0.115384615385</v>
      </c>
      <c r="E5" s="26" t="n">
        <v>0.08215044218379999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31201.7</v>
      </c>
      <c r="C6" s="25" t="n">
        <v>33.86</v>
      </c>
      <c r="D6" s="26" t="n">
        <v>0.0538461538462</v>
      </c>
      <c r="E6" s="26" t="n">
        <v>0.08221406771130001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31347.1</v>
      </c>
      <c r="C7" s="25" t="n">
        <v>34.02</v>
      </c>
      <c r="D7" s="26" t="n">
        <v>0.1</v>
      </c>
      <c r="E7" s="26" t="n">
        <v>0.0820446533758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30832.8</v>
      </c>
      <c r="C8" s="25" t="n">
        <v>33.46</v>
      </c>
      <c r="D8" s="26" t="n">
        <v>0.0538461538462</v>
      </c>
      <c r="E8" s="26" t="n">
        <v>0.0820938999108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30469.1</v>
      </c>
      <c r="C9" s="25" t="n">
        <v>33.07</v>
      </c>
      <c r="D9" s="26" t="n">
        <v>0.0230769230769</v>
      </c>
      <c r="E9" s="26" t="n">
        <v>0.08204584608649999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30335.5</v>
      </c>
      <c r="C10" s="25" t="n">
        <v>34.99</v>
      </c>
      <c r="D10" s="26" t="n">
        <v>0.166666666667</v>
      </c>
      <c r="E10" s="26" t="n">
        <v>0.0404895343753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29972.45</v>
      </c>
      <c r="C11" s="25" t="n">
        <v>34.57</v>
      </c>
      <c r="D11" s="26" t="n">
        <v>0.143939393939</v>
      </c>
      <c r="E11" s="26" t="n">
        <v>0.0404873882332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30018.6</v>
      </c>
      <c r="C12" s="25" t="n">
        <v>34.63</v>
      </c>
      <c r="D12" s="26" t="n">
        <v>0.143939393939</v>
      </c>
      <c r="E12" s="26" t="n">
        <v>0.0404351395898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30489.45</v>
      </c>
      <c r="C13" s="25" t="n">
        <v>35.17</v>
      </c>
      <c r="D13" s="26" t="n">
        <v>0.174242424242</v>
      </c>
      <c r="E13" s="26" t="n">
        <v>0.0405984042656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30139.55</v>
      </c>
      <c r="C14" s="25" t="n">
        <v>34.77</v>
      </c>
      <c r="D14" s="26" t="n">
        <v>0.159090909091</v>
      </c>
      <c r="E14" s="26" t="n">
        <v>0.0402737017572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29467.2</v>
      </c>
      <c r="C15" s="25" t="n">
        <v>33.99</v>
      </c>
      <c r="D15" s="26" t="n">
        <v>0.0681818181818</v>
      </c>
      <c r="E15" s="26" t="n">
        <v>0.0404846524063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29737.45</v>
      </c>
      <c r="C16" s="25" t="n">
        <v>34.3</v>
      </c>
      <c r="D16" s="26" t="n">
        <v>0.113636363636</v>
      </c>
      <c r="E16" s="26" t="n">
        <v>0.0404781754187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29656.35</v>
      </c>
      <c r="C17" s="25" t="n">
        <v>34.21</v>
      </c>
      <c r="D17" s="26" t="n">
        <v>0.09848484848480001</v>
      </c>
      <c r="E17" s="26" t="n">
        <v>0.0406163839666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29829.35</v>
      </c>
      <c r="C18" s="25" t="n">
        <v>34.41</v>
      </c>
      <c r="D18" s="26" t="n">
        <v>0.128787878788</v>
      </c>
      <c r="E18" s="26" t="n">
        <v>0.0404076952078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29920.4</v>
      </c>
      <c r="C19" s="25" t="n">
        <v>34.51</v>
      </c>
      <c r="D19" s="26" t="n">
        <v>0.143939393939</v>
      </c>
      <c r="E19" s="26" t="n">
        <v>0.0405225720774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29490.4</v>
      </c>
      <c r="C20" s="25" t="n">
        <v>34.02</v>
      </c>
      <c r="D20" s="26" t="n">
        <v>0.09848484848480001</v>
      </c>
      <c r="E20" s="26" t="n">
        <v>0.0403812121545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29515.15</v>
      </c>
      <c r="C21" s="25" t="n">
        <v>33.94</v>
      </c>
      <c r="D21" s="26" t="n">
        <v>0.0530303030303</v>
      </c>
      <c r="E21" s="26" t="n">
        <v>0.0437602815278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29239.8</v>
      </c>
      <c r="C22" s="25" t="n">
        <v>33.62</v>
      </c>
      <c r="D22" s="26" t="n">
        <v>0.0530303030303</v>
      </c>
      <c r="E22" s="26" t="n">
        <v>0.0460760196953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28626.65</v>
      </c>
      <c r="C23" s="25" t="n">
        <v>32.91</v>
      </c>
      <c r="D23" s="26" t="n">
        <v>0.0227272727273</v>
      </c>
      <c r="E23" s="26" t="n">
        <v>0.046402545535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28319.6</v>
      </c>
      <c r="C24" s="25" t="n">
        <v>32.56</v>
      </c>
      <c r="D24" s="26" t="n">
        <v>0.0227272727273</v>
      </c>
      <c r="E24" s="26" t="n">
        <v>0.0463063480165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  <row r="25">
      <c r="A25" s="31" t="n">
        <v>46318</v>
      </c>
      <c r="B25" s="24" t="n">
        <v>27765.7</v>
      </c>
      <c r="C25" s="25" t="n">
        <v>31.92</v>
      </c>
      <c r="D25" s="26" t="n">
        <v>0.0227272727273</v>
      </c>
      <c r="E25" s="26" t="n">
        <v>0.0462072462993</v>
      </c>
      <c r="F25" s="34">
        <f>IF(D25="","",100*(1-D25))</f>
        <v/>
      </c>
      <c r="G25" s="34">
        <f>IF(E25="","",IF(E25&lt;=0,20,IF(E25&lt;5%,20+400*E25,IF(E25&lt;10%,40+400*(E25-5%),IF(E25&lt;15%,60+400*(E25-10%),IF(E25&lt;25%,80+200*(E25-15%),100))))))</f>
        <v/>
      </c>
      <c r="H25" s="34">
        <f>IF(OR(F25="",G25=""),"",70%*F25+30%*G25)</f>
        <v/>
      </c>
      <c r="I25">
        <f>IF(H25="","",IF(H25&gt;=70,"BUY",IF(H25&gt;=40,"HOLD","SELL")))</f>
        <v/>
      </c>
    </row>
    <row r="26">
      <c r="A26" s="31" t="n">
        <v>46321</v>
      </c>
      <c r="B26" s="24" t="n">
        <v>27943.6</v>
      </c>
      <c r="C26" s="25" t="n">
        <v>32.13</v>
      </c>
      <c r="D26" s="26" t="n">
        <v>0.0227272727273</v>
      </c>
      <c r="E26" s="26" t="n">
        <v>0.0466227770024</v>
      </c>
      <c r="F26" s="34">
        <f>IF(D26="","",100*(1-D26))</f>
        <v/>
      </c>
      <c r="G26" s="34">
        <f>IF(E26="","",IF(E26&lt;=0,20,IF(E26&lt;5%,20+400*E26,IF(E26&lt;10%,40+400*(E26-5%),IF(E26&lt;15%,60+400*(E26-10%),IF(E26&lt;25%,80+200*(E26-15%),100))))))</f>
        <v/>
      </c>
      <c r="H26" s="34">
        <f>IF(OR(F26="",G26=""),"",70%*F26+30%*G26)</f>
        <v/>
      </c>
      <c r="I26">
        <f>IF(H26="","",IF(H26&gt;=70,"BUY",IF(H26&gt;=40,"HOLD","SELL")))</f>
        <v/>
      </c>
    </row>
    <row r="27">
      <c r="A27" s="31" t="n">
        <v>46322</v>
      </c>
      <c r="B27" s="24" t="n">
        <v>28285.65</v>
      </c>
      <c r="C27" s="25" t="n">
        <v>32.5</v>
      </c>
      <c r="D27" s="26" t="n">
        <v>0.0227272727273</v>
      </c>
      <c r="E27" s="26" t="n">
        <v>0.0475024109919</v>
      </c>
      <c r="F27" s="34">
        <f>IF(D27="","",100*(1-D27))</f>
        <v/>
      </c>
      <c r="G27" s="34">
        <f>IF(E27="","",IF(E27&lt;=0,20,IF(E27&lt;5%,20+400*E27,IF(E27&lt;10%,40+400*(E27-5%),IF(E27&lt;15%,60+400*(E27-10%),IF(E27&lt;25%,80+200*(E27-15%),100))))))</f>
        <v/>
      </c>
      <c r="H27" s="34">
        <f>IF(OR(F27="",G27=""),"",70%*F27+30%*G27)</f>
        <v/>
      </c>
      <c r="I27">
        <f>IF(H27="","",IF(H27&gt;=70,"BUY",IF(H27&gt;=40,"HOLD","SELL")))</f>
        <v/>
      </c>
    </row>
    <row r="28">
      <c r="A28" s="31" t="n">
        <v>46323</v>
      </c>
      <c r="B28" s="24" t="n">
        <v>28460.75</v>
      </c>
      <c r="C28" s="25" t="n">
        <v>32.98</v>
      </c>
      <c r="D28" s="26" t="n">
        <v>0.0227272727273</v>
      </c>
      <c r="E28" s="26" t="n">
        <v>0.038651877604</v>
      </c>
      <c r="F28" s="34">
        <f>IF(D28="","",100*(1-D28))</f>
        <v/>
      </c>
      <c r="G28" s="34">
        <f>IF(E28="","",IF(E28&lt;=0,20,IF(E28&lt;5%,20+400*E28,IF(E28&lt;10%,40+400*(E28-5%),IF(E28&lt;15%,60+400*(E28-10%),IF(E28&lt;25%,80+200*(E28-15%),100))))))</f>
        <v/>
      </c>
      <c r="H28" s="34">
        <f>IF(OR(F28="",G28=""),"",70%*F28+30%*G28)</f>
        <v/>
      </c>
      <c r="I28">
        <f>IF(H28="","",IF(H28&gt;=70,"BUY",IF(H28&gt;=40,"HOLD","SELL")))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41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 Mnc Composition</t>
        </is>
      </c>
    </row>
    <row r="2">
      <c r="A2" s="2" t="inlineStr">
        <is>
          <t>As of</t>
        </is>
      </c>
      <c r="B2" s="4" t="inlineStr">
        <is>
          <t>Retrieved 2026-10-28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ABB India Ltd.</t>
        </is>
      </c>
      <c r="C6" t="inlineStr">
        <is>
          <t>ABB</t>
        </is>
      </c>
      <c r="D6" t="inlineStr">
        <is>
          <t>Capital Goods</t>
        </is>
      </c>
    </row>
    <row r="7">
      <c r="A7" t="n">
        <v>2</v>
      </c>
      <c r="B7" t="inlineStr">
        <is>
          <t>Abbott India Ltd.</t>
        </is>
      </c>
      <c r="C7" t="inlineStr">
        <is>
          <t>ABBOTINDIA</t>
        </is>
      </c>
      <c r="D7" t="inlineStr">
        <is>
          <t>Healthcare</t>
        </is>
      </c>
    </row>
    <row r="8">
      <c r="A8" t="n">
        <v>3</v>
      </c>
      <c r="B8" t="inlineStr">
        <is>
          <t>Ambuja Cements Ltd.</t>
        </is>
      </c>
      <c r="C8" t="inlineStr">
        <is>
          <t>AMBUJACEM</t>
        </is>
      </c>
      <c r="D8" t="inlineStr">
        <is>
          <t>Construction Materials</t>
        </is>
      </c>
    </row>
    <row r="9">
      <c r="A9" t="n">
        <v>4</v>
      </c>
      <c r="B9" t="inlineStr">
        <is>
          <t>Ashok Leyland Ltd.</t>
        </is>
      </c>
      <c r="C9" t="inlineStr">
        <is>
          <t>ASHOKLEY</t>
        </is>
      </c>
      <c r="D9" t="inlineStr">
        <is>
          <t>Capital Goods</t>
        </is>
      </c>
    </row>
    <row r="10">
      <c r="A10" t="n">
        <v>5</v>
      </c>
      <c r="B10" t="inlineStr">
        <is>
          <t>AWL Agri Business Ltd.</t>
        </is>
      </c>
      <c r="C10" t="inlineStr">
        <is>
          <t>AWL</t>
        </is>
      </c>
      <c r="D10" t="inlineStr">
        <is>
          <t>Fast Moving Consumer Goods</t>
        </is>
      </c>
    </row>
    <row r="11">
      <c r="A11" t="n">
        <v>6</v>
      </c>
      <c r="B11" t="inlineStr">
        <is>
          <t>Bosch Ltd.</t>
        </is>
      </c>
      <c r="C11" t="inlineStr">
        <is>
          <t>BOSCHLTD</t>
        </is>
      </c>
      <c r="D11" t="inlineStr">
        <is>
          <t>Automobile and Auto Components</t>
        </is>
      </c>
    </row>
    <row r="12">
      <c r="A12" t="n">
        <v>7</v>
      </c>
      <c r="B12" t="inlineStr">
        <is>
          <t>Britannia Industries Ltd.</t>
        </is>
      </c>
      <c r="C12" t="inlineStr">
        <is>
          <t>BRITANNIA</t>
        </is>
      </c>
      <c r="D12" t="inlineStr">
        <is>
          <t>Fast Moving Consumer Goods</t>
        </is>
      </c>
    </row>
    <row r="13">
      <c r="A13" t="n">
        <v>8</v>
      </c>
      <c r="B13" t="inlineStr">
        <is>
          <t>Castrol India Ltd.</t>
        </is>
      </c>
      <c r="C13" t="inlineStr">
        <is>
          <t>CASTROLIND</t>
        </is>
      </c>
      <c r="D13" t="inlineStr">
        <is>
          <t>Oil Gas &amp; Consumable Fuels</t>
        </is>
      </c>
    </row>
    <row r="14">
      <c r="A14" t="n">
        <v>9</v>
      </c>
      <c r="B14" t="inlineStr">
        <is>
          <t>Colgate Palmolive (India) Ltd.</t>
        </is>
      </c>
      <c r="C14" t="inlineStr">
        <is>
          <t>COLPAL</t>
        </is>
      </c>
      <c r="D14" t="inlineStr">
        <is>
          <t>Fast Moving Consumer Goods</t>
        </is>
      </c>
    </row>
    <row r="15">
      <c r="A15" t="n">
        <v>10</v>
      </c>
      <c r="B15" t="inlineStr">
        <is>
          <t>CRISIL Ltd.</t>
        </is>
      </c>
      <c r="C15" t="inlineStr">
        <is>
          <t>CRISIL</t>
        </is>
      </c>
      <c r="D15" t="inlineStr">
        <is>
          <t>Financial Services</t>
        </is>
      </c>
    </row>
    <row r="16">
      <c r="A16" t="n">
        <v>11</v>
      </c>
      <c r="B16" t="inlineStr">
        <is>
          <t>Cummins India Ltd.</t>
        </is>
      </c>
      <c r="C16" t="inlineStr">
        <is>
          <t>CUMMINSIND</t>
        </is>
      </c>
      <c r="D16" t="inlineStr">
        <is>
          <t>Capital Goods</t>
        </is>
      </c>
    </row>
    <row r="17">
      <c r="A17" t="n">
        <v>12</v>
      </c>
      <c r="B17" t="inlineStr">
        <is>
          <t>Escorts Kubota Ltd.</t>
        </is>
      </c>
      <c r="C17" t="inlineStr">
        <is>
          <t>ESCORTS</t>
        </is>
      </c>
      <c r="D17" t="inlineStr">
        <is>
          <t>Capital Goods</t>
        </is>
      </c>
    </row>
    <row r="18">
      <c r="A18" t="n">
        <v>13</v>
      </c>
      <c r="B18" t="inlineStr">
        <is>
          <t>Gland Pharma Ltd.</t>
        </is>
      </c>
      <c r="C18" t="inlineStr">
        <is>
          <t>GLAND</t>
        </is>
      </c>
      <c r="D18" t="inlineStr">
        <is>
          <t>Healthcare</t>
        </is>
      </c>
    </row>
    <row r="19">
      <c r="A19" t="n">
        <v>14</v>
      </c>
      <c r="B19" t="inlineStr">
        <is>
          <t>Hindustan Unilever Ltd.</t>
        </is>
      </c>
      <c r="C19" t="inlineStr">
        <is>
          <t>HINDUNILVR</t>
        </is>
      </c>
      <c r="D19" t="inlineStr">
        <is>
          <t>Fast Moving Consumer Goods</t>
        </is>
      </c>
    </row>
    <row r="20">
      <c r="A20" t="n">
        <v>15</v>
      </c>
      <c r="B20" t="inlineStr">
        <is>
          <t>Hitachi Energy India Ltd.</t>
        </is>
      </c>
      <c r="C20" t="inlineStr">
        <is>
          <t>POWERINDIA</t>
        </is>
      </c>
      <c r="D20" t="inlineStr">
        <is>
          <t>Capital Goods</t>
        </is>
      </c>
    </row>
    <row r="21">
      <c r="A21" t="n">
        <v>16</v>
      </c>
      <c r="B21" t="inlineStr">
        <is>
          <t>Hyundai Motor India Ltd.</t>
        </is>
      </c>
      <c r="C21" t="inlineStr">
        <is>
          <t>HYUNDAI</t>
        </is>
      </c>
      <c r="D21" t="inlineStr">
        <is>
          <t>Automobile and Auto Components</t>
        </is>
      </c>
    </row>
    <row r="22">
      <c r="A22" t="n">
        <v>17</v>
      </c>
      <c r="B22" t="inlineStr">
        <is>
          <t>LG Electronics India Ltd.</t>
        </is>
      </c>
      <c r="C22" t="inlineStr">
        <is>
          <t>LGEINDIA</t>
        </is>
      </c>
      <c r="D22" t="inlineStr">
        <is>
          <t>Consumer Durables</t>
        </is>
      </c>
    </row>
    <row r="23">
      <c r="A23" t="n">
        <v>18</v>
      </c>
      <c r="B23" t="inlineStr">
        <is>
          <t>Linde India Ltd.</t>
        </is>
      </c>
      <c r="C23" t="inlineStr">
        <is>
          <t>LINDEINDIA</t>
        </is>
      </c>
      <c r="D23" t="inlineStr">
        <is>
          <t>Chemicals</t>
        </is>
      </c>
    </row>
    <row r="24">
      <c r="A24" t="n">
        <v>19</v>
      </c>
      <c r="B24" t="inlineStr">
        <is>
          <t>Maruti Suzuki India Ltd.</t>
        </is>
      </c>
      <c r="C24" t="inlineStr">
        <is>
          <t>MARUTI</t>
        </is>
      </c>
      <c r="D24" t="inlineStr">
        <is>
          <t>Automobile and Auto Components</t>
        </is>
      </c>
    </row>
    <row r="25">
      <c r="A25" t="n">
        <v>20</v>
      </c>
      <c r="B25" t="inlineStr">
        <is>
          <t>Nestle India Ltd.</t>
        </is>
      </c>
      <c r="C25" t="inlineStr">
        <is>
          <t>NESTLEIND</t>
        </is>
      </c>
      <c r="D25" t="inlineStr">
        <is>
          <t>Fast Moving Consumer Goods</t>
        </is>
      </c>
    </row>
    <row r="26">
      <c r="A26" t="n">
        <v>21</v>
      </c>
      <c r="B26" t="inlineStr">
        <is>
          <t>Nippon Life India Asset Management Ltd.</t>
        </is>
      </c>
      <c r="C26" t="inlineStr">
        <is>
          <t>NAM-INDIA</t>
        </is>
      </c>
      <c r="D26" t="inlineStr">
        <is>
          <t>Financial Services</t>
        </is>
      </c>
    </row>
    <row r="27">
      <c r="A27" t="n">
        <v>22</v>
      </c>
      <c r="B27" t="inlineStr">
        <is>
          <t>Oracle Financial Services Software Ltd.</t>
        </is>
      </c>
      <c r="C27" t="inlineStr">
        <is>
          <t>OFSS</t>
        </is>
      </c>
      <c r="D27" t="inlineStr">
        <is>
          <t>Information Technology</t>
        </is>
      </c>
    </row>
    <row r="28">
      <c r="A28" t="n">
        <v>23</v>
      </c>
      <c r="B28" t="inlineStr">
        <is>
          <t>Schaeffler India Ltd.</t>
        </is>
      </c>
      <c r="C28" t="inlineStr">
        <is>
          <t>SCHAEFFLER</t>
        </is>
      </c>
      <c r="D28" t="inlineStr">
        <is>
          <t>Automobile and Auto Components</t>
        </is>
      </c>
    </row>
    <row r="29">
      <c r="A29" t="n">
        <v>24</v>
      </c>
      <c r="B29" t="inlineStr">
        <is>
          <t>Siemens Energy India Ltd.</t>
        </is>
      </c>
      <c r="C29" t="inlineStr">
        <is>
          <t>ENRIN</t>
        </is>
      </c>
      <c r="D29" t="inlineStr">
        <is>
          <t>Capital Goods</t>
        </is>
      </c>
    </row>
    <row r="30">
      <c r="A30" t="n">
        <v>25</v>
      </c>
      <c r="B30" t="inlineStr">
        <is>
          <t>Siemens Ltd.</t>
        </is>
      </c>
      <c r="C30" t="inlineStr">
        <is>
          <t>SIEMENS</t>
        </is>
      </c>
      <c r="D30" t="inlineStr">
        <is>
          <t>Capital Goods</t>
        </is>
      </c>
    </row>
    <row r="31">
      <c r="A31" t="n">
        <v>26</v>
      </c>
      <c r="B31" t="inlineStr">
        <is>
          <t>Timken India Ltd.</t>
        </is>
      </c>
      <c r="C31" t="inlineStr">
        <is>
          <t>TIMKEN</t>
        </is>
      </c>
      <c r="D31" t="inlineStr">
        <is>
          <t>Capital Goods</t>
        </is>
      </c>
    </row>
    <row r="32">
      <c r="A32" t="n">
        <v>27</v>
      </c>
      <c r="B32" t="inlineStr">
        <is>
          <t>United Breweries Ltd.</t>
        </is>
      </c>
      <c r="C32" t="inlineStr">
        <is>
          <t>UBL</t>
        </is>
      </c>
      <c r="D32" t="inlineStr">
        <is>
          <t>Fast Moving Consumer Goods</t>
        </is>
      </c>
    </row>
    <row r="33">
      <c r="A33" t="n">
        <v>28</v>
      </c>
      <c r="B33" t="inlineStr">
        <is>
          <t>United Spirits Ltd.</t>
        </is>
      </c>
      <c r="C33" t="inlineStr">
        <is>
          <t>UNITDSPR</t>
        </is>
      </c>
      <c r="D33" t="inlineStr">
        <is>
          <t>Fast Moving Consumer Goods</t>
        </is>
      </c>
    </row>
    <row r="34">
      <c r="A34" t="n">
        <v>29</v>
      </c>
      <c r="B34" t="inlineStr">
        <is>
          <t>Vedanta Aluminium Metal Ltd.</t>
        </is>
      </c>
      <c r="C34" t="inlineStr">
        <is>
          <t>VAML</t>
        </is>
      </c>
      <c r="D34" t="inlineStr">
        <is>
          <t>Metals &amp; Mining</t>
        </is>
      </c>
    </row>
    <row r="35">
      <c r="A35" t="n">
        <v>30</v>
      </c>
      <c r="B35" t="inlineStr">
        <is>
          <t>Vedanta Ltd.</t>
        </is>
      </c>
      <c r="C35" t="inlineStr">
        <is>
          <t>VEDL</t>
        </is>
      </c>
      <c r="D35" t="inlineStr">
        <is>
          <t>Metals &amp; Mining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2026-10-28T18:30:17Z</dcterms:created>
  <dcterms:modified xsi:type="dcterms:W3CDTF">2026-10-28T18:30:43Z</dcterms:modified>
</cp:coreProperties>
</file>