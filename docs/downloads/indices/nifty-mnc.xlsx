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mnc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9" customWidth="1" min="5" max="5"/>
    <col width="21" customWidth="1" min="6" max="6"/>
    <col width="19" customWidth="1" min="7" max="7"/>
  </cols>
  <sheetData>
    <row r="1" ht="26" customHeight="1">
      <c r="A1" s="1" t="inlineStr">
        <is>
          <t>NIFTY Mnc Valuation Tracker</t>
        </is>
      </c>
    </row>
    <row r="2">
      <c r="A2" s="2" t="inlineStr">
        <is>
          <t>As of</t>
        </is>
      </c>
      <c r="B2" s="23" t="n">
        <v>46308</v>
      </c>
      <c r="D2" s="2" t="inlineStr">
        <is>
          <t>Group</t>
        </is>
      </c>
      <c r="E2" s="4" t="inlineStr">
        <is>
          <t>Strategy / Thematic / Other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29829.35</v>
      </c>
      <c r="D5" s="2" t="inlineStr">
        <is>
          <t>P/E</t>
        </is>
      </c>
      <c r="E5" s="25" t="n">
        <v>34.41</v>
      </c>
    </row>
    <row r="6">
      <c r="A6" s="2" t="inlineStr">
        <is>
          <t>P/E percentile</t>
        </is>
      </c>
      <c r="B6" s="26" t="n">
        <v>0.1287878787878788</v>
      </c>
      <c r="D6" s="2" t="inlineStr">
        <is>
          <t>Implied EPS</t>
        </is>
      </c>
      <c r="E6" s="27" t="n">
        <v>866.8802673641384</v>
      </c>
    </row>
    <row r="7">
      <c r="A7" s="2" t="inlineStr">
        <is>
          <t>YoY implied EPS growth</t>
        </is>
      </c>
      <c r="B7" s="26" t="n">
        <v>0.04040769520784138</v>
      </c>
      <c r="D7" s="2" t="inlineStr">
        <is>
          <t>Earnings yield</t>
        </is>
      </c>
      <c r="E7" s="10" t="n">
        <v>0.02906131938390003</v>
      </c>
    </row>
    <row r="8">
      <c r="A8" s="2" t="inlineStr">
        <is>
          <t>Valuation score</t>
        </is>
      </c>
      <c r="B8" s="28" t="n">
        <v>87.12121212121212</v>
      </c>
      <c r="D8" s="2" t="inlineStr">
        <is>
          <t>Growth score</t>
        </is>
      </c>
      <c r="E8" s="28" t="n">
        <v>36.16307808313655</v>
      </c>
    </row>
    <row r="9">
      <c r="A9" s="2" t="inlineStr">
        <is>
          <t>Composite score</t>
        </is>
      </c>
      <c r="B9" s="28" t="n">
        <v>71.83377190978945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34.68442010664262</v>
      </c>
      <c r="C13" s="15" t="n">
        <v>30067.23937541645</v>
      </c>
      <c r="D13" s="30" t="n">
        <v>0.007975010364505097</v>
      </c>
    </row>
    <row r="14">
      <c r="A14" t="inlineStr">
        <is>
          <t>HOLD → SELL</t>
        </is>
      </c>
      <c r="B14" s="29" t="n">
        <v>45.44950056552906</v>
      </c>
      <c r="C14" s="15" t="n">
        <v>39399.27520181239</v>
      </c>
      <c r="D14" s="30" t="n">
        <v>0.3208224517735849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7</v>
      </c>
      <c r="C18" s="30" t="n">
        <v>0.09132775017701711</v>
      </c>
      <c r="D18" s="30" t="n">
        <v>0.04372230119618126</v>
      </c>
      <c r="E18" s="30" t="n">
        <v>0.07792095539878208</v>
      </c>
      <c r="F18" s="30" t="n"/>
      <c r="G18" s="30" t="n">
        <v>0</v>
      </c>
    </row>
    <row r="19">
      <c r="A19" t="inlineStr">
        <is>
          <t>Q2</t>
        </is>
      </c>
      <c r="B19" t="n">
        <v>7</v>
      </c>
      <c r="C19" s="30" t="n">
        <v>0.01546744933647926</v>
      </c>
      <c r="D19" s="30" t="n">
        <v>0.106688759099933</v>
      </c>
      <c r="E19" s="30" t="n">
        <v>0.1473895847445308</v>
      </c>
      <c r="F19" s="30" t="n"/>
      <c r="G19" s="30" t="n">
        <v>0</v>
      </c>
    </row>
    <row r="20">
      <c r="A20" t="inlineStr">
        <is>
          <t>Q3</t>
        </is>
      </c>
      <c r="B20" t="n">
        <v>8</v>
      </c>
      <c r="C20" s="30" t="n">
        <v>0.0542866018803051</v>
      </c>
      <c r="D20" s="30" t="n">
        <v>0.1136647759157019</v>
      </c>
      <c r="E20" s="30" t="n">
        <v>0.1031028663896776</v>
      </c>
      <c r="F20" s="30" t="n"/>
      <c r="G20" s="30" t="n">
        <v>0</v>
      </c>
    </row>
    <row r="21">
      <c r="A21" t="inlineStr">
        <is>
          <t>Q4</t>
        </is>
      </c>
      <c r="B21" t="n">
        <v>7</v>
      </c>
      <c r="C21" s="30" t="n">
        <v>0.02473239084979562</v>
      </c>
      <c r="D21" s="30" t="n">
        <v>0.1089461865875303</v>
      </c>
      <c r="E21" s="30" t="n">
        <v>0.1053316446201706</v>
      </c>
      <c r="F21" s="30" t="n">
        <v>0.1301581915926568</v>
      </c>
      <c r="G21" s="30" t="n">
        <v>0</v>
      </c>
    </row>
    <row r="22">
      <c r="A22" t="inlineStr">
        <is>
          <t>Q5 Most Expensive</t>
        </is>
      </c>
      <c r="B22" t="n">
        <v>9</v>
      </c>
      <c r="C22" s="30" t="n">
        <v>0.05675059230255219</v>
      </c>
      <c r="D22" s="30" t="n">
        <v>0.1421664121347532</v>
      </c>
      <c r="E22" s="30" t="n">
        <v>0.1291332310376054</v>
      </c>
      <c r="F22" s="30" t="n">
        <v>0.1197779294781602</v>
      </c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38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15935.75</v>
      </c>
      <c r="C2" s="25" t="n"/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16913.5</v>
      </c>
      <c r="C3" s="25" t="n">
        <v>2986.15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17506.7</v>
      </c>
      <c r="C4" s="25" t="n">
        <v>1534.2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17762.4</v>
      </c>
      <c r="C5" s="25" t="n">
        <v>146.84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18717.5</v>
      </c>
      <c r="C6" s="25" t="n">
        <v>61.29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19220.6</v>
      </c>
      <c r="C7" s="25" t="n">
        <v>62.29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19069.95</v>
      </c>
      <c r="C8" s="25" t="n">
        <v>61.1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18540.55</v>
      </c>
      <c r="C9" s="25" t="n">
        <v>50.58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19225.8</v>
      </c>
      <c r="C10" s="25" t="n">
        <v>52.7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18827.2</v>
      </c>
      <c r="C11" s="25" t="n">
        <v>56.12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18357.85</v>
      </c>
      <c r="C12" s="25" t="n">
        <v>53.07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18107.3</v>
      </c>
      <c r="C13" s="25" t="n">
        <v>57.64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18456.75</v>
      </c>
      <c r="C14" s="25" t="n">
        <v>58.31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18355.3</v>
      </c>
      <c r="C15" s="25" t="n">
        <v>53.24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17594.65</v>
      </c>
      <c r="C16" s="25" t="n">
        <v>51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19200.55</v>
      </c>
      <c r="C17" s="25" t="n">
        <v>54.75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19768.65</v>
      </c>
      <c r="C18" s="25" t="n">
        <v>54.37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19707.75</v>
      </c>
      <c r="C19" s="25" t="n">
        <v>58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19909.6</v>
      </c>
      <c r="C20" s="25" t="n">
        <v>59.44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20371.3</v>
      </c>
      <c r="C21" s="25" t="n">
        <v>63.61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19701.3</v>
      </c>
      <c r="C22" s="25" t="n">
        <v>61.2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19364.9</v>
      </c>
      <c r="C23" s="25" t="n">
        <v>62.49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19009.6</v>
      </c>
      <c r="C24" s="25" t="n">
        <v>46.52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19134.9</v>
      </c>
      <c r="C25" s="25" t="n">
        <v>33.1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19811.55</v>
      </c>
      <c r="C26" s="25" t="n">
        <v>34.01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20801.4</v>
      </c>
      <c r="C27" s="25" t="n">
        <v>36.74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21839.55</v>
      </c>
      <c r="C28" s="25" t="n">
        <v>38.04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22491</v>
      </c>
      <c r="C29" s="25" t="n">
        <v>39.74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21926.65</v>
      </c>
      <c r="C30" s="25" t="n">
        <v>36.93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21962.8</v>
      </c>
      <c r="C31" s="25" t="n">
        <v>38.01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21713.25</v>
      </c>
      <c r="C32" s="25" t="n">
        <v>36.76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22664.85</v>
      </c>
      <c r="C33" s="25" t="n">
        <v>39.21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24208.35</v>
      </c>
      <c r="C34" s="25" t="n">
        <v>41.29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24306.35</v>
      </c>
      <c r="C35" s="25" t="n">
        <v>41.23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25090.65</v>
      </c>
      <c r="C36" s="25" t="n">
        <v>41.43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25873.65</v>
      </c>
      <c r="C37" s="25" t="n">
        <v>43.66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27071.4</v>
      </c>
      <c r="C38" s="25" t="n">
        <v>45.57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28550.8</v>
      </c>
      <c r="C39" s="25" t="n">
        <v>47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30362.4</v>
      </c>
      <c r="C40" s="25" t="n">
        <v>49.03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31305.8</v>
      </c>
      <c r="C41" s="25" t="n">
        <v>49.93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30975.7</v>
      </c>
      <c r="C42" s="25" t="n">
        <v>46.8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32582</v>
      </c>
      <c r="C43" s="25" t="n">
        <v>48.78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29235.15</v>
      </c>
      <c r="C44" s="25" t="n">
        <v>43.82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28852</v>
      </c>
      <c r="C45" s="25" t="n">
        <v>38.54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27932.5</v>
      </c>
      <c r="C46" s="25" t="n">
        <v>37.25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27463.4</v>
      </c>
      <c r="C47" s="25" t="n">
        <v>35.83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24934.4</v>
      </c>
      <c r="C48" s="25" t="n">
        <v>31.36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26241.5</v>
      </c>
      <c r="C49" s="25" t="n">
        <v>33.39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27015.7</v>
      </c>
      <c r="C50" s="25" t="n">
        <v>34.32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28115.8</v>
      </c>
      <c r="C51" s="25" t="n">
        <v>33.98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28937.7</v>
      </c>
      <c r="C52" s="25" t="n">
        <v>34.22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28746.85</v>
      </c>
      <c r="C53" s="25" t="n">
        <v>34.01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29337.55</v>
      </c>
      <c r="C54" s="25" t="n">
        <v>34.46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29829.95</v>
      </c>
      <c r="C55" s="25" t="n">
        <v>35.8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30204.95</v>
      </c>
      <c r="C56" s="25" t="n">
        <v>36.26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30392.45</v>
      </c>
      <c r="C57" s="25" t="n">
        <v>36.72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30568.1</v>
      </c>
      <c r="C58" s="25" t="n">
        <v>37.11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30419.45</v>
      </c>
      <c r="C59" s="25" t="n">
        <v>36.79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31703.1</v>
      </c>
      <c r="C60" s="25" t="n">
        <v>39.25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27791.25</v>
      </c>
      <c r="C61" s="25" t="n">
        <v>34.66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31886.6</v>
      </c>
      <c r="C62" s="25" t="n">
        <v>39.51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32455.9</v>
      </c>
      <c r="C63" s="25" t="n">
        <v>39.94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32514.35</v>
      </c>
      <c r="C64" s="25" t="n">
        <v>35.95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33056.15</v>
      </c>
      <c r="C65" s="25" t="n">
        <v>36.25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33033.55</v>
      </c>
      <c r="C66" s="25" t="n">
        <v>35.85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30335.5</v>
      </c>
      <c r="C67" s="25" t="n">
        <v>34.99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9558.25</v>
      </c>
      <c r="C2" s="25" t="n">
        <v>41.42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IF(C2="","",(COUNTIFS($D$2:$D$45,D2,$C$2:$C$45,"&gt;0",$C$2:$C$45,"&lt;"&amp;C2)+(COUNTIFS($D$2:$D$45,D2,$C$2:$C$45,C2)+1)/2)/COUNTIFS($D$2:$D$45,D2,$C$2:$C$45,"&gt;0"))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8965.799999999999</v>
      </c>
      <c r="C3" s="25" t="n">
        <v>38.48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IF(C3="","",(COUNTIFS($D$2:$D$45,D3,$C$2:$C$45,"&gt;0",$C$2:$C$45,"&lt;"&amp;C3)+(COUNTIFS($D$2:$D$45,D3,$C$2:$C$45,C3)+1)/2)/COUNTIFS($D$2:$D$45,D3,$C$2:$C$45,"&gt;0"))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9564.950000000001</v>
      </c>
      <c r="C4" s="25" t="n">
        <v>31.88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IF(C4="","",(COUNTIFS($D$2:$D$45,D4,$C$2:$C$45,"&gt;0",$C$2:$C$45,"&lt;"&amp;C4)+(COUNTIFS($D$2:$D$45,D4,$C$2:$C$45,C4)+1)/2)/COUNTIFS($D$2:$D$45,D4,$C$2:$C$45,"&gt;0"))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10271.25</v>
      </c>
      <c r="C5" s="25" t="n">
        <v>34.86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IF(C5="","",(COUNTIFS($D$2:$D$45,D5,$C$2:$C$45,"&gt;0",$C$2:$C$45,"&lt;"&amp;C5)+(COUNTIFS($D$2:$D$45,D5,$C$2:$C$45,C5)+1)/2)/COUNTIFS($D$2:$D$45,D5,$C$2:$C$45,"&gt;0"))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>
        <f>IFERROR((B45/B5)^(1/10)-1,"")</f>
        <v/>
      </c>
    </row>
    <row r="6">
      <c r="A6" s="31" t="n">
        <v>42735</v>
      </c>
      <c r="B6" s="24" t="n">
        <v>9667.85</v>
      </c>
      <c r="C6" s="25" t="n">
        <v>29.47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IF(C6="","",(COUNTIFS($D$2:$D$45,D6,$C$2:$C$45,"&gt;0",$C$2:$C$45,"&lt;"&amp;C6)+(COUNTIFS($D$2:$D$45,D6,$C$2:$C$45,C6)+1)/2)/COUNTIFS($D$2:$D$45,D6,$C$2:$C$45,"&gt;0"))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10974.65</v>
      </c>
      <c r="C7" s="25" t="n">
        <v>32.48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IF(C7="","",(COUNTIFS($D$2:$D$45,D7,$C$2:$C$45,"&gt;0",$C$2:$C$45,"&lt;"&amp;C7)+(COUNTIFS($D$2:$D$45,D7,$C$2:$C$45,C7)+1)/2)/COUNTIFS($D$2:$D$45,D7,$C$2:$C$45,"&gt;0"))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12090.55</v>
      </c>
      <c r="C8" s="25" t="n">
        <v>25.31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IF(C8="","",(COUNTIFS($D$2:$D$45,D8,$C$2:$C$45,"&gt;0",$C$2:$C$45,"&lt;"&amp;C8)+(COUNTIFS($D$2:$D$45,D8,$C$2:$C$45,C8)+1)/2)/COUNTIFS($D$2:$D$45,D8,$C$2:$C$45,"&gt;0"))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13125.55</v>
      </c>
      <c r="C9" s="25" t="n">
        <v>27.45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IF(C9="","",(COUNTIFS($D$2:$D$45,D9,$C$2:$C$45,"&gt;0",$C$2:$C$45,"&lt;"&amp;C9)+(COUNTIFS($D$2:$D$45,D9,$C$2:$C$45,C9)+1)/2)/COUNTIFS($D$2:$D$45,D9,$C$2:$C$45,"&gt;0"))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14801.9</v>
      </c>
      <c r="C10" s="25" t="n">
        <v>29.48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IF(C10="","",(COUNTIFS($D$2:$D$45,D10,$C$2:$C$45,"&gt;0",$C$2:$C$45,"&lt;"&amp;C10)+(COUNTIFS($D$2:$D$45,D10,$C$2:$C$45,C10)+1)/2)/COUNTIFS($D$2:$D$45,D10,$C$2:$C$45,"&gt;0"))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13767.7</v>
      </c>
      <c r="C11" s="25" t="n">
        <v>26.85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IF(C11="","",(COUNTIFS($D$2:$D$45,D11,$C$2:$C$45,"&gt;0",$C$2:$C$45,"&lt;"&amp;C11)+(COUNTIFS($D$2:$D$45,D11,$C$2:$C$45,C11)+1)/2)/COUNTIFS($D$2:$D$45,D11,$C$2:$C$45,"&gt;0"))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14271.7</v>
      </c>
      <c r="C12" s="25" t="n">
        <v>32.77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IF(C12="","",(COUNTIFS($D$2:$D$45,D12,$C$2:$C$45,"&gt;0",$C$2:$C$45,"&lt;"&amp;C12)+(COUNTIFS($D$2:$D$45,D12,$C$2:$C$45,C12)+1)/2)/COUNTIFS($D$2:$D$45,D12,$C$2:$C$45,"&gt;0"))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13446.45</v>
      </c>
      <c r="C13" s="25" t="n">
        <v>30.55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IF(C13="","",(COUNTIFS($D$2:$D$45,D13,$C$2:$C$45,"&gt;0",$C$2:$C$45,"&lt;"&amp;C13)+(COUNTIFS($D$2:$D$45,D13,$C$2:$C$45,C13)+1)/2)/COUNTIFS($D$2:$D$45,D13,$C$2:$C$45,"&gt;0"))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13941.85</v>
      </c>
      <c r="C14" s="25" t="n">
        <v>30.6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IF(C14="","",(COUNTIFS($D$2:$D$45,D14,$C$2:$C$45,"&gt;0",$C$2:$C$45,"&lt;"&amp;C14)+(COUNTIFS($D$2:$D$45,D14,$C$2:$C$45,C14)+1)/2)/COUNTIFS($D$2:$D$45,D14,$C$2:$C$45,"&gt;0"))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13359.1</v>
      </c>
      <c r="C15" s="25" t="n">
        <v>28.94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IF(C15="","",(COUNTIFS($D$2:$D$45,D15,$C$2:$C$45,"&gt;0",$C$2:$C$45,"&lt;"&amp;C15)+(COUNTIFS($D$2:$D$45,D15,$C$2:$C$45,C15)+1)/2)/COUNTIFS($D$2:$D$45,D15,$C$2:$C$45,"&gt;0"))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13044.1</v>
      </c>
      <c r="C16" s="25" t="n">
        <v>27.9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IF(C16="","",(COUNTIFS($D$2:$D$45,D16,$C$2:$C$45,"&gt;0",$C$2:$C$45,"&lt;"&amp;C16)+(COUNTIFS($D$2:$D$45,D16,$C$2:$C$45,C16)+1)/2)/COUNTIFS($D$2:$D$45,D16,$C$2:$C$45,"&gt;0"))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13471.4</v>
      </c>
      <c r="C17" s="25" t="n">
        <v>63.32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IF(C17="","",(COUNTIFS($D$2:$D$45,D17,$C$2:$C$45,"&gt;0",$C$2:$C$45,"&lt;"&amp;C17)+(COUNTIFS($D$2:$D$45,D17,$C$2:$C$45,C17)+1)/2)/COUNTIFS($D$2:$D$45,D17,$C$2:$C$45,"&gt;0"))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13788.95</v>
      </c>
      <c r="C18" s="25" t="n"/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IF(C18="","",(COUNTIFS($D$2:$D$45,D18,$C$2:$C$45,"&gt;0",$C$2:$C$45,"&lt;"&amp;C18)+(COUNTIFS($D$2:$D$45,D18,$C$2:$C$45,C18)+1)/2)/COUNTIFS($D$2:$D$45,D18,$C$2:$C$45,"&gt;0"))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11069.3</v>
      </c>
      <c r="C19" s="25" t="n"/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IF(C19="","",(COUNTIFS($D$2:$D$45,D19,$C$2:$C$45,"&gt;0",$C$2:$C$45,"&lt;"&amp;C19)+(COUNTIFS($D$2:$D$45,D19,$C$2:$C$45,C19)+1)/2)/COUNTIFS($D$2:$D$45,D19,$C$2:$C$45,"&gt;0"))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13226.55</v>
      </c>
      <c r="C20" s="25" t="n"/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IF(C20="","",(COUNTIFS($D$2:$D$45,D20,$C$2:$C$45,"&gt;0",$C$2:$C$45,"&lt;"&amp;C20)+(COUNTIFS($D$2:$D$45,D20,$C$2:$C$45,C20)+1)/2)/COUNTIFS($D$2:$D$45,D20,$C$2:$C$45,"&gt;0"))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14011.7</v>
      </c>
      <c r="C21" s="25" t="n"/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IF(C21="","",(COUNTIFS($D$2:$D$45,D21,$C$2:$C$45,"&gt;0",$C$2:$C$45,"&lt;"&amp;C21)+(COUNTIFS($D$2:$D$45,D21,$C$2:$C$45,C21)+1)/2)/COUNTIFS($D$2:$D$45,D21,$C$2:$C$45,"&gt;0"))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15653.45</v>
      </c>
      <c r="C22" s="25" t="n"/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IF(C22="","",(COUNTIFS($D$2:$D$45,D22,$C$2:$C$45,"&gt;0",$C$2:$C$45,"&lt;"&amp;C22)+(COUNTIFS($D$2:$D$45,D22,$C$2:$C$45,C22)+1)/2)/COUNTIFS($D$2:$D$45,D22,$C$2:$C$45,"&gt;0"))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16261.4</v>
      </c>
      <c r="C23" s="25" t="n"/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IF(C23="","",(COUNTIFS($D$2:$D$45,D23,$C$2:$C$45,"&gt;0",$C$2:$C$45,"&lt;"&amp;C23)+(COUNTIFS($D$2:$D$45,D23,$C$2:$C$45,C23)+1)/2)/COUNTIFS($D$2:$D$45,D23,$C$2:$C$45,"&gt;0"))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17506.7</v>
      </c>
      <c r="C24" s="25" t="n">
        <v>1534.2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IF(C24="","",(COUNTIFS($D$2:$D$45,D24,$C$2:$C$45,"&gt;0",$C$2:$C$45,"&lt;"&amp;C24)+(COUNTIFS($D$2:$D$45,D24,$C$2:$C$45,C24)+1)/2)/COUNTIFS($D$2:$D$45,D24,$C$2:$C$45,"&gt;0"))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19220.6</v>
      </c>
      <c r="C25" s="25" t="n">
        <v>62.29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IF(C25="","",(COUNTIFS($D$2:$D$45,D25,$C$2:$C$45,"&gt;0",$C$2:$C$45,"&lt;"&amp;C25)+(COUNTIFS($D$2:$D$45,D25,$C$2:$C$45,C25)+1)/2)/COUNTIFS($D$2:$D$45,D25,$C$2:$C$45,"&gt;0"))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>
        <f>IFERROR((B45/B25)^(1/5)-1,"")</f>
        <v/>
      </c>
      <c r="L25" s="30" t="n"/>
    </row>
    <row r="26">
      <c r="A26" s="31" t="n">
        <v>44561</v>
      </c>
      <c r="B26" s="24" t="n">
        <v>19225.8</v>
      </c>
      <c r="C26" s="25" t="n">
        <v>52.7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IF(C26="","",(COUNTIFS($D$2:$D$45,D26,$C$2:$C$45,"&gt;0",$C$2:$C$45,"&lt;"&amp;C26)+(COUNTIFS($D$2:$D$45,D26,$C$2:$C$45,C26)+1)/2)/COUNTIFS($D$2:$D$45,D26,$C$2:$C$45,"&gt;0"))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18107.3</v>
      </c>
      <c r="C27" s="25" t="n">
        <v>57.64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IF(C27="","",(COUNTIFS($D$2:$D$45,D27,$C$2:$C$45,"&gt;0",$C$2:$C$45,"&lt;"&amp;C27)+(COUNTIFS($D$2:$D$45,D27,$C$2:$C$45,C27)+1)/2)/COUNTIFS($D$2:$D$45,D27,$C$2:$C$45,"&gt;0"))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17594.65</v>
      </c>
      <c r="C28" s="25" t="n">
        <v>51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IF(C28="","",(COUNTIFS($D$2:$D$45,D28,$C$2:$C$45,"&gt;0",$C$2:$C$45,"&lt;"&amp;C28)+(COUNTIFS($D$2:$D$45,D28,$C$2:$C$45,C28)+1)/2)/COUNTIFS($D$2:$D$45,D28,$C$2:$C$45,"&gt;0"))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19707.75</v>
      </c>
      <c r="C29" s="25" t="n">
        <v>58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IF(C29="","",(COUNTIFS($D$2:$D$45,D29,$C$2:$C$45,"&gt;0",$C$2:$C$45,"&lt;"&amp;C29)+(COUNTIFS($D$2:$D$45,D29,$C$2:$C$45,C29)+1)/2)/COUNTIFS($D$2:$D$45,D29,$C$2:$C$45,"&gt;0"))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19701.3</v>
      </c>
      <c r="C30" s="25" t="n">
        <v>61.2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IF(C30="","",(COUNTIFS($D$2:$D$45,D30,$C$2:$C$45,"&gt;0",$C$2:$C$45,"&lt;"&amp;C30)+(COUNTIFS($D$2:$D$45,D30,$C$2:$C$45,C30)+1)/2)/COUNTIFS($D$2:$D$45,D30,$C$2:$C$45,"&gt;0"))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19134.9</v>
      </c>
      <c r="C31" s="25" t="n">
        <v>33.1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IF(C31="","",(COUNTIFS($D$2:$D$45,D31,$C$2:$C$45,"&gt;0",$C$2:$C$45,"&lt;"&amp;C31)+(COUNTIFS($D$2:$D$45,D31,$C$2:$C$45,C31)+1)/2)/COUNTIFS($D$2:$D$45,D31,$C$2:$C$45,"&gt;0"))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21839.55</v>
      </c>
      <c r="C32" s="25" t="n">
        <v>38.04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IF(C32="","",(COUNTIFS($D$2:$D$45,D32,$C$2:$C$45,"&gt;0",$C$2:$C$45,"&lt;"&amp;C32)+(COUNTIFS($D$2:$D$45,D32,$C$2:$C$45,C32)+1)/2)/COUNTIFS($D$2:$D$45,D32,$C$2:$C$45,"&gt;0"))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21962.8</v>
      </c>
      <c r="C33" s="25" t="n">
        <v>38.01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IF(C33="","",(COUNTIFS($D$2:$D$45,D33,$C$2:$C$45,"&gt;0",$C$2:$C$45,"&lt;"&amp;C33)+(COUNTIFS($D$2:$D$45,D33,$C$2:$C$45,C33)+1)/2)/COUNTIFS($D$2:$D$45,D33,$C$2:$C$45,"&gt;0"))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>
        <f>IFERROR((B45/B33)^(1/3)-1,"")</f>
        <v/>
      </c>
      <c r="K33" s="30" t="n"/>
      <c r="L33" s="30" t="n"/>
    </row>
    <row r="34">
      <c r="A34" s="31" t="n">
        <v>45291</v>
      </c>
      <c r="B34" s="24" t="n">
        <v>24208.35</v>
      </c>
      <c r="C34" s="25" t="n">
        <v>41.29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IF(C34="","",(COUNTIFS($D$2:$D$45,D34,$C$2:$C$45,"&gt;0",$C$2:$C$45,"&lt;"&amp;C34)+(COUNTIFS($D$2:$D$45,D34,$C$2:$C$45,C34)+1)/2)/COUNTIFS($D$2:$D$45,D34,$C$2:$C$45,"&gt;0"))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25873.65</v>
      </c>
      <c r="C35" s="25" t="n">
        <v>43.66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IF(C35="","",(COUNTIFS($D$2:$D$45,D35,$C$2:$C$45,"&gt;0",$C$2:$C$45,"&lt;"&amp;C35)+(COUNTIFS($D$2:$D$45,D35,$C$2:$C$45,C35)+1)/2)/COUNTIFS($D$2:$D$45,D35,$C$2:$C$45,"&gt;0"))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30362.4</v>
      </c>
      <c r="C36" s="25" t="n">
        <v>49.03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IF(C36="","",(COUNTIFS($D$2:$D$45,D36,$C$2:$C$45,"&gt;0",$C$2:$C$45,"&lt;"&amp;C36)+(COUNTIFS($D$2:$D$45,D36,$C$2:$C$45,C36)+1)/2)/COUNTIFS($D$2:$D$45,D36,$C$2:$C$45,"&gt;0"))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32582</v>
      </c>
      <c r="C37" s="25" t="n">
        <v>48.78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IF(C37="","",(COUNTIFS($D$2:$D$45,D37,$C$2:$C$45,"&gt;0",$C$2:$C$45,"&lt;"&amp;C37)+(COUNTIFS($D$2:$D$45,D37,$C$2:$C$45,C37)+1)/2)/COUNTIFS($D$2:$D$45,D37,$C$2:$C$45,"&gt;0"))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27932.5</v>
      </c>
      <c r="C38" s="25" t="n">
        <v>37.25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IF(C38="","",(COUNTIFS($D$2:$D$45,D38,$C$2:$C$45,"&gt;0",$C$2:$C$45,"&lt;"&amp;C38)+(COUNTIFS($D$2:$D$45,D38,$C$2:$C$45,C38)+1)/2)/COUNTIFS($D$2:$D$45,D38,$C$2:$C$45,"&gt;0"))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26241.5</v>
      </c>
      <c r="C39" s="25" t="n">
        <v>33.39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IF(C39="","",(COUNTIFS($D$2:$D$45,D39,$C$2:$C$45,"&gt;0",$C$2:$C$45,"&lt;"&amp;C39)+(COUNTIFS($D$2:$D$45,D39,$C$2:$C$45,C39)+1)/2)/COUNTIFS($D$2:$D$45,D39,$C$2:$C$45,"&gt;0"))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28937.7</v>
      </c>
      <c r="C40" s="25" t="n">
        <v>34.22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IF(C40="","",(COUNTIFS($D$2:$D$45,D40,$C$2:$C$45,"&gt;0",$C$2:$C$45,"&lt;"&amp;C40)+(COUNTIFS($D$2:$D$45,D40,$C$2:$C$45,C40)+1)/2)/COUNTIFS($D$2:$D$45,D40,$C$2:$C$45,"&gt;0"))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29829.95</v>
      </c>
      <c r="C41" s="25" t="n">
        <v>35.8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IF(C41="","",(COUNTIFS($D$2:$D$45,D41,$C$2:$C$45,"&gt;0",$C$2:$C$45,"&lt;"&amp;C41)+(COUNTIFS($D$2:$D$45,D41,$C$2:$C$45,C41)+1)/2)/COUNTIFS($D$2:$D$45,D41,$C$2:$C$45,"&gt;0"))</f>
        <v/>
      </c>
      <c r="H41">
        <f>IF(G41="","",IF(G41&lt;=20%,"Q1 Cheapest",IF(G41&lt;=40%,"Q2",IF(G41&lt;=60%,"Q3",IF(G41&lt;=80%,"Q4","Q5 Most Expensive")))))</f>
        <v/>
      </c>
      <c r="I41" s="30">
        <f>IFERROR(B45/B41-1,"")</f>
        <v/>
      </c>
      <c r="J41" s="30" t="n"/>
      <c r="K41" s="30" t="n"/>
      <c r="L41" s="30" t="n"/>
    </row>
    <row r="42">
      <c r="A42" s="31" t="n">
        <v>46022</v>
      </c>
      <c r="B42" s="24" t="n">
        <v>30568.1</v>
      </c>
      <c r="C42" s="25" t="n">
        <v>37.11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IF(C42="","",(COUNTIFS($D$2:$D$45,D42,$C$2:$C$45,"&gt;0",$C$2:$C$45,"&lt;"&amp;C42)+(COUNTIFS($D$2:$D$45,D42,$C$2:$C$45,C42)+1)/2)/COUNTIFS($D$2:$D$45,D42,$C$2:$C$45,"&gt;0"))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27791.25</v>
      </c>
      <c r="C43" s="25" t="n">
        <v>34.66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IF(C43="","",(COUNTIFS($D$2:$D$45,D43,$C$2:$C$45,"&gt;0",$C$2:$C$45,"&lt;"&amp;C43)+(COUNTIFS($D$2:$D$45,D43,$C$2:$C$45,C43)+1)/2)/COUNTIFS($D$2:$D$45,D43,$C$2:$C$45,"&gt;0"))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32514.35</v>
      </c>
      <c r="C44" s="25" t="n">
        <v>35.95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IF(C44="","",(COUNTIFS($D$2:$D$45,D44,$C$2:$C$45,"&gt;0",$C$2:$C$45,"&lt;"&amp;C44)+(COUNTIFS($D$2:$D$45,D44,$C$2:$C$45,C44)+1)/2)/COUNTIFS($D$2:$D$45,D44,$C$2:$C$45,"&gt;0"))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  <row r="45">
      <c r="A45" s="31" t="n">
        <v>46295</v>
      </c>
      <c r="B45" s="24" t="n">
        <v>30335.5</v>
      </c>
      <c r="C45" s="25" t="n">
        <v>34.99</v>
      </c>
      <c r="D45" s="2" t="inlineStr">
        <is>
          <t>Consolidated</t>
        </is>
      </c>
      <c r="E45" s="33">
        <f>IFERROR(B45/C45,"")</f>
        <v/>
      </c>
      <c r="F45" s="30">
        <f>IF(AND(D45=D41,E41&lt;&gt;""),E45/E41-1,"")</f>
        <v/>
      </c>
      <c r="G45" s="30">
        <f>IF(C45="","",(COUNTIFS($D$2:$D$45,D45,$C$2:$C$45,"&gt;0",$C$2:$C$45,"&lt;"&amp;C45)+(COUNTIFS($D$2:$D$45,D45,$C$2:$C$45,C45)+1)/2)/COUNTIFS($D$2:$D$45,D45,$C$2:$C$45,"&gt;0"))</f>
        <v/>
      </c>
      <c r="H45">
        <f>IF(G45="","",IF(G45&lt;=20%,"Q1 Cheapest",IF(G45&lt;=40%,"Q2",IF(G45&lt;=60%,"Q3",IF(G45&lt;=80%,"Q4","Q5 Most Expensive")))))</f>
        <v/>
      </c>
      <c r="I45" s="30" t="n"/>
      <c r="J45" s="30" t="n"/>
      <c r="K45" s="30" t="n"/>
      <c r="L45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1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7" customWidth="1" min="4" max="4"/>
    <col width="17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31687.05</v>
      </c>
      <c r="C2" s="25" t="n">
        <v>34.39</v>
      </c>
      <c r="D2" s="26" t="n">
        <v>0.130769230769</v>
      </c>
      <c r="E2" s="26" t="n">
        <v>0.08219057314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31562.65</v>
      </c>
      <c r="C3" s="25" t="n">
        <v>34.25</v>
      </c>
      <c r="D3" s="26" t="n">
        <v>0.115384615385</v>
      </c>
      <c r="E3" s="26" t="n">
        <v>0.0822029776722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31358.8</v>
      </c>
      <c r="C4" s="25" t="n">
        <v>34.03</v>
      </c>
      <c r="D4" s="26" t="n">
        <v>0.1</v>
      </c>
      <c r="E4" s="26" t="n">
        <v>0.08216461107340001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31591.2</v>
      </c>
      <c r="C5" s="25" t="n">
        <v>34.29</v>
      </c>
      <c r="D5" s="26" t="n">
        <v>0.115384615385</v>
      </c>
      <c r="E5" s="26" t="n">
        <v>0.08215044218379999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31201.7</v>
      </c>
      <c r="C6" s="25" t="n">
        <v>33.86</v>
      </c>
      <c r="D6" s="26" t="n">
        <v>0.0538461538462</v>
      </c>
      <c r="E6" s="26" t="n">
        <v>0.08221406771130001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31347.1</v>
      </c>
      <c r="C7" s="25" t="n">
        <v>34.02</v>
      </c>
      <c r="D7" s="26" t="n">
        <v>0.1</v>
      </c>
      <c r="E7" s="26" t="n">
        <v>0.0820446533758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30832.8</v>
      </c>
      <c r="C8" s="25" t="n">
        <v>33.46</v>
      </c>
      <c r="D8" s="26" t="n">
        <v>0.0538461538462</v>
      </c>
      <c r="E8" s="26" t="n">
        <v>0.0820938999108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30469.1</v>
      </c>
      <c r="C9" s="25" t="n">
        <v>33.07</v>
      </c>
      <c r="D9" s="26" t="n">
        <v>0.0230769230769</v>
      </c>
      <c r="E9" s="26" t="n">
        <v>0.08204584608649999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30335.5</v>
      </c>
      <c r="C10" s="25" t="n">
        <v>34.99</v>
      </c>
      <c r="D10" s="26" t="n">
        <v>0.166666666667</v>
      </c>
      <c r="E10" s="26" t="n">
        <v>0.0404895343753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29972.45</v>
      </c>
      <c r="C11" s="25" t="n">
        <v>34.57</v>
      </c>
      <c r="D11" s="26" t="n">
        <v>0.143939393939</v>
      </c>
      <c r="E11" s="26" t="n">
        <v>0.0404873882332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30018.6</v>
      </c>
      <c r="C12" s="25" t="n">
        <v>34.63</v>
      </c>
      <c r="D12" s="26" t="n">
        <v>0.143939393939</v>
      </c>
      <c r="E12" s="26" t="n">
        <v>0.0404351395898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  <row r="13">
      <c r="A13" s="31" t="n">
        <v>46301</v>
      </c>
      <c r="B13" s="24" t="n">
        <v>30489.45</v>
      </c>
      <c r="C13" s="25" t="n">
        <v>35.17</v>
      </c>
      <c r="D13" s="26" t="n">
        <v>0.174242424242</v>
      </c>
      <c r="E13" s="26" t="n">
        <v>0.0405984042656</v>
      </c>
      <c r="F13" s="34">
        <f>IF(D13="","",100*(1-D13))</f>
        <v/>
      </c>
      <c r="G13" s="34">
        <f>IF(E13="","",IF(E13&lt;=0,20,IF(E13&lt;5%,20+400*E13,IF(E13&lt;10%,40+400*(E13-5%),IF(E13&lt;15%,60+400*(E13-10%),IF(E13&lt;25%,80+200*(E13-15%),100))))))</f>
        <v/>
      </c>
      <c r="H13" s="34">
        <f>IF(OR(F13="",G13=""),"",70%*F13+30%*G13)</f>
        <v/>
      </c>
      <c r="I13">
        <f>IF(H13="","",IF(H13&gt;=70,"BUY",IF(H13&gt;=40,"HOLD","SELL")))</f>
        <v/>
      </c>
    </row>
    <row r="14">
      <c r="A14" s="31" t="n">
        <v>46302</v>
      </c>
      <c r="B14" s="24" t="n">
        <v>30139.55</v>
      </c>
      <c r="C14" s="25" t="n">
        <v>34.77</v>
      </c>
      <c r="D14" s="26" t="n">
        <v>0.159090909091</v>
      </c>
      <c r="E14" s="26" t="n">
        <v>0.0402737017572</v>
      </c>
      <c r="F14" s="34">
        <f>IF(D14="","",100*(1-D14))</f>
        <v/>
      </c>
      <c r="G14" s="34">
        <f>IF(E14="","",IF(E14&lt;=0,20,IF(E14&lt;5%,20+400*E14,IF(E14&lt;10%,40+400*(E14-5%),IF(E14&lt;15%,60+400*(E14-10%),IF(E14&lt;25%,80+200*(E14-15%),100))))))</f>
        <v/>
      </c>
      <c r="H14" s="34">
        <f>IF(OR(F14="",G14=""),"",70%*F14+30%*G14)</f>
        <v/>
      </c>
      <c r="I14">
        <f>IF(H14="","",IF(H14&gt;=70,"BUY",IF(H14&gt;=40,"HOLD","SELL")))</f>
        <v/>
      </c>
    </row>
    <row r="15">
      <c r="A15" s="31" t="n">
        <v>46303</v>
      </c>
      <c r="B15" s="24" t="n">
        <v>29467.2</v>
      </c>
      <c r="C15" s="25" t="n">
        <v>33.99</v>
      </c>
      <c r="D15" s="26" t="n">
        <v>0.0681818181818</v>
      </c>
      <c r="E15" s="26" t="n">
        <v>0.0404846524063</v>
      </c>
      <c r="F15" s="34">
        <f>IF(D15="","",100*(1-D15))</f>
        <v/>
      </c>
      <c r="G15" s="34">
        <f>IF(E15="","",IF(E15&lt;=0,20,IF(E15&lt;5%,20+400*E15,IF(E15&lt;10%,40+400*(E15-5%),IF(E15&lt;15%,60+400*(E15-10%),IF(E15&lt;25%,80+200*(E15-15%),100))))))</f>
        <v/>
      </c>
      <c r="H15" s="34">
        <f>IF(OR(F15="",G15=""),"",70%*F15+30%*G15)</f>
        <v/>
      </c>
      <c r="I15">
        <f>IF(H15="","",IF(H15&gt;=70,"BUY",IF(H15&gt;=40,"HOLD","SELL")))</f>
        <v/>
      </c>
    </row>
    <row r="16">
      <c r="A16" s="31" t="n">
        <v>46304</v>
      </c>
      <c r="B16" s="24" t="n">
        <v>29737.45</v>
      </c>
      <c r="C16" s="25" t="n">
        <v>34.3</v>
      </c>
      <c r="D16" s="26" t="n">
        <v>0.113636363636</v>
      </c>
      <c r="E16" s="26" t="n">
        <v>0.0404781754187</v>
      </c>
      <c r="F16" s="34">
        <f>IF(D16="","",100*(1-D16))</f>
        <v/>
      </c>
      <c r="G16" s="34">
        <f>IF(E16="","",IF(E16&lt;=0,20,IF(E16&lt;5%,20+400*E16,IF(E16&lt;10%,40+400*(E16-5%),IF(E16&lt;15%,60+400*(E16-10%),IF(E16&lt;25%,80+200*(E16-15%),100))))))</f>
        <v/>
      </c>
      <c r="H16" s="34">
        <f>IF(OR(F16="",G16=""),"",70%*F16+30%*G16)</f>
        <v/>
      </c>
      <c r="I16">
        <f>IF(H16="","",IF(H16&gt;=70,"BUY",IF(H16&gt;=40,"HOLD","SELL")))</f>
        <v/>
      </c>
    </row>
    <row r="17">
      <c r="A17" s="31" t="n">
        <v>46307</v>
      </c>
      <c r="B17" s="24" t="n">
        <v>29656.35</v>
      </c>
      <c r="C17" s="25" t="n">
        <v>34.21</v>
      </c>
      <c r="D17" s="26" t="n">
        <v>0.09848484848480001</v>
      </c>
      <c r="E17" s="26" t="n">
        <v>0.0406163839666</v>
      </c>
      <c r="F17" s="34">
        <f>IF(D17="","",100*(1-D17))</f>
        <v/>
      </c>
      <c r="G17" s="34">
        <f>IF(E17="","",IF(E17&lt;=0,20,IF(E17&lt;5%,20+400*E17,IF(E17&lt;10%,40+400*(E17-5%),IF(E17&lt;15%,60+400*(E17-10%),IF(E17&lt;25%,80+200*(E17-15%),100))))))</f>
        <v/>
      </c>
      <c r="H17" s="34">
        <f>IF(OR(F17="",G17=""),"",70%*F17+30%*G17)</f>
        <v/>
      </c>
      <c r="I17">
        <f>IF(H17="","",IF(H17&gt;=70,"BUY",IF(H17&gt;=40,"HOLD","SELL")))</f>
        <v/>
      </c>
    </row>
    <row r="18">
      <c r="A18" s="31" t="n">
        <v>46308</v>
      </c>
      <c r="B18" s="24" t="n">
        <v>29829.35</v>
      </c>
      <c r="C18" s="25" t="n">
        <v>34.41</v>
      </c>
      <c r="D18" s="26" t="n">
        <v>0.128787878788</v>
      </c>
      <c r="E18" s="26" t="n">
        <v>0.0404076952078</v>
      </c>
      <c r="F18" s="34">
        <f>IF(D18="","",100*(1-D18))</f>
        <v/>
      </c>
      <c r="G18" s="34">
        <f>IF(E18="","",IF(E18&lt;=0,20,IF(E18&lt;5%,20+400*E18,IF(E18&lt;10%,40+400*(E18-5%),IF(E18&lt;15%,60+400*(E18-10%),IF(E18&lt;25%,80+200*(E18-15%),100))))))</f>
        <v/>
      </c>
      <c r="H18" s="34">
        <f>IF(OR(F18="",G18=""),"",70%*F18+30%*G18)</f>
        <v/>
      </c>
      <c r="I18">
        <f>IF(H18="","",IF(H18&gt;=70,"BUY",IF(H18&gt;=40,"HOLD","SELL")))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3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3" customWidth="1" min="1" max="1"/>
    <col width="41" customWidth="1" min="2" max="2"/>
    <col width="12" customWidth="1" min="3" max="3"/>
    <col width="32" customWidth="1" min="4" max="4"/>
    <col width="15" customWidth="1" min="5" max="5"/>
  </cols>
  <sheetData>
    <row r="1">
      <c r="A1" s="35" t="inlineStr">
        <is>
          <t>NIFTY Mnc Composition</t>
        </is>
      </c>
    </row>
    <row r="2">
      <c r="A2" s="2" t="inlineStr">
        <is>
          <t>As of</t>
        </is>
      </c>
      <c r="B2" s="4" t="inlineStr">
        <is>
          <t>Retrieved 2026-10-13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ABB India Ltd.</t>
        </is>
      </c>
      <c r="C6" t="inlineStr">
        <is>
          <t>ABB</t>
        </is>
      </c>
      <c r="D6" t="inlineStr">
        <is>
          <t>Capital Goods</t>
        </is>
      </c>
    </row>
    <row r="7">
      <c r="A7" t="n">
        <v>2</v>
      </c>
      <c r="B7" t="inlineStr">
        <is>
          <t>Abbott India Ltd.</t>
        </is>
      </c>
      <c r="C7" t="inlineStr">
        <is>
          <t>ABBOTINDIA</t>
        </is>
      </c>
      <c r="D7" t="inlineStr">
        <is>
          <t>Healthcare</t>
        </is>
      </c>
    </row>
    <row r="8">
      <c r="A8" t="n">
        <v>3</v>
      </c>
      <c r="B8" t="inlineStr">
        <is>
          <t>Ambuja Cements Ltd.</t>
        </is>
      </c>
      <c r="C8" t="inlineStr">
        <is>
          <t>AMBUJACEM</t>
        </is>
      </c>
      <c r="D8" t="inlineStr">
        <is>
          <t>Construction Materials</t>
        </is>
      </c>
    </row>
    <row r="9">
      <c r="A9" t="n">
        <v>4</v>
      </c>
      <c r="B9" t="inlineStr">
        <is>
          <t>Ashok Leyland Ltd.</t>
        </is>
      </c>
      <c r="C9" t="inlineStr">
        <is>
          <t>ASHOKLEY</t>
        </is>
      </c>
      <c r="D9" t="inlineStr">
        <is>
          <t>Capital Goods</t>
        </is>
      </c>
    </row>
    <row r="10">
      <c r="A10" t="n">
        <v>5</v>
      </c>
      <c r="B10" t="inlineStr">
        <is>
          <t>AWL Agri Business Ltd.</t>
        </is>
      </c>
      <c r="C10" t="inlineStr">
        <is>
          <t>AWL</t>
        </is>
      </c>
      <c r="D10" t="inlineStr">
        <is>
          <t>Fast Moving Consumer Goods</t>
        </is>
      </c>
    </row>
    <row r="11">
      <c r="A11" t="n">
        <v>6</v>
      </c>
      <c r="B11" t="inlineStr">
        <is>
          <t>Bosch Ltd.</t>
        </is>
      </c>
      <c r="C11" t="inlineStr">
        <is>
          <t>BOSCHLTD</t>
        </is>
      </c>
      <c r="D11" t="inlineStr">
        <is>
          <t>Automobile and Auto Components</t>
        </is>
      </c>
    </row>
    <row r="12">
      <c r="A12" t="n">
        <v>7</v>
      </c>
      <c r="B12" t="inlineStr">
        <is>
          <t>Britannia Industries Ltd.</t>
        </is>
      </c>
      <c r="C12" t="inlineStr">
        <is>
          <t>BRITANNIA</t>
        </is>
      </c>
      <c r="D12" t="inlineStr">
        <is>
          <t>Fast Moving Consumer Goods</t>
        </is>
      </c>
    </row>
    <row r="13">
      <c r="A13" t="n">
        <v>8</v>
      </c>
      <c r="B13" t="inlineStr">
        <is>
          <t>Castrol India Ltd.</t>
        </is>
      </c>
      <c r="C13" t="inlineStr">
        <is>
          <t>CASTROLIND</t>
        </is>
      </c>
      <c r="D13" t="inlineStr">
        <is>
          <t>Oil Gas &amp; Consumable Fuels</t>
        </is>
      </c>
    </row>
    <row r="14">
      <c r="A14" t="n">
        <v>9</v>
      </c>
      <c r="B14" t="inlineStr">
        <is>
          <t>Colgate Palmolive (India) Ltd.</t>
        </is>
      </c>
      <c r="C14" t="inlineStr">
        <is>
          <t>COLPAL</t>
        </is>
      </c>
      <c r="D14" t="inlineStr">
        <is>
          <t>Fast Moving Consumer Goods</t>
        </is>
      </c>
    </row>
    <row r="15">
      <c r="A15" t="n">
        <v>10</v>
      </c>
      <c r="B15" t="inlineStr">
        <is>
          <t>CRISIL Ltd.</t>
        </is>
      </c>
      <c r="C15" t="inlineStr">
        <is>
          <t>CRISIL</t>
        </is>
      </c>
      <c r="D15" t="inlineStr">
        <is>
          <t>Financial Services</t>
        </is>
      </c>
    </row>
    <row r="16">
      <c r="A16" t="n">
        <v>11</v>
      </c>
      <c r="B16" t="inlineStr">
        <is>
          <t>Cummins India Ltd.</t>
        </is>
      </c>
      <c r="C16" t="inlineStr">
        <is>
          <t>CUMMINSIND</t>
        </is>
      </c>
      <c r="D16" t="inlineStr">
        <is>
          <t>Capital Goods</t>
        </is>
      </c>
    </row>
    <row r="17">
      <c r="A17" t="n">
        <v>12</v>
      </c>
      <c r="B17" t="inlineStr">
        <is>
          <t>Escorts Kubota Ltd.</t>
        </is>
      </c>
      <c r="C17" t="inlineStr">
        <is>
          <t>ESCORTS</t>
        </is>
      </c>
      <c r="D17" t="inlineStr">
        <is>
          <t>Capital Goods</t>
        </is>
      </c>
    </row>
    <row r="18">
      <c r="A18" t="n">
        <v>13</v>
      </c>
      <c r="B18" t="inlineStr">
        <is>
          <t>Gland Pharma Ltd.</t>
        </is>
      </c>
      <c r="C18" t="inlineStr">
        <is>
          <t>GLAND</t>
        </is>
      </c>
      <c r="D18" t="inlineStr">
        <is>
          <t>Healthcare</t>
        </is>
      </c>
    </row>
    <row r="19">
      <c r="A19" t="n">
        <v>14</v>
      </c>
      <c r="B19" t="inlineStr">
        <is>
          <t>Hindustan Unilever Ltd.</t>
        </is>
      </c>
      <c r="C19" t="inlineStr">
        <is>
          <t>HINDUNILVR</t>
        </is>
      </c>
      <c r="D19" t="inlineStr">
        <is>
          <t>Fast Moving Consumer Goods</t>
        </is>
      </c>
    </row>
    <row r="20">
      <c r="A20" t="n">
        <v>15</v>
      </c>
      <c r="B20" t="inlineStr">
        <is>
          <t>Hitachi Energy India Ltd.</t>
        </is>
      </c>
      <c r="C20" t="inlineStr">
        <is>
          <t>POWERINDIA</t>
        </is>
      </c>
      <c r="D20" t="inlineStr">
        <is>
          <t>Capital Goods</t>
        </is>
      </c>
    </row>
    <row r="21">
      <c r="A21" t="n">
        <v>16</v>
      </c>
      <c r="B21" t="inlineStr">
        <is>
          <t>Hyundai Motor India Ltd.</t>
        </is>
      </c>
      <c r="C21" t="inlineStr">
        <is>
          <t>HYUNDAI</t>
        </is>
      </c>
      <c r="D21" t="inlineStr">
        <is>
          <t>Automobile and Auto Components</t>
        </is>
      </c>
    </row>
    <row r="22">
      <c r="A22" t="n">
        <v>17</v>
      </c>
      <c r="B22" t="inlineStr">
        <is>
          <t>LG Electronics India Ltd.</t>
        </is>
      </c>
      <c r="C22" t="inlineStr">
        <is>
          <t>LGEINDIA</t>
        </is>
      </c>
      <c r="D22" t="inlineStr">
        <is>
          <t>Consumer Durables</t>
        </is>
      </c>
    </row>
    <row r="23">
      <c r="A23" t="n">
        <v>18</v>
      </c>
      <c r="B23" t="inlineStr">
        <is>
          <t>Linde India Ltd.</t>
        </is>
      </c>
      <c r="C23" t="inlineStr">
        <is>
          <t>LINDEINDIA</t>
        </is>
      </c>
      <c r="D23" t="inlineStr">
        <is>
          <t>Chemicals</t>
        </is>
      </c>
    </row>
    <row r="24">
      <c r="A24" t="n">
        <v>19</v>
      </c>
      <c r="B24" t="inlineStr">
        <is>
          <t>Maruti Suzuki India Ltd.</t>
        </is>
      </c>
      <c r="C24" t="inlineStr">
        <is>
          <t>MARUTI</t>
        </is>
      </c>
      <c r="D24" t="inlineStr">
        <is>
          <t>Automobile and Auto Components</t>
        </is>
      </c>
    </row>
    <row r="25">
      <c r="A25" t="n">
        <v>20</v>
      </c>
      <c r="B25" t="inlineStr">
        <is>
          <t>Nestle India Ltd.</t>
        </is>
      </c>
      <c r="C25" t="inlineStr">
        <is>
          <t>NESTLEIND</t>
        </is>
      </c>
      <c r="D25" t="inlineStr">
        <is>
          <t>Fast Moving Consumer Goods</t>
        </is>
      </c>
    </row>
    <row r="26">
      <c r="A26" t="n">
        <v>21</v>
      </c>
      <c r="B26" t="inlineStr">
        <is>
          <t>Nippon Life India Asset Management Ltd.</t>
        </is>
      </c>
      <c r="C26" t="inlineStr">
        <is>
          <t>NAM-INDIA</t>
        </is>
      </c>
      <c r="D26" t="inlineStr">
        <is>
          <t>Financial Services</t>
        </is>
      </c>
    </row>
    <row r="27">
      <c r="A27" t="n">
        <v>22</v>
      </c>
      <c r="B27" t="inlineStr">
        <is>
          <t>Oracle Financial Services Software Ltd.</t>
        </is>
      </c>
      <c r="C27" t="inlineStr">
        <is>
          <t>OFSS</t>
        </is>
      </c>
      <c r="D27" t="inlineStr">
        <is>
          <t>Information Technology</t>
        </is>
      </c>
    </row>
    <row r="28">
      <c r="A28" t="n">
        <v>23</v>
      </c>
      <c r="B28" t="inlineStr">
        <is>
          <t>Schaeffler India Ltd.</t>
        </is>
      </c>
      <c r="C28" t="inlineStr">
        <is>
          <t>SCHAEFFLER</t>
        </is>
      </c>
      <c r="D28" t="inlineStr">
        <is>
          <t>Automobile and Auto Components</t>
        </is>
      </c>
    </row>
    <row r="29">
      <c r="A29" t="n">
        <v>24</v>
      </c>
      <c r="B29" t="inlineStr">
        <is>
          <t>Siemens Energy India Ltd.</t>
        </is>
      </c>
      <c r="C29" t="inlineStr">
        <is>
          <t>ENRIN</t>
        </is>
      </c>
      <c r="D29" t="inlineStr">
        <is>
          <t>Capital Goods</t>
        </is>
      </c>
    </row>
    <row r="30">
      <c r="A30" t="n">
        <v>25</v>
      </c>
      <c r="B30" t="inlineStr">
        <is>
          <t>Siemens Ltd.</t>
        </is>
      </c>
      <c r="C30" t="inlineStr">
        <is>
          <t>SIEMENS</t>
        </is>
      </c>
      <c r="D30" t="inlineStr">
        <is>
          <t>Capital Goods</t>
        </is>
      </c>
    </row>
    <row r="31">
      <c r="A31" t="n">
        <v>26</v>
      </c>
      <c r="B31" t="inlineStr">
        <is>
          <t>Timken India Ltd.</t>
        </is>
      </c>
      <c r="C31" t="inlineStr">
        <is>
          <t>TIMKEN</t>
        </is>
      </c>
      <c r="D31" t="inlineStr">
        <is>
          <t>Capital Goods</t>
        </is>
      </c>
    </row>
    <row r="32">
      <c r="A32" t="n">
        <v>27</v>
      </c>
      <c r="B32" t="inlineStr">
        <is>
          <t>United Breweries Ltd.</t>
        </is>
      </c>
      <c r="C32" t="inlineStr">
        <is>
          <t>UBL</t>
        </is>
      </c>
      <c r="D32" t="inlineStr">
        <is>
          <t>Fast Moving Consumer Goods</t>
        </is>
      </c>
    </row>
    <row r="33">
      <c r="A33" t="n">
        <v>28</v>
      </c>
      <c r="B33" t="inlineStr">
        <is>
          <t>United Spirits Ltd.</t>
        </is>
      </c>
      <c r="C33" t="inlineStr">
        <is>
          <t>UNITDSPR</t>
        </is>
      </c>
      <c r="D33" t="inlineStr">
        <is>
          <t>Fast Moving Consumer Goods</t>
        </is>
      </c>
    </row>
    <row r="34">
      <c r="A34" t="n">
        <v>29</v>
      </c>
      <c r="B34" t="inlineStr">
        <is>
          <t>Vedanta Aluminium Metal Ltd.</t>
        </is>
      </c>
      <c r="C34" t="inlineStr">
        <is>
          <t>VAML</t>
        </is>
      </c>
      <c r="D34" t="inlineStr">
        <is>
          <t>Metals &amp; Mining</t>
        </is>
      </c>
    </row>
    <row r="35">
      <c r="A35" t="n">
        <v>30</v>
      </c>
      <c r="B35" t="inlineStr">
        <is>
          <t>Vedanta Ltd.</t>
        </is>
      </c>
      <c r="C35" t="inlineStr">
        <is>
          <t>VEDL</t>
        </is>
      </c>
      <c r="D35" t="inlineStr">
        <is>
          <t>Metals &amp; Mining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2026-10-13T19:32:52Z</dcterms:created>
  <dcterms:modified xsi:type="dcterms:W3CDTF">2026-10-13T19:33:17Z</dcterms:modified>
</cp:coreProperties>
</file>