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3" customWidth="1" min="4" max="4"/>
    <col width="22" customWidth="1" min="5" max="5"/>
    <col width="17" customWidth="1" min="6" max="6"/>
    <col width="19" customWidth="1" min="7" max="7"/>
  </cols>
  <sheetData>
    <row r="1" ht="26" customHeight="1">
      <c r="A1" s="1" t="inlineStr">
        <is>
          <t>NIFTY Consumer Durables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37848.25</v>
      </c>
      <c r="D5" s="2" t="inlineStr">
        <is>
          <t>P/E</t>
        </is>
      </c>
      <c r="E5" s="7" t="n">
        <v>61.64</v>
      </c>
    </row>
    <row r="6">
      <c r="A6" s="2" t="inlineStr">
        <is>
          <t>P/E percentile</t>
        </is>
      </c>
      <c r="B6" s="8" t="n">
        <v>0.3106060606060606</v>
      </c>
      <c r="D6" s="2" t="inlineStr">
        <is>
          <t>Implied EPS</t>
        </is>
      </c>
      <c r="E6" s="9" t="n">
        <v>614.0209279688514</v>
      </c>
    </row>
    <row r="7">
      <c r="A7" s="2" t="inlineStr">
        <is>
          <t>YoY implied EPS growth</t>
        </is>
      </c>
      <c r="B7" s="8" t="n">
        <v>0.1064543670112446</v>
      </c>
      <c r="D7" s="2" t="inlineStr">
        <is>
          <t>Earnings yield</t>
        </is>
      </c>
      <c r="E7" s="10" t="n">
        <v>0.01622323166774822</v>
      </c>
    </row>
    <row r="8">
      <c r="A8" s="2" t="inlineStr">
        <is>
          <t>Valuation score</t>
        </is>
      </c>
      <c r="B8" s="11" t="n">
        <v>68.93939393939394</v>
      </c>
      <c r="D8" s="2" t="inlineStr">
        <is>
          <t>Growth score</t>
        </is>
      </c>
      <c r="E8" s="11" t="n">
        <v>62.58174680449782</v>
      </c>
    </row>
    <row r="9">
      <c r="A9" s="2" t="inlineStr">
        <is>
          <t>Composite score</t>
        </is>
      </c>
      <c r="B9" s="11" t="n">
        <v>67.03209979892509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60.55502299147366</v>
      </c>
      <c r="C13" s="15" t="n">
        <v>37182.05141039979</v>
      </c>
      <c r="D13" s="16" t="n">
        <v>-0.01760183336350318</v>
      </c>
    </row>
    <row r="14">
      <c r="A14" t="inlineStr">
        <is>
          <t>HOLD → SELL</t>
        </is>
      </c>
      <c r="B14" s="14" t="n">
        <v>71.78068812537541</v>
      </c>
      <c r="C14" s="15" t="n">
        <v>44074.84473298572</v>
      </c>
      <c r="D14" s="16" t="n">
        <v>0.1645147327283487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0.2306881925310416</v>
      </c>
      <c r="D18" s="16" t="n">
        <v>0.1326301657312465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6</v>
      </c>
      <c r="C19" s="16" t="n">
        <v>0.4138529048048198</v>
      </c>
      <c r="D19" s="16" t="n">
        <v>0.1063839583794041</v>
      </c>
      <c r="E19" s="16" t="n">
        <v>0.2368655245162068</v>
      </c>
      <c r="F19" s="16" t="n"/>
      <c r="G19" s="16" t="n">
        <v>0</v>
      </c>
    </row>
    <row r="20">
      <c r="A20" t="inlineStr">
        <is>
          <t>Q3</t>
        </is>
      </c>
      <c r="B20" t="n">
        <v>5</v>
      </c>
      <c r="C20" s="16" t="n">
        <v>0.3428411282797477</v>
      </c>
      <c r="D20" s="16" t="n">
        <v>0.269672801511555</v>
      </c>
      <c r="E20" s="16" t="n">
        <v>0.2373298438052682</v>
      </c>
      <c r="F20" s="16" t="n"/>
      <c r="G20" s="16" t="n">
        <v>0</v>
      </c>
    </row>
    <row r="21">
      <c r="A21" t="inlineStr">
        <is>
          <t>Q4</t>
        </is>
      </c>
      <c r="B21" t="n">
        <v>5</v>
      </c>
      <c r="C21" s="16" t="n">
        <v>-0.007792421237717617</v>
      </c>
      <c r="D21" s="16" t="n">
        <v>0.1858968722839114</v>
      </c>
      <c r="E21" s="16" t="n">
        <v>0.1421822556067341</v>
      </c>
      <c r="F21" s="16" t="n"/>
      <c r="G21" s="16" t="n">
        <v>0</v>
      </c>
    </row>
    <row r="22">
      <c r="A22" t="inlineStr">
        <is>
          <t>Q5 Most Expensive</t>
        </is>
      </c>
      <c r="B22" t="n">
        <v>6</v>
      </c>
      <c r="C22" s="16" t="n">
        <v>0.002840401551996719</v>
      </c>
      <c r="D22" s="16" t="n">
        <v>0.1600044380410264</v>
      </c>
      <c r="E22" s="16" t="n">
        <v>0.1103929526374182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26</v>
      </c>
    </row>
    <row r="27">
      <c r="A27" s="2" t="inlineStr">
        <is>
          <t>Backtest start</t>
        </is>
      </c>
      <c r="B27" t="inlineStr">
        <is>
          <t>2020-03-31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20832.98</v>
      </c>
      <c r="C2" s="7" t="n">
        <v>85.64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21958.99</v>
      </c>
      <c r="C3" s="7" t="n">
        <v>75.65000000000001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22999.27</v>
      </c>
      <c r="C4" s="7" t="n">
        <v>77.08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23855.96</v>
      </c>
      <c r="C5" s="7" t="n">
        <v>76.89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24854.3</v>
      </c>
      <c r="C6" s="7" t="n">
        <v>71.69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27087.2</v>
      </c>
      <c r="C7" s="7" t="n">
        <v>77.88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28242.3</v>
      </c>
      <c r="C8" s="7" t="n">
        <v>75.58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28282.1</v>
      </c>
      <c r="C9" s="7" t="n">
        <v>71.73999999999999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29138.95</v>
      </c>
      <c r="C10" s="7" t="n">
        <v>72.97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27498.1</v>
      </c>
      <c r="C11" s="7" t="n">
        <v>69.29000000000001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27753.35</v>
      </c>
      <c r="C12" s="7" t="n">
        <v>66.23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27141.25</v>
      </c>
      <c r="C13" s="7" t="n">
        <v>63.3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27520.45</v>
      </c>
      <c r="C14" s="7" t="n">
        <v>64.18000000000001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24779.15</v>
      </c>
      <c r="C15" s="7" t="n">
        <v>59.87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22820.05</v>
      </c>
      <c r="C16" s="7" t="n">
        <v>56.6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25823.45</v>
      </c>
      <c r="C17" s="7" t="n">
        <v>62.41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27473.65</v>
      </c>
      <c r="C18" s="7" t="n">
        <v>59.31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27181.9</v>
      </c>
      <c r="C19" s="7" t="n">
        <v>58.07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27024</v>
      </c>
      <c r="C20" s="7" t="n">
        <v>58.82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26512.5</v>
      </c>
      <c r="C21" s="7" t="n">
        <v>59.41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25296.7</v>
      </c>
      <c r="C22" s="7" t="n">
        <v>56.48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24149.8</v>
      </c>
      <c r="C23" s="7" t="n">
        <v>54.51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23978.7</v>
      </c>
      <c r="C24" s="7" t="n">
        <v>57.17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24035.1</v>
      </c>
      <c r="C25" s="7" t="n">
        <v>56.93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24276.35</v>
      </c>
      <c r="C26" s="7" t="n">
        <v>57.5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26083.75</v>
      </c>
      <c r="C27" s="7" t="n">
        <v>60.1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27130.05</v>
      </c>
      <c r="C28" s="7" t="n">
        <v>60.64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27408.25</v>
      </c>
      <c r="C29" s="7" t="n">
        <v>60.49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28701.9</v>
      </c>
      <c r="C30" s="7" t="n">
        <v>63.05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28948.9</v>
      </c>
      <c r="C31" s="7" t="n">
        <v>63.3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28061.5</v>
      </c>
      <c r="C32" s="7" t="n">
        <v>60.03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29439.6</v>
      </c>
      <c r="C33" s="7" t="n">
        <v>65.23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31132.35</v>
      </c>
      <c r="C34" s="7" t="n">
        <v>68.63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31471.65</v>
      </c>
      <c r="C35" s="7" t="n">
        <v>69.34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32046.9</v>
      </c>
      <c r="C36" s="7" t="n">
        <v>71.31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32337.5</v>
      </c>
      <c r="C37" s="7" t="n">
        <v>71.36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34630.1</v>
      </c>
      <c r="C38" s="7" t="n">
        <v>76.41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35130.2</v>
      </c>
      <c r="C39" s="7" t="n">
        <v>77.33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38357.9</v>
      </c>
      <c r="C40" s="7" t="n">
        <v>88.56999999999999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39762.25</v>
      </c>
      <c r="C41" s="7" t="n">
        <v>89.63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41312.85</v>
      </c>
      <c r="C42" s="7" t="n">
        <v>87.45999999999999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43688.85</v>
      </c>
      <c r="C43" s="7" t="n">
        <v>92.59999999999999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39218</v>
      </c>
      <c r="C44" s="7" t="n">
        <v>79.78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40172.9</v>
      </c>
      <c r="C45" s="7" t="n">
        <v>83.62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41805.8</v>
      </c>
      <c r="C46" s="7" t="n">
        <v>87.48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37591.1</v>
      </c>
      <c r="C47" s="7" t="n">
        <v>75.27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34458.85</v>
      </c>
      <c r="C48" s="7" t="n">
        <v>68.64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35652.2</v>
      </c>
      <c r="C49" s="7" t="n">
        <v>71.88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37097.95</v>
      </c>
      <c r="C50" s="7" t="n">
        <v>74.39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37359</v>
      </c>
      <c r="C51" s="7" t="n">
        <v>69.62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38441.7</v>
      </c>
      <c r="C52" s="7" t="n">
        <v>69.36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38263.8</v>
      </c>
      <c r="C53" s="7" t="n">
        <v>67.98999999999999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38590.95</v>
      </c>
      <c r="C54" s="7" t="n">
        <v>69.54000000000001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37114.5</v>
      </c>
      <c r="C55" s="7" t="n">
        <v>67.54000000000001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38615.1</v>
      </c>
      <c r="C56" s="7" t="n">
        <v>67.34999999999999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37881.6</v>
      </c>
      <c r="C57" s="7" t="n">
        <v>65.26000000000001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36756</v>
      </c>
      <c r="C58" s="7" t="n">
        <v>61.25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34387.55</v>
      </c>
      <c r="C59" s="7" t="n">
        <v>57.22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37585.9</v>
      </c>
      <c r="C60" s="7" t="n">
        <v>59.81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33023.3</v>
      </c>
      <c r="C61" s="7" t="n">
        <v>53.19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37273</v>
      </c>
      <c r="C62" s="7" t="n">
        <v>59.18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34943.55</v>
      </c>
      <c r="C63" s="7" t="n">
        <v>62.03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36442.85</v>
      </c>
      <c r="C64" s="7" t="n">
        <v>65.56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40072.15</v>
      </c>
      <c r="C65" s="7" t="n">
        <v>72.41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40430.95</v>
      </c>
      <c r="C66" s="7" t="n">
        <v>65.84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43921</v>
      </c>
      <c r="B2" s="6" t="n">
        <v>12316.12</v>
      </c>
      <c r="C2" s="7" t="n">
        <v>40.92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IF(C2="","",(COUNTIFS($D$2:$D$27,D2,$C$2:$C$27,"&gt;0",$C$2:$C$27,"&lt;"&amp;C2)+(COUNTIFS($D$2:$D$27,D2,$C$2:$C$27,C2)+1)/2)/COUNTIFS($D$2:$D$27,D2,$C$2:$C$27,"&gt;0"))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44012</v>
      </c>
      <c r="B3" s="6" t="n">
        <v>13254.86</v>
      </c>
      <c r="C3" s="7" t="n">
        <v>44.51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IF(C3="","",(COUNTIFS($D$2:$D$27,D3,$C$2:$C$27,"&gt;0",$C$2:$C$27,"&lt;"&amp;C3)+(COUNTIFS($D$2:$D$27,D3,$C$2:$C$27,C3)+1)/2)/COUNTIFS($D$2:$D$27,D3,$C$2:$C$27,"&gt;0"))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44104</v>
      </c>
      <c r="B4" s="6" t="n">
        <v>15688.28</v>
      </c>
      <c r="C4" s="7" t="n">
        <v>73.90000000000001</v>
      </c>
      <c r="D4" s="2" t="inlineStr">
        <is>
          <t>Standalone</t>
        </is>
      </c>
      <c r="E4" s="21">
        <f>IFERROR(B4/C4,"")</f>
        <v/>
      </c>
      <c r="F4" s="16" t="n"/>
      <c r="G4" s="16">
        <f>IF(C4="","",(COUNTIFS($D$2:$D$27,D4,$C$2:$C$27,"&gt;0",$C$2:$C$27,"&lt;"&amp;C4)+(COUNTIFS($D$2:$D$27,D4,$C$2:$C$27,C4)+1)/2)/COUNTIFS($D$2:$D$27,D4,$C$2:$C$27,"&gt;0"))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44196</v>
      </c>
      <c r="B5" s="6" t="n">
        <v>19944.95</v>
      </c>
      <c r="C5" s="7" t="n">
        <v>101.01</v>
      </c>
      <c r="D5" s="2" t="inlineStr">
        <is>
          <t>Standalone</t>
        </is>
      </c>
      <c r="E5" s="21">
        <f>IFERROR(B5/C5,"")</f>
        <v/>
      </c>
      <c r="F5" s="16" t="n"/>
      <c r="G5" s="16">
        <f>IF(C5="","",(COUNTIFS($D$2:$D$27,D5,$C$2:$C$27,"&gt;0",$C$2:$C$27,"&lt;"&amp;C5)+(COUNTIFS($D$2:$D$27,D5,$C$2:$C$27,C5)+1)/2)/COUNTIFS($D$2:$D$27,D5,$C$2:$C$27,"&gt;0"))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44286</v>
      </c>
      <c r="B6" s="6" t="n">
        <v>21390.93</v>
      </c>
      <c r="C6" s="7" t="n">
        <v>87.94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IF(C6="","",(COUNTIFS($D$2:$D$27,D6,$C$2:$C$27,"&gt;0",$C$2:$C$27,"&lt;"&amp;C6)+(COUNTIFS($D$2:$D$27,D6,$C$2:$C$27,C6)+1)/2)/COUNTIFS($D$2:$D$27,D6,$C$2:$C$27,"&gt;0"))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>
        <f>IFERROR((B26/B6)^(1/5)-1,"")</f>
        <v/>
      </c>
      <c r="L6" s="16" t="n"/>
    </row>
    <row r="7">
      <c r="A7" s="18" t="n">
        <v>44377</v>
      </c>
      <c r="B7" s="6" t="n">
        <v>22999.27</v>
      </c>
      <c r="C7" s="7" t="n">
        <v>77.08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IF(C7="","",(COUNTIFS($D$2:$D$27,D7,$C$2:$C$27,"&gt;0",$C$2:$C$27,"&lt;"&amp;C7)+(COUNTIFS($D$2:$D$27,D7,$C$2:$C$27,C7)+1)/2)/COUNTIFS($D$2:$D$27,D7,$C$2:$C$27,"&gt;0"))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>
        <f>IFERROR((B27/B7)^(1/5)-1,"")</f>
        <v/>
      </c>
      <c r="L7" s="16" t="n"/>
    </row>
    <row r="8">
      <c r="A8" s="18" t="n">
        <v>44469</v>
      </c>
      <c r="B8" s="6" t="n">
        <v>27087.2</v>
      </c>
      <c r="C8" s="7" t="n">
        <v>77.88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IF(C8="","",(COUNTIFS($D$2:$D$27,D8,$C$2:$C$27,"&gt;0",$C$2:$C$27,"&lt;"&amp;C8)+(COUNTIFS($D$2:$D$27,D8,$C$2:$C$27,C8)+1)/2)/COUNTIFS($D$2:$D$27,D8,$C$2:$C$27,"&gt;0"))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44561</v>
      </c>
      <c r="B9" s="6" t="n">
        <v>29138.95</v>
      </c>
      <c r="C9" s="7" t="n">
        <v>72.97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IF(C9="","",(COUNTIFS($D$2:$D$27,D9,$C$2:$C$27,"&gt;0",$C$2:$C$27,"&lt;"&amp;C9)+(COUNTIFS($D$2:$D$27,D9,$C$2:$C$27,C9)+1)/2)/COUNTIFS($D$2:$D$27,D9,$C$2:$C$27,"&gt;0"))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44651</v>
      </c>
      <c r="B10" s="6" t="n">
        <v>27141.25</v>
      </c>
      <c r="C10" s="7" t="n">
        <v>63.3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IF(C10="","",(COUNTIFS($D$2:$D$27,D10,$C$2:$C$27,"&gt;0",$C$2:$C$27,"&lt;"&amp;C10)+(COUNTIFS($D$2:$D$27,D10,$C$2:$C$27,C10)+1)/2)/COUNTIFS($D$2:$D$27,D10,$C$2:$C$27,"&gt;0"))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44742</v>
      </c>
      <c r="B11" s="6" t="n">
        <v>22820.05</v>
      </c>
      <c r="C11" s="7" t="n">
        <v>56.6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IF(C11="","",(COUNTIFS($D$2:$D$27,D11,$C$2:$C$27,"&gt;0",$C$2:$C$27,"&lt;"&amp;C11)+(COUNTIFS($D$2:$D$27,D11,$C$2:$C$27,C11)+1)/2)/COUNTIFS($D$2:$D$27,D11,$C$2:$C$27,"&gt;0"))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44834</v>
      </c>
      <c r="B12" s="6" t="n">
        <v>27181.9</v>
      </c>
      <c r="C12" s="7" t="n">
        <v>58.07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IF(C12="","",(COUNTIFS($D$2:$D$27,D12,$C$2:$C$27,"&gt;0",$C$2:$C$27,"&lt;"&amp;C12)+(COUNTIFS($D$2:$D$27,D12,$C$2:$C$27,C12)+1)/2)/COUNTIFS($D$2:$D$27,D12,$C$2:$C$27,"&gt;0"))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44926</v>
      </c>
      <c r="B13" s="6" t="n">
        <v>25296.7</v>
      </c>
      <c r="C13" s="7" t="n">
        <v>56.48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IF(C13="","",(COUNTIFS($D$2:$D$27,D13,$C$2:$C$27,"&gt;0",$C$2:$C$27,"&lt;"&amp;C13)+(COUNTIFS($D$2:$D$27,D13,$C$2:$C$27,C13)+1)/2)/COUNTIFS($D$2:$D$27,D13,$C$2:$C$27,"&gt;0"))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 t="n"/>
      <c r="L13" s="16" t="n"/>
    </row>
    <row r="14">
      <c r="A14" s="18" t="n">
        <v>45016</v>
      </c>
      <c r="B14" s="6" t="n">
        <v>24035.1</v>
      </c>
      <c r="C14" s="7" t="n">
        <v>56.93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IF(C14="","",(COUNTIFS($D$2:$D$27,D14,$C$2:$C$27,"&gt;0",$C$2:$C$27,"&lt;"&amp;C14)+(COUNTIFS($D$2:$D$27,D14,$C$2:$C$27,C14)+1)/2)/COUNTIFS($D$2:$D$27,D14,$C$2:$C$27,"&gt;0"))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>
        <f>IFERROR((B26/B14)^(1/3)-1,"")</f>
        <v/>
      </c>
      <c r="K14" s="16" t="n"/>
      <c r="L14" s="16" t="n"/>
    </row>
    <row r="15">
      <c r="A15" s="18" t="n">
        <v>45107</v>
      </c>
      <c r="B15" s="6" t="n">
        <v>27130.05</v>
      </c>
      <c r="C15" s="7" t="n">
        <v>60.64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IF(C15="","",(COUNTIFS($D$2:$D$27,D15,$C$2:$C$27,"&gt;0",$C$2:$C$27,"&lt;"&amp;C15)+(COUNTIFS($D$2:$D$27,D15,$C$2:$C$27,C15)+1)/2)/COUNTIFS($D$2:$D$27,D15,$C$2:$C$27,"&gt;0"))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>
        <f>IFERROR((B27/B15)^(1/3)-1,"")</f>
        <v/>
      </c>
      <c r="K15" s="16" t="n"/>
      <c r="L15" s="16" t="n"/>
    </row>
    <row r="16">
      <c r="A16" s="18" t="n">
        <v>45199</v>
      </c>
      <c r="B16" s="6" t="n">
        <v>28948.9</v>
      </c>
      <c r="C16" s="7" t="n">
        <v>63.3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IF(C16="","",(COUNTIFS($D$2:$D$27,D16,$C$2:$C$27,"&gt;0",$C$2:$C$27,"&lt;"&amp;C16)+(COUNTIFS($D$2:$D$27,D16,$C$2:$C$27,C16)+1)/2)/COUNTIFS($D$2:$D$27,D16,$C$2:$C$27,"&gt;0"))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45291</v>
      </c>
      <c r="B17" s="6" t="n">
        <v>31132.35</v>
      </c>
      <c r="C17" s="7" t="n">
        <v>68.63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IF(C17="","",(COUNTIFS($D$2:$D$27,D17,$C$2:$C$27,"&gt;0",$C$2:$C$27,"&lt;"&amp;C17)+(COUNTIFS($D$2:$D$27,D17,$C$2:$C$27,C17)+1)/2)/COUNTIFS($D$2:$D$27,D17,$C$2:$C$27,"&gt;0"))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45382</v>
      </c>
      <c r="B18" s="6" t="n">
        <v>32337.5</v>
      </c>
      <c r="C18" s="7" t="n">
        <v>71.36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IF(C18="","",(COUNTIFS($D$2:$D$27,D18,$C$2:$C$27,"&gt;0",$C$2:$C$27,"&lt;"&amp;C18)+(COUNTIFS($D$2:$D$27,D18,$C$2:$C$27,C18)+1)/2)/COUNTIFS($D$2:$D$27,D18,$C$2:$C$27,"&gt;0"))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45473</v>
      </c>
      <c r="B19" s="6" t="n">
        <v>38357.9</v>
      </c>
      <c r="C19" s="7" t="n">
        <v>88.56999999999999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IF(C19="","",(COUNTIFS($D$2:$D$27,D19,$C$2:$C$27,"&gt;0",$C$2:$C$27,"&lt;"&amp;C19)+(COUNTIFS($D$2:$D$27,D19,$C$2:$C$27,C19)+1)/2)/COUNTIFS($D$2:$D$27,D19,$C$2:$C$27,"&gt;0"))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45565</v>
      </c>
      <c r="B20" s="6" t="n">
        <v>43688.85</v>
      </c>
      <c r="C20" s="7" t="n">
        <v>92.59999999999999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IF(C20="","",(COUNTIFS($D$2:$D$27,D20,$C$2:$C$27,"&gt;0",$C$2:$C$27,"&lt;"&amp;C20)+(COUNTIFS($D$2:$D$27,D20,$C$2:$C$27,C20)+1)/2)/COUNTIFS($D$2:$D$27,D20,$C$2:$C$27,"&gt;0"))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45657</v>
      </c>
      <c r="B21" s="6" t="n">
        <v>41805.8</v>
      </c>
      <c r="C21" s="7" t="n">
        <v>87.48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IF(C21="","",(COUNTIFS($D$2:$D$27,D21,$C$2:$C$27,"&gt;0",$C$2:$C$27,"&lt;"&amp;C21)+(COUNTIFS($D$2:$D$27,D21,$C$2:$C$27,C21)+1)/2)/COUNTIFS($D$2:$D$27,D21,$C$2:$C$27,"&gt;0"))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 t="n"/>
      <c r="K21" s="16" t="n"/>
      <c r="L21" s="16" t="n"/>
    </row>
    <row r="22">
      <c r="A22" s="18" t="n">
        <v>45747</v>
      </c>
      <c r="B22" s="6" t="n">
        <v>35652.2</v>
      </c>
      <c r="C22" s="7" t="n">
        <v>71.88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IF(C22="","",(COUNTIFS($D$2:$D$27,D22,$C$2:$C$27,"&gt;0",$C$2:$C$27,"&lt;"&amp;C22)+(COUNTIFS($D$2:$D$27,D22,$C$2:$C$27,C22)+1)/2)/COUNTIFS($D$2:$D$27,D22,$C$2:$C$27,"&gt;0"))</f>
        <v/>
      </c>
      <c r="H22">
        <f>IF(G22="","",IF(G22&lt;=20%,"Q1 Cheapest",IF(G22&lt;=40%,"Q2",IF(G22&lt;=60%,"Q3",IF(G22&lt;=80%,"Q4","Q5 Most Expensive")))))</f>
        <v/>
      </c>
      <c r="I22" s="16">
        <f>IFERROR(B26/B22-1,"")</f>
        <v/>
      </c>
      <c r="J22" s="16" t="n"/>
      <c r="K22" s="16" t="n"/>
      <c r="L22" s="16" t="n"/>
    </row>
    <row r="23">
      <c r="A23" s="18" t="n">
        <v>45838</v>
      </c>
      <c r="B23" s="6" t="n">
        <v>38441.7</v>
      </c>
      <c r="C23" s="7" t="n">
        <v>69.36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IF(C23="","",(COUNTIFS($D$2:$D$27,D23,$C$2:$C$27,"&gt;0",$C$2:$C$27,"&lt;"&amp;C23)+(COUNTIFS($D$2:$D$27,D23,$C$2:$C$27,C23)+1)/2)/COUNTIFS($D$2:$D$27,D23,$C$2:$C$27,"&gt;0"))</f>
        <v/>
      </c>
      <c r="H23">
        <f>IF(G23="","",IF(G23&lt;=20%,"Q1 Cheapest",IF(G23&lt;=40%,"Q2",IF(G23&lt;=60%,"Q3",IF(G23&lt;=80%,"Q4","Q5 Most Expensive")))))</f>
        <v/>
      </c>
      <c r="I23" s="16">
        <f>IFERROR(B27/B23-1,"")</f>
        <v/>
      </c>
      <c r="J23" s="16" t="n"/>
      <c r="K23" s="16" t="n"/>
      <c r="L23" s="16" t="n"/>
    </row>
    <row r="24">
      <c r="A24" s="18" t="n">
        <v>45930</v>
      </c>
      <c r="B24" s="6" t="n">
        <v>37114.5</v>
      </c>
      <c r="C24" s="7" t="n">
        <v>67.54000000000001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IF(C24="","",(COUNTIFS($D$2:$D$27,D24,$C$2:$C$27,"&gt;0",$C$2:$C$27,"&lt;"&amp;C24)+(COUNTIFS($D$2:$D$27,D24,$C$2:$C$27,C24)+1)/2)/COUNTIFS($D$2:$D$27,D24,$C$2:$C$27,"&gt;0"))</f>
        <v/>
      </c>
      <c r="H24">
        <f>IF(G24="","",IF(G24&lt;=20%,"Q1 Cheapest",IF(G24&lt;=40%,"Q2",IF(G24&lt;=60%,"Q3",IF(G24&lt;=80%,"Q4","Q5 Most Expensive")))))</f>
        <v/>
      </c>
      <c r="I24" s="16" t="n"/>
      <c r="J24" s="16" t="n"/>
      <c r="K24" s="16" t="n"/>
      <c r="L24" s="16" t="n"/>
    </row>
    <row r="25">
      <c r="A25" s="18" t="n">
        <v>46022</v>
      </c>
      <c r="B25" s="6" t="n">
        <v>36756</v>
      </c>
      <c r="C25" s="7" t="n">
        <v>61.25</v>
      </c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IF(C25="","",(COUNTIFS($D$2:$D$27,D25,$C$2:$C$27,"&gt;0",$C$2:$C$27,"&lt;"&amp;C25)+(COUNTIFS($D$2:$D$27,D25,$C$2:$C$27,C25)+1)/2)/COUNTIFS($D$2:$D$27,D25,$C$2:$C$27,"&gt;0"))</f>
        <v/>
      </c>
      <c r="H25">
        <f>IF(G25="","",IF(G25&lt;=20%,"Q1 Cheapest",IF(G25&lt;=40%,"Q2",IF(G25&lt;=60%,"Q3",IF(G25&lt;=80%,"Q4","Q5 Most Expensive")))))</f>
        <v/>
      </c>
      <c r="I25" s="16" t="n"/>
      <c r="J25" s="16" t="n"/>
      <c r="K25" s="16" t="n"/>
      <c r="L25" s="16" t="n"/>
    </row>
    <row r="26">
      <c r="A26" s="18" t="n">
        <v>46112</v>
      </c>
      <c r="B26" s="6" t="n">
        <v>33023.3</v>
      </c>
      <c r="C26" s="7" t="n">
        <v>53.19</v>
      </c>
      <c r="D26" s="2" t="inlineStr">
        <is>
          <t>Consolidated</t>
        </is>
      </c>
      <c r="E26" s="21">
        <f>IFERROR(B26/C26,"")</f>
        <v/>
      </c>
      <c r="F26" s="16">
        <f>IF(AND(D26=D22,E22&lt;&gt;""),E26/E22-1,"")</f>
        <v/>
      </c>
      <c r="G26" s="16">
        <f>IF(C26="","",(COUNTIFS($D$2:$D$27,D26,$C$2:$C$27,"&gt;0",$C$2:$C$27,"&lt;"&amp;C26)+(COUNTIFS($D$2:$D$27,D26,$C$2:$C$27,C26)+1)/2)/COUNTIFS($D$2:$D$27,D26,$C$2:$C$27,"&gt;0"))</f>
        <v/>
      </c>
      <c r="H26">
        <f>IF(G26="","",IF(G26&lt;=20%,"Q1 Cheapest",IF(G26&lt;=40%,"Q2",IF(G26&lt;=60%,"Q3",IF(G26&lt;=80%,"Q4","Q5 Most Expensive")))))</f>
        <v/>
      </c>
      <c r="I26" s="16" t="n"/>
      <c r="J26" s="16" t="n"/>
      <c r="K26" s="16" t="n"/>
      <c r="L26" s="16" t="n"/>
    </row>
    <row r="27">
      <c r="A27" s="18" t="n">
        <v>46203</v>
      </c>
      <c r="B27" s="6" t="n">
        <v>36442.85</v>
      </c>
      <c r="C27" s="7" t="n">
        <v>65.56</v>
      </c>
      <c r="D27" s="2" t="inlineStr">
        <is>
          <t>Consolidated</t>
        </is>
      </c>
      <c r="E27" s="21">
        <f>IFERROR(B27/C27,"")</f>
        <v/>
      </c>
      <c r="F27" s="16">
        <f>IF(AND(D27=D23,E23&lt;&gt;""),E27/E23-1,"")</f>
        <v/>
      </c>
      <c r="G27" s="16">
        <f>IF(C27="","",(COUNTIFS($D$2:$D$27,D27,$C$2:$C$27,"&gt;0",$C$2:$C$27,"&lt;"&amp;C27)+(COUNTIFS($D$2:$D$27,D27,$C$2:$C$27,C27)+1)/2)/COUNTIFS($D$2:$D$27,D27,$C$2:$C$27,"&gt;0"))</f>
        <v/>
      </c>
      <c r="H27">
        <f>IF(G27="","",IF(G27&lt;=20%,"Q1 Cheapest",IF(G27&lt;=40%,"Q2",IF(G27&lt;=60%,"Q3",IF(G27&lt;=80%,"Q4","Q5 Most Expensive")))))</f>
        <v/>
      </c>
      <c r="I27" s="16" t="n"/>
      <c r="J27" s="16" t="n"/>
      <c r="K27" s="16" t="n"/>
      <c r="L27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37848.25</v>
      </c>
      <c r="C2" s="7" t="n">
        <v>61.64</v>
      </c>
      <c r="D2" s="8" t="n">
        <v>0.310606060606</v>
      </c>
      <c r="E2" s="8" t="n">
        <v>0.106454367011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2026-09-21T11:26:08Z</dcterms:created>
  <dcterms:modified xsi:type="dcterms:W3CDTF">2026-09-21T11:26:08Z</dcterms:modified>
</cp:coreProperties>
</file>