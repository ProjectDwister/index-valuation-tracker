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Composition" sheetId="5" state="visible" r:id="rId5"/>
    <sheet name="Sources &amp; 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-mmm-yyyy"/>
    <numFmt numFmtId="165" formatCode="#,##0.00;[Red](#,##0.00);-"/>
    <numFmt numFmtId="166" formatCode="0.00x;[Red](0.00x);-"/>
    <numFmt numFmtId="167" formatCode="0.0%"/>
    <numFmt numFmtId="168" formatCode="#,##0.0;[Red](#,##0.0);-"/>
    <numFmt numFmtId="169" formatCode="0.0"/>
    <numFmt numFmtId="170" formatCode="0.00x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0" fontId="3" fillId="0" borderId="0" pivotButton="0" quotePrefix="0" xfId="0"/>
    <xf numFmtId="169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0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0" fontId="7" fillId="0" borderId="0" pivotButton="0" quotePrefix="0" xfId="1"/>
    <xf numFmtId="164" fontId="0" fillId="0" borderId="0" pivotButton="0" quotePrefix="0" xfId="0"/>
    <xf numFmtId="165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70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0" fontId="8" fillId="2" borderId="0" pivotButton="0" quotePrefix="0" xfId="0"/>
    <xf numFmtId="0" fontId="6" fillId="4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iftyindices.com/IndexConstituent/ind_niftysmallcap250list.csv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2" customWidth="1" min="4" max="4"/>
    <col width="22" customWidth="1" min="5" max="5"/>
    <col width="21" customWidth="1" min="6" max="6"/>
    <col width="20" customWidth="1" min="7" max="7"/>
  </cols>
  <sheetData>
    <row r="1" ht="26" customHeight="1">
      <c r="A1" s="1" t="inlineStr">
        <is>
          <t>NIFTY Smallcap 250 Valuation Tracker</t>
        </is>
      </c>
    </row>
    <row r="2">
      <c r="A2" s="2" t="inlineStr">
        <is>
          <t>As of</t>
        </is>
      </c>
      <c r="B2" s="23" t="n">
        <v>46310</v>
      </c>
      <c r="D2" s="2" t="inlineStr">
        <is>
          <t>Group</t>
        </is>
      </c>
      <c r="E2" s="4" t="inlineStr">
        <is>
          <t>Broad Market</t>
        </is>
      </c>
    </row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24" t="n">
        <v>17627.05</v>
      </c>
      <c r="D5" s="2" t="inlineStr">
        <is>
          <t>P/E</t>
        </is>
      </c>
      <c r="E5" s="25" t="n">
        <v>33.92</v>
      </c>
    </row>
    <row r="6">
      <c r="A6" s="2" t="inlineStr">
        <is>
          <t>P/E percentile</t>
        </is>
      </c>
      <c r="B6" s="26" t="n">
        <v>0.8731343283582089</v>
      </c>
      <c r="D6" s="2" t="inlineStr">
        <is>
          <t>Implied EPS</t>
        </is>
      </c>
      <c r="E6" s="27" t="n">
        <v>519.6653891509434</v>
      </c>
    </row>
    <row r="7">
      <c r="A7" s="2" t="inlineStr">
        <is>
          <t>YoY implied EPS growth</t>
        </is>
      </c>
      <c r="B7" s="26" t="n">
        <v>-0.0674547907565759</v>
      </c>
      <c r="D7" s="2" t="inlineStr">
        <is>
          <t>Earnings yield</t>
        </is>
      </c>
      <c r="E7" s="10" t="n">
        <v>0.0294811320754717</v>
      </c>
    </row>
    <row r="8">
      <c r="A8" s="2" t="inlineStr">
        <is>
          <t>Valuation score</t>
        </is>
      </c>
      <c r="B8" s="28" t="n">
        <v>12.68656716417911</v>
      </c>
      <c r="D8" s="2" t="inlineStr">
        <is>
          <t>Growth score</t>
        </is>
      </c>
      <c r="E8" s="28" t="n">
        <v>20</v>
      </c>
    </row>
    <row r="9">
      <c r="A9" s="2" t="inlineStr">
        <is>
          <t>Composite score</t>
        </is>
      </c>
      <c r="B9" s="28" t="n">
        <v>14.88059701492537</v>
      </c>
      <c r="D9" s="2" t="inlineStr">
        <is>
          <t>Signal</t>
        </is>
      </c>
      <c r="E9" s="12" t="inlineStr">
        <is>
          <t>SELL</t>
        </is>
      </c>
    </row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29" t="n">
        <v>19.04657142857143</v>
      </c>
      <c r="C13" s="15" t="n">
        <v>9897.843953419811</v>
      </c>
      <c r="D13" s="30" t="n">
        <v>-0.43848551212938</v>
      </c>
    </row>
    <row r="14">
      <c r="A14" t="inlineStr">
        <is>
          <t>HOLD → SELL</t>
        </is>
      </c>
      <c r="B14" s="29" t="n">
        <v>29.176</v>
      </c>
      <c r="C14" s="15" t="n">
        <v>15161.75739386793</v>
      </c>
      <c r="D14" s="30" t="n">
        <v>-0.1398584905660376</v>
      </c>
    </row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7</v>
      </c>
      <c r="C18" s="30" t="n">
        <v>0.3295719527109662</v>
      </c>
      <c r="D18" s="30" t="n">
        <v>0.2073078798271832</v>
      </c>
      <c r="E18" s="30" t="n">
        <v>0.2720003028762281</v>
      </c>
      <c r="F18" s="30" t="n"/>
      <c r="G18" s="30" t="n">
        <v>0</v>
      </c>
    </row>
    <row r="19">
      <c r="A19" t="inlineStr">
        <is>
          <t>Q2</t>
        </is>
      </c>
      <c r="B19" t="n">
        <v>8</v>
      </c>
      <c r="C19" s="30" t="n">
        <v>0.2509161279696959</v>
      </c>
      <c r="D19" s="30" t="n">
        <v>0.2091645726722732</v>
      </c>
      <c r="E19" s="30" t="n">
        <v>0.2238763106553674</v>
      </c>
      <c r="F19" s="30" t="n"/>
      <c r="G19" s="30" t="n">
        <v>0</v>
      </c>
    </row>
    <row r="20">
      <c r="A20" t="inlineStr">
        <is>
          <t>Q3</t>
        </is>
      </c>
      <c r="B20" t="n">
        <v>8</v>
      </c>
      <c r="C20" s="30" t="n">
        <v>0.06911959635695042</v>
      </c>
      <c r="D20" s="30" t="n">
        <v>0.2528760332774094</v>
      </c>
      <c r="E20" s="30" t="n">
        <v>0.2726219733354922</v>
      </c>
      <c r="F20" s="30" t="n"/>
      <c r="G20" s="30" t="n">
        <v>0</v>
      </c>
    </row>
    <row r="21">
      <c r="A21" t="inlineStr">
        <is>
          <t>Q4</t>
        </is>
      </c>
      <c r="B21" t="n">
        <v>8</v>
      </c>
      <c r="C21" s="30" t="n">
        <v>-0.06488545893149095</v>
      </c>
      <c r="D21" s="30" t="n">
        <v>0.03906522624124564</v>
      </c>
      <c r="E21" s="30" t="n">
        <v>0.08584358183106056</v>
      </c>
      <c r="F21" s="30" t="n"/>
      <c r="G21" s="30" t="n">
        <v>0.5</v>
      </c>
    </row>
    <row r="22">
      <c r="A22" t="inlineStr">
        <is>
          <t>Q5 Most Expensive</t>
        </is>
      </c>
      <c r="B22" t="n">
        <v>9</v>
      </c>
      <c r="C22" s="30" t="n">
        <v>-0.03276389469285423</v>
      </c>
      <c r="D22" s="30" t="n">
        <v>0.03679800091898966</v>
      </c>
      <c r="E22" s="30" t="n">
        <v>0.1201445287607807</v>
      </c>
      <c r="F22" s="30" t="n">
        <v>0.1447144581788469</v>
      </c>
      <c r="G22" s="30" t="n">
        <v>0.3333333333333333</v>
      </c>
    </row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66</v>
      </c>
    </row>
    <row r="26">
      <c r="A26" s="2" t="inlineStr">
        <is>
          <t>Quarter-end P/E observations</t>
        </is>
      </c>
      <c r="B26" t="n">
        <v>40</v>
      </c>
    </row>
    <row r="27">
      <c r="A27" s="2" t="inlineStr">
        <is>
          <t>Backtest start</t>
        </is>
      </c>
      <c r="B27" t="inlineStr">
        <is>
          <t>2016-06-30</t>
        </is>
      </c>
    </row>
    <row r="28">
      <c r="A28" s="2" t="inlineStr">
        <is>
          <t>Backtest end</t>
        </is>
      </c>
      <c r="B28" t="inlineStr">
        <is>
          <t>2026-09-30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31" t="n">
        <v>44316</v>
      </c>
      <c r="B2" s="24" t="n">
        <v>7271.15</v>
      </c>
      <c r="C2" s="25" t="n">
        <v>48.01</v>
      </c>
      <c r="D2" s="32">
        <f>IFERROR(B2/C2,"")</f>
        <v/>
      </c>
      <c r="E2" s="20">
        <f>IFERROR(1/C2,"")</f>
        <v/>
      </c>
    </row>
    <row r="3">
      <c r="A3" s="31" t="n">
        <v>44347</v>
      </c>
      <c r="B3" s="24" t="n">
        <v>8004.75</v>
      </c>
      <c r="C3" s="25" t="n">
        <v>41.78</v>
      </c>
      <c r="D3" s="32">
        <f>IFERROR(B3/C3,"")</f>
        <v/>
      </c>
      <c r="E3" s="20">
        <f>IFERROR(1/C3,"")</f>
        <v/>
      </c>
    </row>
    <row r="4">
      <c r="A4" s="31" t="n">
        <v>44377</v>
      </c>
      <c r="B4" s="24" t="n">
        <v>8452.25</v>
      </c>
      <c r="C4" s="25" t="n">
        <v>36.81</v>
      </c>
      <c r="D4" s="32">
        <f>IFERROR(B4/C4,"")</f>
        <v/>
      </c>
      <c r="E4" s="20">
        <f>IFERROR(1/C4,"")</f>
        <v/>
      </c>
    </row>
    <row r="5">
      <c r="A5" s="31" t="n">
        <v>44408</v>
      </c>
      <c r="B5" s="24" t="n">
        <v>9131.299999999999</v>
      </c>
      <c r="C5" s="25" t="n">
        <v>32.21</v>
      </c>
      <c r="D5" s="32">
        <f>IFERROR(B5/C5,"")</f>
        <v/>
      </c>
      <c r="E5" s="20">
        <f>IFERROR(1/C5,"")</f>
        <v/>
      </c>
    </row>
    <row r="6">
      <c r="A6" s="31" t="n">
        <v>44439</v>
      </c>
      <c r="B6" s="24" t="n">
        <v>8854.85</v>
      </c>
      <c r="C6" s="25" t="n">
        <v>29.45</v>
      </c>
      <c r="D6" s="32">
        <f>IFERROR(B6/C6,"")</f>
        <v/>
      </c>
      <c r="E6" s="20">
        <f>IFERROR(1/C6,"")</f>
        <v/>
      </c>
    </row>
    <row r="7">
      <c r="A7" s="31" t="n">
        <v>44469</v>
      </c>
      <c r="B7" s="24" t="n">
        <v>9364.5</v>
      </c>
      <c r="C7" s="25" t="n">
        <v>28.86</v>
      </c>
      <c r="D7" s="32">
        <f>IFERROR(B7/C7,"")</f>
        <v/>
      </c>
      <c r="E7" s="20">
        <f>IFERROR(1/C7,"")</f>
        <v/>
      </c>
    </row>
    <row r="8">
      <c r="A8" s="31" t="n">
        <v>44500</v>
      </c>
      <c r="B8" s="24" t="n">
        <v>9376.85</v>
      </c>
      <c r="C8" s="25" t="n">
        <v>29.11</v>
      </c>
      <c r="D8" s="32">
        <f>IFERROR(B8/C8,"")</f>
        <v/>
      </c>
      <c r="E8" s="20">
        <f>IFERROR(1/C8,"")</f>
        <v/>
      </c>
    </row>
    <row r="9">
      <c r="A9" s="31" t="n">
        <v>44530</v>
      </c>
      <c r="B9" s="24" t="n">
        <v>9336.200000000001</v>
      </c>
      <c r="C9" s="25" t="n">
        <v>29.34</v>
      </c>
      <c r="D9" s="32">
        <f>IFERROR(B9/C9,"")</f>
        <v/>
      </c>
      <c r="E9" s="20">
        <f>IFERROR(1/C9,"")</f>
        <v/>
      </c>
    </row>
    <row r="10">
      <c r="A10" s="31" t="n">
        <v>44561</v>
      </c>
      <c r="B10" s="24" t="n">
        <v>9840</v>
      </c>
      <c r="C10" s="25" t="n">
        <v>31.04</v>
      </c>
      <c r="D10" s="32">
        <f>IFERROR(B10/C10,"")</f>
        <v/>
      </c>
      <c r="E10" s="20">
        <f>IFERROR(1/C10,"")</f>
        <v/>
      </c>
    </row>
    <row r="11">
      <c r="A11" s="31" t="n">
        <v>44592</v>
      </c>
      <c r="B11" s="24" t="n">
        <v>9813.1</v>
      </c>
      <c r="C11" s="25" t="n">
        <v>30.31</v>
      </c>
      <c r="D11" s="32">
        <f>IFERROR(B11/C11,"")</f>
        <v/>
      </c>
      <c r="E11" s="20">
        <f>IFERROR(1/C11,"")</f>
        <v/>
      </c>
    </row>
    <row r="12">
      <c r="A12" s="31" t="n">
        <v>44620</v>
      </c>
      <c r="B12" s="24" t="n">
        <v>8887.65</v>
      </c>
      <c r="C12" s="25" t="n">
        <v>26.16</v>
      </c>
      <c r="D12" s="32">
        <f>IFERROR(B12/C12,"")</f>
        <v/>
      </c>
      <c r="E12" s="20">
        <f>IFERROR(1/C12,"")</f>
        <v/>
      </c>
    </row>
    <row r="13">
      <c r="A13" s="31" t="n">
        <v>44651</v>
      </c>
      <c r="B13" s="24" t="n">
        <v>9441.450000000001</v>
      </c>
      <c r="C13" s="25" t="n">
        <v>24.41</v>
      </c>
      <c r="D13" s="32">
        <f>IFERROR(B13/C13,"")</f>
        <v/>
      </c>
      <c r="E13" s="20">
        <f>IFERROR(1/C13,"")</f>
        <v/>
      </c>
    </row>
    <row r="14">
      <c r="A14" s="31" t="n">
        <v>44681</v>
      </c>
      <c r="B14" s="24" t="n">
        <v>9493.299999999999</v>
      </c>
      <c r="C14" s="25" t="n">
        <v>24.46</v>
      </c>
      <c r="D14" s="32">
        <f>IFERROR(B14/C14,"")</f>
        <v/>
      </c>
      <c r="E14" s="20">
        <f>IFERROR(1/C14,"")</f>
        <v/>
      </c>
    </row>
    <row r="15">
      <c r="A15" s="31" t="n">
        <v>44712</v>
      </c>
      <c r="B15" s="24" t="n">
        <v>8673.1</v>
      </c>
      <c r="C15" s="25" t="n">
        <v>20.91</v>
      </c>
      <c r="D15" s="32">
        <f>IFERROR(B15/C15,"")</f>
        <v/>
      </c>
      <c r="E15" s="20">
        <f>IFERROR(1/C15,"")</f>
        <v/>
      </c>
    </row>
    <row r="16">
      <c r="A16" s="31" t="n">
        <v>44742</v>
      </c>
      <c r="B16" s="24" t="n">
        <v>8088.6</v>
      </c>
      <c r="C16" s="25" t="n">
        <v>19.63</v>
      </c>
      <c r="D16" s="32">
        <f>IFERROR(B16/C16,"")</f>
        <v/>
      </c>
      <c r="E16" s="20">
        <f>IFERROR(1/C16,"")</f>
        <v/>
      </c>
    </row>
    <row r="17">
      <c r="A17" s="31" t="n">
        <v>44773</v>
      </c>
      <c r="B17" s="24" t="n">
        <v>8790.549999999999</v>
      </c>
      <c r="C17" s="25" t="n">
        <v>20.58</v>
      </c>
      <c r="D17" s="32">
        <f>IFERROR(B17/C17,"")</f>
        <v/>
      </c>
      <c r="E17" s="20">
        <f>IFERROR(1/C17,"")</f>
        <v/>
      </c>
    </row>
    <row r="18">
      <c r="A18" s="31" t="n">
        <v>44804</v>
      </c>
      <c r="B18" s="24" t="n">
        <v>9285.799999999999</v>
      </c>
      <c r="C18" s="25" t="n">
        <v>19.35</v>
      </c>
      <c r="D18" s="32">
        <f>IFERROR(B18/C18,"")</f>
        <v/>
      </c>
      <c r="E18" s="20">
        <f>IFERROR(1/C18,"")</f>
        <v/>
      </c>
    </row>
    <row r="19">
      <c r="A19" s="31" t="n">
        <v>44834</v>
      </c>
      <c r="B19" s="24" t="n">
        <v>9198.75</v>
      </c>
      <c r="C19" s="25" t="n">
        <v>18.82</v>
      </c>
      <c r="D19" s="32">
        <f>IFERROR(B19/C19,"")</f>
        <v/>
      </c>
      <c r="E19" s="20">
        <f>IFERROR(1/C19,"")</f>
        <v/>
      </c>
    </row>
    <row r="20">
      <c r="A20" s="31" t="n">
        <v>44865</v>
      </c>
      <c r="B20" s="24" t="n">
        <v>9372</v>
      </c>
      <c r="C20" s="25" t="n">
        <v>19.05</v>
      </c>
      <c r="D20" s="32">
        <f>IFERROR(B20/C20,"")</f>
        <v/>
      </c>
      <c r="E20" s="20">
        <f>IFERROR(1/C20,"")</f>
        <v/>
      </c>
    </row>
    <row r="21">
      <c r="A21" s="31" t="n">
        <v>44895</v>
      </c>
      <c r="B21" s="24" t="n">
        <v>9651.049999999999</v>
      </c>
      <c r="C21" s="25" t="n">
        <v>19.07</v>
      </c>
      <c r="D21" s="32">
        <f>IFERROR(B21/C21,"")</f>
        <v/>
      </c>
      <c r="E21" s="20">
        <f>IFERROR(1/C21,"")</f>
        <v/>
      </c>
    </row>
    <row r="22">
      <c r="A22" s="31" t="n">
        <v>44926</v>
      </c>
      <c r="B22" s="24" t="n">
        <v>9481.25</v>
      </c>
      <c r="C22" s="25" t="n">
        <v>19.04</v>
      </c>
      <c r="D22" s="32">
        <f>IFERROR(B22/C22,"")</f>
        <v/>
      </c>
      <c r="E22" s="20">
        <f>IFERROR(1/C22,"")</f>
        <v/>
      </c>
    </row>
    <row r="23">
      <c r="A23" s="31" t="n">
        <v>44957</v>
      </c>
      <c r="B23" s="24" t="n">
        <v>9261.700000000001</v>
      </c>
      <c r="C23" s="25" t="n">
        <v>18.48</v>
      </c>
      <c r="D23" s="32">
        <f>IFERROR(B23/C23,"")</f>
        <v/>
      </c>
      <c r="E23" s="20">
        <f>IFERROR(1/C23,"")</f>
        <v/>
      </c>
    </row>
    <row r="24">
      <c r="A24" s="31" t="n">
        <v>44985</v>
      </c>
      <c r="B24" s="24" t="n">
        <v>8924.15</v>
      </c>
      <c r="C24" s="25" t="n">
        <v>17.77</v>
      </c>
      <c r="D24" s="32">
        <f>IFERROR(B24/C24,"")</f>
        <v/>
      </c>
      <c r="E24" s="20">
        <f>IFERROR(1/C24,"")</f>
        <v/>
      </c>
    </row>
    <row r="25">
      <c r="A25" s="31" t="n">
        <v>45016</v>
      </c>
      <c r="B25" s="24" t="n">
        <v>8787.9</v>
      </c>
      <c r="C25" s="25" t="n">
        <v>16.94</v>
      </c>
      <c r="D25" s="32">
        <f>IFERROR(B25/C25,"")</f>
        <v/>
      </c>
      <c r="E25" s="20">
        <f>IFERROR(1/C25,"")</f>
        <v/>
      </c>
    </row>
    <row r="26">
      <c r="A26" s="31" t="n">
        <v>45046</v>
      </c>
      <c r="B26" s="24" t="n">
        <v>9392.6</v>
      </c>
      <c r="C26" s="25" t="n">
        <v>18.23</v>
      </c>
      <c r="D26" s="32">
        <f>IFERROR(B26/C26,"")</f>
        <v/>
      </c>
      <c r="E26" s="20">
        <f>IFERROR(1/C26,"")</f>
        <v/>
      </c>
    </row>
    <row r="27">
      <c r="A27" s="31" t="n">
        <v>45077</v>
      </c>
      <c r="B27" s="24" t="n">
        <v>9913.4</v>
      </c>
      <c r="C27" s="25" t="n">
        <v>19.5</v>
      </c>
      <c r="D27" s="32">
        <f>IFERROR(B27/C27,"")</f>
        <v/>
      </c>
      <c r="E27" s="20">
        <f>IFERROR(1/C27,"")</f>
        <v/>
      </c>
    </row>
    <row r="28">
      <c r="A28" s="31" t="n">
        <v>45107</v>
      </c>
      <c r="B28" s="24" t="n">
        <v>10544.2</v>
      </c>
      <c r="C28" s="25" t="n">
        <v>20.79</v>
      </c>
      <c r="D28" s="32">
        <f>IFERROR(B28/C28,"")</f>
        <v/>
      </c>
      <c r="E28" s="20">
        <f>IFERROR(1/C28,"")</f>
        <v/>
      </c>
    </row>
    <row r="29">
      <c r="A29" s="31" t="n">
        <v>45138</v>
      </c>
      <c r="B29" s="24" t="n">
        <v>11355</v>
      </c>
      <c r="C29" s="25" t="n">
        <v>22.67</v>
      </c>
      <c r="D29" s="32">
        <f>IFERROR(B29/C29,"")</f>
        <v/>
      </c>
      <c r="E29" s="20">
        <f>IFERROR(1/C29,"")</f>
        <v/>
      </c>
    </row>
    <row r="30">
      <c r="A30" s="31" t="n">
        <v>45169</v>
      </c>
      <c r="B30" s="24" t="n">
        <v>11931.2</v>
      </c>
      <c r="C30" s="25" t="n">
        <v>24.05</v>
      </c>
      <c r="D30" s="32">
        <f>IFERROR(B30/C30,"")</f>
        <v/>
      </c>
      <c r="E30" s="20">
        <f>IFERROR(1/C30,"")</f>
        <v/>
      </c>
    </row>
    <row r="31">
      <c r="A31" s="31" t="n">
        <v>45199</v>
      </c>
      <c r="B31" s="24" t="n">
        <v>12230.4</v>
      </c>
      <c r="C31" s="25" t="n">
        <v>24.54</v>
      </c>
      <c r="D31" s="32">
        <f>IFERROR(B31/C31,"")</f>
        <v/>
      </c>
      <c r="E31" s="20">
        <f>IFERROR(1/C31,"")</f>
        <v/>
      </c>
    </row>
    <row r="32">
      <c r="A32" s="31" t="n">
        <v>45230</v>
      </c>
      <c r="B32" s="24" t="n">
        <v>12023.75</v>
      </c>
      <c r="C32" s="25" t="n">
        <v>23.46</v>
      </c>
      <c r="D32" s="32">
        <f>IFERROR(B32/C32,"")</f>
        <v/>
      </c>
      <c r="E32" s="20">
        <f>IFERROR(1/C32,"")</f>
        <v/>
      </c>
    </row>
    <row r="33">
      <c r="A33" s="31" t="n">
        <v>45260</v>
      </c>
      <c r="B33" s="24" t="n">
        <v>13252</v>
      </c>
      <c r="C33" s="25" t="n">
        <v>25.63</v>
      </c>
      <c r="D33" s="32">
        <f>IFERROR(B33/C33,"")</f>
        <v/>
      </c>
      <c r="E33" s="20">
        <f>IFERROR(1/C33,"")</f>
        <v/>
      </c>
    </row>
    <row r="34">
      <c r="A34" s="31" t="n">
        <v>45291</v>
      </c>
      <c r="B34" s="24" t="n">
        <v>14041.3</v>
      </c>
      <c r="C34" s="25" t="n">
        <v>27.37</v>
      </c>
      <c r="D34" s="32">
        <f>IFERROR(B34/C34,"")</f>
        <v/>
      </c>
      <c r="E34" s="20">
        <f>IFERROR(1/C34,"")</f>
        <v/>
      </c>
    </row>
    <row r="35">
      <c r="A35" s="31" t="n">
        <v>45322</v>
      </c>
      <c r="B35" s="24" t="n">
        <v>15063.5</v>
      </c>
      <c r="C35" s="25" t="n">
        <v>28.76</v>
      </c>
      <c r="D35" s="32">
        <f>IFERROR(B35/C35,"")</f>
        <v/>
      </c>
      <c r="E35" s="20">
        <f>IFERROR(1/C35,"")</f>
        <v/>
      </c>
    </row>
    <row r="36">
      <c r="A36" s="31" t="n">
        <v>45351</v>
      </c>
      <c r="B36" s="24" t="n">
        <v>14965.05</v>
      </c>
      <c r="C36" s="25" t="n">
        <v>28.85</v>
      </c>
      <c r="D36" s="32">
        <f>IFERROR(B36/C36,"")</f>
        <v/>
      </c>
      <c r="E36" s="20">
        <f>IFERROR(1/C36,"")</f>
        <v/>
      </c>
    </row>
    <row r="37">
      <c r="A37" s="31" t="n">
        <v>45382</v>
      </c>
      <c r="B37" s="24" t="n">
        <v>14330.5</v>
      </c>
      <c r="C37" s="25" t="n">
        <v>26.6</v>
      </c>
      <c r="D37" s="32">
        <f>IFERROR(B37/C37,"")</f>
        <v/>
      </c>
      <c r="E37" s="20">
        <f>IFERROR(1/C37,"")</f>
        <v/>
      </c>
    </row>
    <row r="38">
      <c r="A38" s="31" t="n">
        <v>45412</v>
      </c>
      <c r="B38" s="24" t="n">
        <v>15833.4</v>
      </c>
      <c r="C38" s="25" t="n">
        <v>28.98</v>
      </c>
      <c r="D38" s="32">
        <f>IFERROR(B38/C38,"")</f>
        <v/>
      </c>
      <c r="E38" s="20">
        <f>IFERROR(1/C38,"")</f>
        <v/>
      </c>
    </row>
    <row r="39">
      <c r="A39" s="31" t="n">
        <v>45443</v>
      </c>
      <c r="B39" s="24" t="n">
        <v>15626.65</v>
      </c>
      <c r="C39" s="25" t="n">
        <v>27.72</v>
      </c>
      <c r="D39" s="32">
        <f>IFERROR(B39/C39,"")</f>
        <v/>
      </c>
      <c r="E39" s="20">
        <f>IFERROR(1/C39,"")</f>
        <v/>
      </c>
    </row>
    <row r="40">
      <c r="A40" s="31" t="n">
        <v>45473</v>
      </c>
      <c r="B40" s="24" t="n">
        <v>17111.05</v>
      </c>
      <c r="C40" s="25" t="n">
        <v>30.7</v>
      </c>
      <c r="D40" s="32">
        <f>IFERROR(B40/C40,"")</f>
        <v/>
      </c>
      <c r="E40" s="20">
        <f>IFERROR(1/C40,"")</f>
        <v/>
      </c>
    </row>
    <row r="41">
      <c r="A41" s="31" t="n">
        <v>45504</v>
      </c>
      <c r="B41" s="24" t="n">
        <v>17948</v>
      </c>
      <c r="C41" s="25" t="n">
        <v>31.81</v>
      </c>
      <c r="D41" s="32">
        <f>IFERROR(B41/C41,"")</f>
        <v/>
      </c>
      <c r="E41" s="20">
        <f>IFERROR(1/C41,"")</f>
        <v/>
      </c>
    </row>
    <row r="42">
      <c r="A42" s="31" t="n">
        <v>45535</v>
      </c>
      <c r="B42" s="24" t="n">
        <v>18170.25</v>
      </c>
      <c r="C42" s="25" t="n">
        <v>31.58</v>
      </c>
      <c r="D42" s="32">
        <f>IFERROR(B42/C42,"")</f>
        <v/>
      </c>
      <c r="E42" s="20">
        <f>IFERROR(1/C42,"")</f>
        <v/>
      </c>
    </row>
    <row r="43">
      <c r="A43" s="31" t="n">
        <v>45565</v>
      </c>
      <c r="B43" s="24" t="n">
        <v>18410.7</v>
      </c>
      <c r="C43" s="25" t="n">
        <v>33.49</v>
      </c>
      <c r="D43" s="32">
        <f>IFERROR(B43/C43,"")</f>
        <v/>
      </c>
      <c r="E43" s="20">
        <f>IFERROR(1/C43,"")</f>
        <v/>
      </c>
    </row>
    <row r="44">
      <c r="A44" s="31" t="n">
        <v>45596</v>
      </c>
      <c r="B44" s="24" t="n">
        <v>17751.2</v>
      </c>
      <c r="C44" s="25" t="n">
        <v>32.37</v>
      </c>
      <c r="D44" s="32">
        <f>IFERROR(B44/C44,"")</f>
        <v/>
      </c>
      <c r="E44" s="20">
        <f>IFERROR(1/C44,"")</f>
        <v/>
      </c>
    </row>
    <row r="45">
      <c r="A45" s="31" t="n">
        <v>45626</v>
      </c>
      <c r="B45" s="24" t="n">
        <v>17716.45</v>
      </c>
      <c r="C45" s="25" t="n">
        <v>34.11</v>
      </c>
      <c r="D45" s="32">
        <f>IFERROR(B45/C45,"")</f>
        <v/>
      </c>
      <c r="E45" s="20">
        <f>IFERROR(1/C45,"")</f>
        <v/>
      </c>
    </row>
    <row r="46">
      <c r="A46" s="31" t="n">
        <v>45657</v>
      </c>
      <c r="B46" s="24" t="n">
        <v>17752.25</v>
      </c>
      <c r="C46" s="25" t="n">
        <v>34.39</v>
      </c>
      <c r="D46" s="32">
        <f>IFERROR(B46/C46,"")</f>
        <v/>
      </c>
      <c r="E46" s="20">
        <f>IFERROR(1/C46,"")</f>
        <v/>
      </c>
    </row>
    <row r="47">
      <c r="A47" s="31" t="n">
        <v>45688</v>
      </c>
      <c r="B47" s="24" t="n">
        <v>15851.05</v>
      </c>
      <c r="C47" s="25" t="n">
        <v>30.18</v>
      </c>
      <c r="D47" s="32">
        <f>IFERROR(B47/C47,"")</f>
        <v/>
      </c>
      <c r="E47" s="20">
        <f>IFERROR(1/C47,"")</f>
        <v/>
      </c>
    </row>
    <row r="48">
      <c r="A48" s="31" t="n">
        <v>45716</v>
      </c>
      <c r="B48" s="24" t="n">
        <v>13844.55</v>
      </c>
      <c r="C48" s="25" t="n">
        <v>26.09</v>
      </c>
      <c r="D48" s="32">
        <f>IFERROR(B48/C48,"")</f>
        <v/>
      </c>
      <c r="E48" s="20">
        <f>IFERROR(1/C48,"")</f>
        <v/>
      </c>
    </row>
    <row r="49">
      <c r="A49" s="31" t="n">
        <v>45747</v>
      </c>
      <c r="B49" s="24" t="n">
        <v>15104.05</v>
      </c>
      <c r="C49" s="25" t="n">
        <v>29.42</v>
      </c>
      <c r="D49" s="32">
        <f>IFERROR(B49/C49,"")</f>
        <v/>
      </c>
      <c r="E49" s="20">
        <f>IFERROR(1/C49,"")</f>
        <v/>
      </c>
    </row>
    <row r="50">
      <c r="A50" s="31" t="n">
        <v>45777</v>
      </c>
      <c r="B50" s="24" t="n">
        <v>15359.45</v>
      </c>
      <c r="C50" s="25" t="n">
        <v>30.04</v>
      </c>
      <c r="D50" s="32">
        <f>IFERROR(B50/C50,"")</f>
        <v/>
      </c>
      <c r="E50" s="20">
        <f>IFERROR(1/C50,"")</f>
        <v/>
      </c>
    </row>
    <row r="51">
      <c r="A51" s="31" t="n">
        <v>45808</v>
      </c>
      <c r="B51" s="24" t="n">
        <v>16833.05</v>
      </c>
      <c r="C51" s="25" t="n">
        <v>32.19</v>
      </c>
      <c r="D51" s="32">
        <f>IFERROR(B51/C51,"")</f>
        <v/>
      </c>
      <c r="E51" s="20">
        <f>IFERROR(1/C51,"")</f>
        <v/>
      </c>
    </row>
    <row r="52">
      <c r="A52" s="31" t="n">
        <v>45838</v>
      </c>
      <c r="B52" s="24" t="n">
        <v>17797.8</v>
      </c>
      <c r="C52" s="25" t="n">
        <v>33.87</v>
      </c>
      <c r="D52" s="32">
        <f>IFERROR(B52/C52,"")</f>
        <v/>
      </c>
      <c r="E52" s="20">
        <f>IFERROR(1/C52,"")</f>
        <v/>
      </c>
    </row>
    <row r="53">
      <c r="A53" s="31" t="n">
        <v>45869</v>
      </c>
      <c r="B53" s="24" t="n">
        <v>17144.25</v>
      </c>
      <c r="C53" s="25" t="n">
        <v>32.55</v>
      </c>
      <c r="D53" s="32">
        <f>IFERROR(B53/C53,"")</f>
        <v/>
      </c>
      <c r="E53" s="20">
        <f>IFERROR(1/C53,"")</f>
        <v/>
      </c>
    </row>
    <row r="54">
      <c r="A54" s="31" t="n">
        <v>45900</v>
      </c>
      <c r="B54" s="24" t="n">
        <v>16506.15</v>
      </c>
      <c r="C54" s="25" t="n">
        <v>31.51</v>
      </c>
      <c r="D54" s="32">
        <f>IFERROR(B54/C54,"")</f>
        <v/>
      </c>
      <c r="E54" s="20">
        <f>IFERROR(1/C54,"")</f>
        <v/>
      </c>
    </row>
    <row r="55">
      <c r="A55" s="31" t="n">
        <v>45930</v>
      </c>
      <c r="B55" s="24" t="n">
        <v>16692.75</v>
      </c>
      <c r="C55" s="25" t="n">
        <v>29.96</v>
      </c>
      <c r="D55" s="32">
        <f>IFERROR(B55/C55,"")</f>
        <v/>
      </c>
      <c r="E55" s="20">
        <f>IFERROR(1/C55,"")</f>
        <v/>
      </c>
    </row>
    <row r="56">
      <c r="A56" s="31" t="n">
        <v>45961</v>
      </c>
      <c r="B56" s="24" t="n">
        <v>17313.9</v>
      </c>
      <c r="C56" s="25" t="n">
        <v>30.76</v>
      </c>
      <c r="D56" s="32">
        <f>IFERROR(B56/C56,"")</f>
        <v/>
      </c>
      <c r="E56" s="20">
        <f>IFERROR(1/C56,"")</f>
        <v/>
      </c>
    </row>
    <row r="57">
      <c r="A57" s="31" t="n">
        <v>45991</v>
      </c>
      <c r="B57" s="24" t="n">
        <v>16732.6</v>
      </c>
      <c r="C57" s="25" t="n">
        <v>29.18</v>
      </c>
      <c r="D57" s="32">
        <f>IFERROR(B57/C57,"")</f>
        <v/>
      </c>
      <c r="E57" s="20">
        <f>IFERROR(1/C57,"")</f>
        <v/>
      </c>
    </row>
    <row r="58">
      <c r="A58" s="31" t="n">
        <v>46022</v>
      </c>
      <c r="B58" s="24" t="n">
        <v>16684.75</v>
      </c>
      <c r="C58" s="25" t="n">
        <v>29.38</v>
      </c>
      <c r="D58" s="32">
        <f>IFERROR(B58/C58,"")</f>
        <v/>
      </c>
      <c r="E58" s="20">
        <f>IFERROR(1/C58,"")</f>
        <v/>
      </c>
    </row>
    <row r="59">
      <c r="A59" s="31" t="n">
        <v>46053</v>
      </c>
      <c r="B59" s="24" t="n">
        <v>15763.45</v>
      </c>
      <c r="C59" s="25" t="n">
        <v>27.14</v>
      </c>
      <c r="D59" s="32">
        <f>IFERROR(B59/C59,"")</f>
        <v/>
      </c>
      <c r="E59" s="20">
        <f>IFERROR(1/C59,"")</f>
        <v/>
      </c>
    </row>
    <row r="60">
      <c r="A60" s="31" t="n">
        <v>46081</v>
      </c>
      <c r="B60" s="24" t="n">
        <v>15881.05</v>
      </c>
      <c r="C60" s="25" t="n">
        <v>26.13</v>
      </c>
      <c r="D60" s="32">
        <f>IFERROR(B60/C60,"")</f>
        <v/>
      </c>
      <c r="E60" s="20">
        <f>IFERROR(1/C60,"")</f>
        <v/>
      </c>
    </row>
    <row r="61">
      <c r="A61" s="31" t="n">
        <v>46112</v>
      </c>
      <c r="B61" s="24" t="n">
        <v>14288.45</v>
      </c>
      <c r="C61" s="25" t="n">
        <v>25.86</v>
      </c>
      <c r="D61" s="32">
        <f>IFERROR(B61/C61,"")</f>
        <v/>
      </c>
      <c r="E61" s="20">
        <f>IFERROR(1/C61,"")</f>
        <v/>
      </c>
    </row>
    <row r="62">
      <c r="A62" s="31" t="n">
        <v>46142</v>
      </c>
      <c r="B62" s="24" t="n">
        <v>16731.2</v>
      </c>
      <c r="C62" s="25" t="n">
        <v>30</v>
      </c>
      <c r="D62" s="32">
        <f>IFERROR(B62/C62,"")</f>
        <v/>
      </c>
      <c r="E62" s="20">
        <f>IFERROR(1/C62,"")</f>
        <v/>
      </c>
    </row>
    <row r="63">
      <c r="A63" s="31" t="n">
        <v>46173</v>
      </c>
      <c r="B63" s="24" t="n">
        <v>16992.1</v>
      </c>
      <c r="C63" s="25" t="n">
        <v>33.67</v>
      </c>
      <c r="D63" s="32">
        <f>IFERROR(B63/C63,"")</f>
        <v/>
      </c>
      <c r="E63" s="20">
        <f>IFERROR(1/C63,"")</f>
        <v/>
      </c>
    </row>
    <row r="64">
      <c r="A64" s="31" t="n">
        <v>46203</v>
      </c>
      <c r="B64" s="24" t="n">
        <v>17720.3</v>
      </c>
      <c r="C64" s="25" t="n">
        <v>35.52</v>
      </c>
      <c r="D64" s="32">
        <f>IFERROR(B64/C64,"")</f>
        <v/>
      </c>
      <c r="E64" s="20">
        <f>IFERROR(1/C64,"")</f>
        <v/>
      </c>
    </row>
    <row r="65">
      <c r="A65" s="31" t="n">
        <v>46234</v>
      </c>
      <c r="B65" s="24" t="n">
        <v>17919.9</v>
      </c>
      <c r="C65" s="25" t="n">
        <v>34.25</v>
      </c>
      <c r="D65" s="32">
        <f>IFERROR(B65/C65,"")</f>
        <v/>
      </c>
      <c r="E65" s="20">
        <f>IFERROR(1/C65,"")</f>
        <v/>
      </c>
    </row>
    <row r="66">
      <c r="A66" s="31" t="n">
        <v>46265</v>
      </c>
      <c r="B66" s="24" t="n">
        <v>18372.1</v>
      </c>
      <c r="C66" s="25" t="n">
        <v>33.9</v>
      </c>
      <c r="D66" s="32">
        <f>IFERROR(B66/C66,"")</f>
        <v/>
      </c>
      <c r="E66" s="20">
        <f>IFERROR(1/C66,"")</f>
        <v/>
      </c>
    </row>
    <row r="67">
      <c r="A67" s="31" t="n">
        <v>46295</v>
      </c>
      <c r="B67" s="24" t="n">
        <v>17798.8</v>
      </c>
      <c r="C67" s="25" t="n">
        <v>34.45</v>
      </c>
      <c r="D67" s="32">
        <f>IFERROR(B67/C67,"")</f>
        <v/>
      </c>
      <c r="E67" s="20">
        <f>IFERROR(1/C67,"")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2" customWidth="1" min="11" max="11"/>
    <col width="32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31" t="n">
        <v>42551</v>
      </c>
      <c r="B2" s="24" t="n">
        <v>4586.69</v>
      </c>
      <c r="C2" s="25" t="n">
        <v>1979.15</v>
      </c>
      <c r="D2" s="2" t="inlineStr">
        <is>
          <t>Standalone</t>
        </is>
      </c>
      <c r="E2" s="33">
        <f>IFERROR(B2/C2,"")</f>
        <v/>
      </c>
      <c r="F2" s="30" t="n"/>
      <c r="G2" s="30">
        <f>IF(C2="","",(COUNTIFS($D$2:$D$43,D2,$C$2:$C$43,"&gt;0",$C$2:$C$43,"&lt;"&amp;C2)+(COUNTIFS($D$2:$D$43,D2,$C$2:$C$43,C2)+1)/2)/COUNTIFS($D$2:$D$43,D2,$C$2:$C$43,"&gt;0"))</f>
        <v/>
      </c>
      <c r="H2">
        <f>IF(G2="","",IF(G2&lt;=20%,"Q1 Cheapest",IF(G2&lt;=40%,"Q2",IF(G2&lt;=60%,"Q3",IF(G2&lt;=80%,"Q4","Q5 Most Expensive")))))</f>
        <v/>
      </c>
      <c r="I2" s="30">
        <f>IFERROR(B6/B2-1,"")</f>
        <v/>
      </c>
      <c r="J2" s="30">
        <f>IFERROR((B14/B2)^(1/3)-1,"")</f>
        <v/>
      </c>
      <c r="K2" s="30">
        <f>IFERROR((B22/B2)^(1/5)-1,"")</f>
        <v/>
      </c>
      <c r="L2" s="30">
        <f>IFERROR((B42/B2)^(1/10)-1,"")</f>
        <v/>
      </c>
    </row>
    <row r="3">
      <c r="A3" s="31" t="n">
        <v>42643</v>
      </c>
      <c r="B3" s="24" t="n">
        <v>4923.76</v>
      </c>
      <c r="C3" s="25" t="n"/>
      <c r="D3" s="2" t="inlineStr">
        <is>
          <t>Standalone</t>
        </is>
      </c>
      <c r="E3" s="33">
        <f>IFERROR(B3/C3,"")</f>
        <v/>
      </c>
      <c r="F3" s="30" t="n"/>
      <c r="G3" s="30">
        <f>IF(C3="","",(COUNTIFS($D$2:$D$43,D3,$C$2:$C$43,"&gt;0",$C$2:$C$43,"&lt;"&amp;C3)+(COUNTIFS($D$2:$D$43,D3,$C$2:$C$43,C3)+1)/2)/COUNTIFS($D$2:$D$43,D3,$C$2:$C$43,"&gt;0"))</f>
        <v/>
      </c>
      <c r="H3">
        <f>IF(G3="","",IF(G3&lt;=20%,"Q1 Cheapest",IF(G3&lt;=40%,"Q2",IF(G3&lt;=60%,"Q3",IF(G3&lt;=80%,"Q4","Q5 Most Expensive")))))</f>
        <v/>
      </c>
      <c r="I3" s="30">
        <f>IFERROR(B7/B3-1,"")</f>
        <v/>
      </c>
      <c r="J3" s="30">
        <f>IFERROR((B15/B3)^(1/3)-1,"")</f>
        <v/>
      </c>
      <c r="K3" s="30">
        <f>IFERROR((B23/B3)^(1/5)-1,"")</f>
        <v/>
      </c>
      <c r="L3" s="30">
        <f>IFERROR((B43/B3)^(1/10)-1,"")</f>
        <v/>
      </c>
    </row>
    <row r="4">
      <c r="A4" s="31" t="n">
        <v>42735</v>
      </c>
      <c r="B4" s="24" t="n">
        <v>4599.77</v>
      </c>
      <c r="C4" s="25" t="n"/>
      <c r="D4" s="2" t="inlineStr">
        <is>
          <t>Standalone</t>
        </is>
      </c>
      <c r="E4" s="33">
        <f>IFERROR(B4/C4,"")</f>
        <v/>
      </c>
      <c r="F4" s="30" t="n"/>
      <c r="G4" s="30">
        <f>IF(C4="","",(COUNTIFS($D$2:$D$43,D4,$C$2:$C$43,"&gt;0",$C$2:$C$43,"&lt;"&amp;C4)+(COUNTIFS($D$2:$D$43,D4,$C$2:$C$43,C4)+1)/2)/COUNTIFS($D$2:$D$43,D4,$C$2:$C$43,"&gt;0"))</f>
        <v/>
      </c>
      <c r="H4">
        <f>IF(G4="","",IF(G4&lt;=20%,"Q1 Cheapest",IF(G4&lt;=40%,"Q2",IF(G4&lt;=60%,"Q3",IF(G4&lt;=80%,"Q4","Q5 Most Expensive")))))</f>
        <v/>
      </c>
      <c r="I4" s="30">
        <f>IFERROR(B8/B4-1,"")</f>
        <v/>
      </c>
      <c r="J4" s="30">
        <f>IFERROR((B16/B4)^(1/3)-1,"")</f>
        <v/>
      </c>
      <c r="K4" s="30">
        <f>IFERROR((B24/B4)^(1/5)-1,"")</f>
        <v/>
      </c>
      <c r="L4" s="30" t="n"/>
    </row>
    <row r="5">
      <c r="A5" s="31" t="n">
        <v>42825</v>
      </c>
      <c r="B5" s="24" t="n">
        <v>5596.81</v>
      </c>
      <c r="C5" s="25" t="n">
        <v>99.48</v>
      </c>
      <c r="D5" s="2" t="inlineStr">
        <is>
          <t>Standalone</t>
        </is>
      </c>
      <c r="E5" s="33">
        <f>IFERROR(B5/C5,"")</f>
        <v/>
      </c>
      <c r="F5" s="30" t="n"/>
      <c r="G5" s="30">
        <f>IF(C5="","",(COUNTIFS($D$2:$D$43,D5,$C$2:$C$43,"&gt;0",$C$2:$C$43,"&lt;"&amp;C5)+(COUNTIFS($D$2:$D$43,D5,$C$2:$C$43,C5)+1)/2)/COUNTIFS($D$2:$D$43,D5,$C$2:$C$43,"&gt;0"))</f>
        <v/>
      </c>
      <c r="H5">
        <f>IF(G5="","",IF(G5&lt;=20%,"Q1 Cheapest",IF(G5&lt;=40%,"Q2",IF(G5&lt;=60%,"Q3",IF(G5&lt;=80%,"Q4","Q5 Most Expensive")))))</f>
        <v/>
      </c>
      <c r="I5" s="30">
        <f>IFERROR(B9/B5-1,"")</f>
        <v/>
      </c>
      <c r="J5" s="30">
        <f>IFERROR((B17/B5)^(1/3)-1,"")</f>
        <v/>
      </c>
      <c r="K5" s="30">
        <f>IFERROR((B25/B5)^(1/5)-1,"")</f>
        <v/>
      </c>
      <c r="L5" s="30" t="n"/>
    </row>
    <row r="6">
      <c r="A6" s="31" t="n">
        <v>42916</v>
      </c>
      <c r="B6" s="24" t="n">
        <v>5982.5</v>
      </c>
      <c r="C6" s="25" t="n">
        <v>107.21</v>
      </c>
      <c r="D6" s="2" t="inlineStr">
        <is>
          <t>Standalone</t>
        </is>
      </c>
      <c r="E6" s="33">
        <f>IFERROR(B6/C6,"")</f>
        <v/>
      </c>
      <c r="F6" s="30">
        <f>IF(AND(D6=D2,E2&lt;&gt;""),E6/E2-1,"")</f>
        <v/>
      </c>
      <c r="G6" s="30">
        <f>IF(C6="","",(COUNTIFS($D$2:$D$43,D6,$C$2:$C$43,"&gt;0",$C$2:$C$43,"&lt;"&amp;C6)+(COUNTIFS($D$2:$D$43,D6,$C$2:$C$43,C6)+1)/2)/COUNTIFS($D$2:$D$43,D6,$C$2:$C$43,"&gt;0"))</f>
        <v/>
      </c>
      <c r="H6">
        <f>IF(G6="","",IF(G6&lt;=20%,"Q1 Cheapest",IF(G6&lt;=40%,"Q2",IF(G6&lt;=60%,"Q3",IF(G6&lt;=80%,"Q4","Q5 Most Expensive")))))</f>
        <v/>
      </c>
      <c r="I6" s="30">
        <f>IFERROR(B10/B6-1,"")</f>
        <v/>
      </c>
      <c r="J6" s="30">
        <f>IFERROR((B18/B6)^(1/3)-1,"")</f>
        <v/>
      </c>
      <c r="K6" s="30">
        <f>IFERROR((B26/B6)^(1/5)-1,"")</f>
        <v/>
      </c>
      <c r="L6" s="30" t="n"/>
    </row>
    <row r="7">
      <c r="A7" s="31" t="n">
        <v>43008</v>
      </c>
      <c r="B7" s="24" t="n">
        <v>6093.86</v>
      </c>
      <c r="C7" s="25" t="n">
        <v>68.97</v>
      </c>
      <c r="D7" s="2" t="inlineStr">
        <is>
          <t>Standalone</t>
        </is>
      </c>
      <c r="E7" s="33">
        <f>IFERROR(B7/C7,"")</f>
        <v/>
      </c>
      <c r="F7" s="30">
        <f>IF(AND(D7=D3,E3&lt;&gt;""),E7/E3-1,"")</f>
        <v/>
      </c>
      <c r="G7" s="30">
        <f>IF(C7="","",(COUNTIFS($D$2:$D$43,D7,$C$2:$C$43,"&gt;0",$C$2:$C$43,"&lt;"&amp;C7)+(COUNTIFS($D$2:$D$43,D7,$C$2:$C$43,C7)+1)/2)/COUNTIFS($D$2:$D$43,D7,$C$2:$C$43,"&gt;0"))</f>
        <v/>
      </c>
      <c r="H7">
        <f>IF(G7="","",IF(G7&lt;=20%,"Q1 Cheapest",IF(G7&lt;=40%,"Q2",IF(G7&lt;=60%,"Q3",IF(G7&lt;=80%,"Q4","Q5 Most Expensive")))))</f>
        <v/>
      </c>
      <c r="I7" s="30">
        <f>IFERROR(B11/B7-1,"")</f>
        <v/>
      </c>
      <c r="J7" s="30">
        <f>IFERROR((B19/B7)^(1/3)-1,"")</f>
        <v/>
      </c>
      <c r="K7" s="30">
        <f>IFERROR((B27/B7)^(1/5)-1,"")</f>
        <v/>
      </c>
      <c r="L7" s="30" t="n"/>
    </row>
    <row r="8">
      <c r="A8" s="31" t="n">
        <v>43100</v>
      </c>
      <c r="B8" s="24" t="n">
        <v>7234.34</v>
      </c>
      <c r="C8" s="25" t="n">
        <v>92.89</v>
      </c>
      <c r="D8" s="2" t="inlineStr">
        <is>
          <t>Standalone</t>
        </is>
      </c>
      <c r="E8" s="33">
        <f>IFERROR(B8/C8,"")</f>
        <v/>
      </c>
      <c r="F8" s="30">
        <f>IF(AND(D8=D4,E4&lt;&gt;""),E8/E4-1,"")</f>
        <v/>
      </c>
      <c r="G8" s="30">
        <f>IF(C8="","",(COUNTIFS($D$2:$D$43,D8,$C$2:$C$43,"&gt;0",$C$2:$C$43,"&lt;"&amp;C8)+(COUNTIFS($D$2:$D$43,D8,$C$2:$C$43,C8)+1)/2)/COUNTIFS($D$2:$D$43,D8,$C$2:$C$43,"&gt;0"))</f>
        <v/>
      </c>
      <c r="H8">
        <f>IF(G8="","",IF(G8&lt;=20%,"Q1 Cheapest",IF(G8&lt;=40%,"Q2",IF(G8&lt;=60%,"Q3",IF(G8&lt;=80%,"Q4","Q5 Most Expensive")))))</f>
        <v/>
      </c>
      <c r="I8" s="30">
        <f>IFERROR(B12/B8-1,"")</f>
        <v/>
      </c>
      <c r="J8" s="30">
        <f>IFERROR((B20/B8)^(1/3)-1,"")</f>
        <v/>
      </c>
      <c r="K8" s="30">
        <f>IFERROR((B28/B8)^(1/5)-1,"")</f>
        <v/>
      </c>
      <c r="L8" s="30" t="n"/>
    </row>
    <row r="9">
      <c r="A9" s="31" t="n">
        <v>43190</v>
      </c>
      <c r="B9" s="24" t="n">
        <v>6270.82</v>
      </c>
      <c r="C9" s="25" t="n">
        <v>98.94</v>
      </c>
      <c r="D9" s="2" t="inlineStr">
        <is>
          <t>Standalone</t>
        </is>
      </c>
      <c r="E9" s="33">
        <f>IFERROR(B9/C9,"")</f>
        <v/>
      </c>
      <c r="F9" s="30">
        <f>IF(AND(D9=D5,E5&lt;&gt;""),E9/E5-1,"")</f>
        <v/>
      </c>
      <c r="G9" s="30">
        <f>IF(C9="","",(COUNTIFS($D$2:$D$43,D9,$C$2:$C$43,"&gt;0",$C$2:$C$43,"&lt;"&amp;C9)+(COUNTIFS($D$2:$D$43,D9,$C$2:$C$43,C9)+1)/2)/COUNTIFS($D$2:$D$43,D9,$C$2:$C$43,"&gt;0"))</f>
        <v/>
      </c>
      <c r="H9">
        <f>IF(G9="","",IF(G9&lt;=20%,"Q1 Cheapest",IF(G9&lt;=40%,"Q2",IF(G9&lt;=60%,"Q3",IF(G9&lt;=80%,"Q4","Q5 Most Expensive")))))</f>
        <v/>
      </c>
      <c r="I9" s="30">
        <f>IFERROR(B13/B9-1,"")</f>
        <v/>
      </c>
      <c r="J9" s="30">
        <f>IFERROR((B21/B9)^(1/3)-1,"")</f>
        <v/>
      </c>
      <c r="K9" s="30">
        <f>IFERROR((B29/B9)^(1/5)-1,"")</f>
        <v/>
      </c>
      <c r="L9" s="30" t="n"/>
    </row>
    <row r="10">
      <c r="A10" s="31" t="n">
        <v>43281</v>
      </c>
      <c r="B10" s="24" t="n">
        <v>5786.49</v>
      </c>
      <c r="C10" s="25" t="n">
        <v>87.88</v>
      </c>
      <c r="D10" s="2" t="inlineStr">
        <is>
          <t>Standalone</t>
        </is>
      </c>
      <c r="E10" s="33">
        <f>IFERROR(B10/C10,"")</f>
        <v/>
      </c>
      <c r="F10" s="30">
        <f>IF(AND(D10=D6,E6&lt;&gt;""),E10/E6-1,"")</f>
        <v/>
      </c>
      <c r="G10" s="30">
        <f>IF(C10="","",(COUNTIFS($D$2:$D$43,D10,$C$2:$C$43,"&gt;0",$C$2:$C$43,"&lt;"&amp;C10)+(COUNTIFS($D$2:$D$43,D10,$C$2:$C$43,C10)+1)/2)/COUNTIFS($D$2:$D$43,D10,$C$2:$C$43,"&gt;0"))</f>
        <v/>
      </c>
      <c r="H10">
        <f>IF(G10="","",IF(G10&lt;=20%,"Q1 Cheapest",IF(G10&lt;=40%,"Q2",IF(G10&lt;=60%,"Q3",IF(G10&lt;=80%,"Q4","Q5 Most Expensive")))))</f>
        <v/>
      </c>
      <c r="I10" s="30">
        <f>IFERROR(B14/B10-1,"")</f>
        <v/>
      </c>
      <c r="J10" s="30">
        <f>IFERROR((B22/B10)^(1/3)-1,"")</f>
        <v/>
      </c>
      <c r="K10" s="30">
        <f>IFERROR((B30/B10)^(1/5)-1,"")</f>
        <v/>
      </c>
      <c r="L10" s="30" t="n"/>
    </row>
    <row r="11">
      <c r="A11" s="31" t="n">
        <v>43373</v>
      </c>
      <c r="B11" s="24" t="n">
        <v>5130.04</v>
      </c>
      <c r="C11" s="25" t="n">
        <v>63.81</v>
      </c>
      <c r="D11" s="2" t="inlineStr">
        <is>
          <t>Standalone</t>
        </is>
      </c>
      <c r="E11" s="33">
        <f>IFERROR(B11/C11,"")</f>
        <v/>
      </c>
      <c r="F11" s="30">
        <f>IF(AND(D11=D7,E7&lt;&gt;""),E11/E7-1,"")</f>
        <v/>
      </c>
      <c r="G11" s="30">
        <f>IF(C11="","",(COUNTIFS($D$2:$D$43,D11,$C$2:$C$43,"&gt;0",$C$2:$C$43,"&lt;"&amp;C11)+(COUNTIFS($D$2:$D$43,D11,$C$2:$C$43,C11)+1)/2)/COUNTIFS($D$2:$D$43,D11,$C$2:$C$43,"&gt;0"))</f>
        <v/>
      </c>
      <c r="H11">
        <f>IF(G11="","",IF(G11&lt;=20%,"Q1 Cheapest",IF(G11&lt;=40%,"Q2",IF(G11&lt;=60%,"Q3",IF(G11&lt;=80%,"Q4","Q5 Most Expensive")))))</f>
        <v/>
      </c>
      <c r="I11" s="30">
        <f>IFERROR(B15/B11-1,"")</f>
        <v/>
      </c>
      <c r="J11" s="30">
        <f>IFERROR((B23/B11)^(1/3)-1,"")</f>
        <v/>
      </c>
      <c r="K11" s="30">
        <f>IFERROR((B31/B11)^(1/5)-1,"")</f>
        <v/>
      </c>
      <c r="L11" s="30" t="n"/>
    </row>
    <row r="12">
      <c r="A12" s="31" t="n">
        <v>43465</v>
      </c>
      <c r="B12" s="24" t="n">
        <v>5295.48</v>
      </c>
      <c r="C12" s="25" t="n">
        <v>43.17</v>
      </c>
      <c r="D12" s="2" t="inlineStr">
        <is>
          <t>Standalone</t>
        </is>
      </c>
      <c r="E12" s="33">
        <f>IFERROR(B12/C12,"")</f>
        <v/>
      </c>
      <c r="F12" s="30">
        <f>IF(AND(D12=D8,E8&lt;&gt;""),E12/E8-1,"")</f>
        <v/>
      </c>
      <c r="G12" s="30">
        <f>IF(C12="","",(COUNTIFS($D$2:$D$43,D12,$C$2:$C$43,"&gt;0",$C$2:$C$43,"&lt;"&amp;C12)+(COUNTIFS($D$2:$D$43,D12,$C$2:$C$43,C12)+1)/2)/COUNTIFS($D$2:$D$43,D12,$C$2:$C$43,"&gt;0"))</f>
        <v/>
      </c>
      <c r="H12">
        <f>IF(G12="","",IF(G12&lt;=20%,"Q1 Cheapest",IF(G12&lt;=40%,"Q2",IF(G12&lt;=60%,"Q3",IF(G12&lt;=80%,"Q4","Q5 Most Expensive")))))</f>
        <v/>
      </c>
      <c r="I12" s="30">
        <f>IFERROR(B16/B12-1,"")</f>
        <v/>
      </c>
      <c r="J12" s="30">
        <f>IFERROR((B24/B12)^(1/3)-1,"")</f>
        <v/>
      </c>
      <c r="K12" s="30">
        <f>IFERROR((B32/B12)^(1/5)-1,"")</f>
        <v/>
      </c>
      <c r="L12" s="30" t="n"/>
    </row>
    <row r="13">
      <c r="A13" s="31" t="n">
        <v>43555</v>
      </c>
      <c r="B13" s="24" t="n">
        <v>5438.8</v>
      </c>
      <c r="C13" s="25" t="n">
        <v>34.27</v>
      </c>
      <c r="D13" s="2" t="inlineStr">
        <is>
          <t>Standalone</t>
        </is>
      </c>
      <c r="E13" s="33">
        <f>IFERROR(B13/C13,"")</f>
        <v/>
      </c>
      <c r="F13" s="30">
        <f>IF(AND(D13=D9,E9&lt;&gt;""),E13/E9-1,"")</f>
        <v/>
      </c>
      <c r="G13" s="30">
        <f>IF(C13="","",(COUNTIFS($D$2:$D$43,D13,$C$2:$C$43,"&gt;0",$C$2:$C$43,"&lt;"&amp;C13)+(COUNTIFS($D$2:$D$43,D13,$C$2:$C$43,C13)+1)/2)/COUNTIFS($D$2:$D$43,D13,$C$2:$C$43,"&gt;0"))</f>
        <v/>
      </c>
      <c r="H13">
        <f>IF(G13="","",IF(G13&lt;=20%,"Q1 Cheapest",IF(G13&lt;=40%,"Q2",IF(G13&lt;=60%,"Q3",IF(G13&lt;=80%,"Q4","Q5 Most Expensive")))))</f>
        <v/>
      </c>
      <c r="I13" s="30">
        <f>IFERROR(B17/B13-1,"")</f>
        <v/>
      </c>
      <c r="J13" s="30">
        <f>IFERROR((B25/B13)^(1/3)-1,"")</f>
        <v/>
      </c>
      <c r="K13" s="30">
        <f>IFERROR((B33/B13)^(1/5)-1,"")</f>
        <v/>
      </c>
      <c r="L13" s="30" t="n"/>
    </row>
    <row r="14">
      <c r="A14" s="31" t="n">
        <v>43646</v>
      </c>
      <c r="B14" s="24" t="n">
        <v>5138.55</v>
      </c>
      <c r="C14" s="25" t="n">
        <v>34.66</v>
      </c>
      <c r="D14" s="2" t="inlineStr">
        <is>
          <t>Standalone</t>
        </is>
      </c>
      <c r="E14" s="33">
        <f>IFERROR(B14/C14,"")</f>
        <v/>
      </c>
      <c r="F14" s="30">
        <f>IF(AND(D14=D10,E10&lt;&gt;""),E14/E10-1,"")</f>
        <v/>
      </c>
      <c r="G14" s="30">
        <f>IF(C14="","",(COUNTIFS($D$2:$D$43,D14,$C$2:$C$43,"&gt;0",$C$2:$C$43,"&lt;"&amp;C14)+(COUNTIFS($D$2:$D$43,D14,$C$2:$C$43,C14)+1)/2)/COUNTIFS($D$2:$D$43,D14,$C$2:$C$43,"&gt;0"))</f>
        <v/>
      </c>
      <c r="H14">
        <f>IF(G14="","",IF(G14&lt;=20%,"Q1 Cheapest",IF(G14&lt;=40%,"Q2",IF(G14&lt;=60%,"Q3",IF(G14&lt;=80%,"Q4","Q5 Most Expensive")))))</f>
        <v/>
      </c>
      <c r="I14" s="30">
        <f>IFERROR(B18/B14-1,"")</f>
        <v/>
      </c>
      <c r="J14" s="30">
        <f>IFERROR((B26/B14)^(1/3)-1,"")</f>
        <v/>
      </c>
      <c r="K14" s="30">
        <f>IFERROR((B34/B14)^(1/5)-1,"")</f>
        <v/>
      </c>
      <c r="L14" s="30" t="n"/>
    </row>
    <row r="15">
      <c r="A15" s="31" t="n">
        <v>43738</v>
      </c>
      <c r="B15" s="24" t="n">
        <v>4677.4</v>
      </c>
      <c r="C15" s="25" t="n">
        <v>51.16</v>
      </c>
      <c r="D15" s="2" t="inlineStr">
        <is>
          <t>Standalone</t>
        </is>
      </c>
      <c r="E15" s="33">
        <f>IFERROR(B15/C15,"")</f>
        <v/>
      </c>
      <c r="F15" s="30">
        <f>IF(AND(D15=D11,E11&lt;&gt;""),E15/E11-1,"")</f>
        <v/>
      </c>
      <c r="G15" s="30">
        <f>IF(C15="","",(COUNTIFS($D$2:$D$43,D15,$C$2:$C$43,"&gt;0",$C$2:$C$43,"&lt;"&amp;C15)+(COUNTIFS($D$2:$D$43,D15,$C$2:$C$43,C15)+1)/2)/COUNTIFS($D$2:$D$43,D15,$C$2:$C$43,"&gt;0"))</f>
        <v/>
      </c>
      <c r="H15">
        <f>IF(G15="","",IF(G15&lt;=20%,"Q1 Cheapest",IF(G15&lt;=40%,"Q2",IF(G15&lt;=60%,"Q3",IF(G15&lt;=80%,"Q4","Q5 Most Expensive")))))</f>
        <v/>
      </c>
      <c r="I15" s="30">
        <f>IFERROR(B19/B15-1,"")</f>
        <v/>
      </c>
      <c r="J15" s="30">
        <f>IFERROR((B27/B15)^(1/3)-1,"")</f>
        <v/>
      </c>
      <c r="K15" s="30">
        <f>IFERROR((B35/B15)^(1/5)-1,"")</f>
        <v/>
      </c>
      <c r="L15" s="30" t="n"/>
    </row>
    <row r="16">
      <c r="A16" s="31" t="n">
        <v>43830</v>
      </c>
      <c r="B16" s="24" t="n">
        <v>4857.4</v>
      </c>
      <c r="C16" s="25" t="n">
        <v>49.53</v>
      </c>
      <c r="D16" s="2" t="inlineStr">
        <is>
          <t>Standalone</t>
        </is>
      </c>
      <c r="E16" s="33">
        <f>IFERROR(B16/C16,"")</f>
        <v/>
      </c>
      <c r="F16" s="30">
        <f>IF(AND(D16=D12,E12&lt;&gt;""),E16/E12-1,"")</f>
        <v/>
      </c>
      <c r="G16" s="30">
        <f>IF(C16="","",(COUNTIFS($D$2:$D$43,D16,$C$2:$C$43,"&gt;0",$C$2:$C$43,"&lt;"&amp;C16)+(COUNTIFS($D$2:$D$43,D16,$C$2:$C$43,C16)+1)/2)/COUNTIFS($D$2:$D$43,D16,$C$2:$C$43,"&gt;0"))</f>
        <v/>
      </c>
      <c r="H16">
        <f>IF(G16="","",IF(G16&lt;=20%,"Q1 Cheapest",IF(G16&lt;=40%,"Q2",IF(G16&lt;=60%,"Q3",IF(G16&lt;=80%,"Q4","Q5 Most Expensive")))))</f>
        <v/>
      </c>
      <c r="I16" s="30">
        <f>IFERROR(B20/B16-1,"")</f>
        <v/>
      </c>
      <c r="J16" s="30">
        <f>IFERROR((B28/B16)^(1/3)-1,"")</f>
        <v/>
      </c>
      <c r="K16" s="30">
        <f>IFERROR((B36/B16)^(1/5)-1,"")</f>
        <v/>
      </c>
      <c r="L16" s="30" t="n"/>
    </row>
    <row r="17">
      <c r="A17" s="31" t="n">
        <v>43921</v>
      </c>
      <c r="B17" s="24" t="n">
        <v>3201.6</v>
      </c>
      <c r="C17" s="25" t="n">
        <v>54.62</v>
      </c>
      <c r="D17" s="2" t="inlineStr">
        <is>
          <t>Standalone</t>
        </is>
      </c>
      <c r="E17" s="33">
        <f>IFERROR(B17/C17,"")</f>
        <v/>
      </c>
      <c r="F17" s="30">
        <f>IF(AND(D17=D13,E13&lt;&gt;""),E17/E13-1,"")</f>
        <v/>
      </c>
      <c r="G17" s="30">
        <f>IF(C17="","",(COUNTIFS($D$2:$D$43,D17,$C$2:$C$43,"&gt;0",$C$2:$C$43,"&lt;"&amp;C17)+(COUNTIFS($D$2:$D$43,D17,$C$2:$C$43,C17)+1)/2)/COUNTIFS($D$2:$D$43,D17,$C$2:$C$43,"&gt;0"))</f>
        <v/>
      </c>
      <c r="H17">
        <f>IF(G17="","",IF(G17&lt;=20%,"Q1 Cheapest",IF(G17&lt;=40%,"Q2",IF(G17&lt;=60%,"Q3",IF(G17&lt;=80%,"Q4","Q5 Most Expensive")))))</f>
        <v/>
      </c>
      <c r="I17" s="30">
        <f>IFERROR(B21/B17-1,"")</f>
        <v/>
      </c>
      <c r="J17" s="30">
        <f>IFERROR((B29/B17)^(1/3)-1,"")</f>
        <v/>
      </c>
      <c r="K17" s="30">
        <f>IFERROR((B37/B17)^(1/5)-1,"")</f>
        <v/>
      </c>
      <c r="L17" s="30" t="n"/>
    </row>
    <row r="18">
      <c r="A18" s="31" t="n">
        <v>44012</v>
      </c>
      <c r="B18" s="24" t="n">
        <v>4067.25</v>
      </c>
      <c r="C18" s="25" t="n">
        <v>28.24</v>
      </c>
      <c r="D18" s="2" t="inlineStr">
        <is>
          <t>Standalone</t>
        </is>
      </c>
      <c r="E18" s="33">
        <f>IFERROR(B18/C18,"")</f>
        <v/>
      </c>
      <c r="F18" s="30">
        <f>IF(AND(D18=D14,E14&lt;&gt;""),E18/E14-1,"")</f>
        <v/>
      </c>
      <c r="G18" s="30">
        <f>IF(C18="","",(COUNTIFS($D$2:$D$43,D18,$C$2:$C$43,"&gt;0",$C$2:$C$43,"&lt;"&amp;C18)+(COUNTIFS($D$2:$D$43,D18,$C$2:$C$43,C18)+1)/2)/COUNTIFS($D$2:$D$43,D18,$C$2:$C$43,"&gt;0"))</f>
        <v/>
      </c>
      <c r="H18">
        <f>IF(G18="","",IF(G18&lt;=20%,"Q1 Cheapest",IF(G18&lt;=40%,"Q2",IF(G18&lt;=60%,"Q3",IF(G18&lt;=80%,"Q4","Q5 Most Expensive")))))</f>
        <v/>
      </c>
      <c r="I18" s="30">
        <f>IFERROR(B22/B18-1,"")</f>
        <v/>
      </c>
      <c r="J18" s="30">
        <f>IFERROR((B30/B18)^(1/3)-1,"")</f>
        <v/>
      </c>
      <c r="K18" s="30">
        <f>IFERROR((B38/B18)^(1/5)-1,"")</f>
        <v/>
      </c>
      <c r="L18" s="30" t="n"/>
    </row>
    <row r="19">
      <c r="A19" s="31" t="n">
        <v>44104</v>
      </c>
      <c r="B19" s="24" t="n">
        <v>5000.7</v>
      </c>
      <c r="C19" s="25" t="n">
        <v>57.29</v>
      </c>
      <c r="D19" s="2" t="inlineStr">
        <is>
          <t>Standalone</t>
        </is>
      </c>
      <c r="E19" s="33">
        <f>IFERROR(B19/C19,"")</f>
        <v/>
      </c>
      <c r="F19" s="30">
        <f>IF(AND(D19=D15,E15&lt;&gt;""),E19/E15-1,"")</f>
        <v/>
      </c>
      <c r="G19" s="30">
        <f>IF(C19="","",(COUNTIFS($D$2:$D$43,D19,$C$2:$C$43,"&gt;0",$C$2:$C$43,"&lt;"&amp;C19)+(COUNTIFS($D$2:$D$43,D19,$C$2:$C$43,C19)+1)/2)/COUNTIFS($D$2:$D$43,D19,$C$2:$C$43,"&gt;0"))</f>
        <v/>
      </c>
      <c r="H19">
        <f>IF(G19="","",IF(G19&lt;=20%,"Q1 Cheapest",IF(G19&lt;=40%,"Q2",IF(G19&lt;=60%,"Q3",IF(G19&lt;=80%,"Q4","Q5 Most Expensive")))))</f>
        <v/>
      </c>
      <c r="I19" s="30">
        <f>IFERROR(B23/B19-1,"")</f>
        <v/>
      </c>
      <c r="J19" s="30">
        <f>IFERROR((B31/B19)^(1/3)-1,"")</f>
        <v/>
      </c>
      <c r="K19" s="30">
        <f>IFERROR((B39/B19)^(1/5)-1,"")</f>
        <v/>
      </c>
      <c r="L19" s="30" t="n"/>
    </row>
    <row r="20">
      <c r="A20" s="31" t="n">
        <v>44196</v>
      </c>
      <c r="B20" s="24" t="n">
        <v>6076.2</v>
      </c>
      <c r="C20" s="25" t="n">
        <v>41.1</v>
      </c>
      <c r="D20" s="2" t="inlineStr">
        <is>
          <t>Standalone</t>
        </is>
      </c>
      <c r="E20" s="33">
        <f>IFERROR(B20/C20,"")</f>
        <v/>
      </c>
      <c r="F20" s="30">
        <f>IF(AND(D20=D16,E16&lt;&gt;""),E20/E16-1,"")</f>
        <v/>
      </c>
      <c r="G20" s="30">
        <f>IF(C20="","",(COUNTIFS($D$2:$D$43,D20,$C$2:$C$43,"&gt;0",$C$2:$C$43,"&lt;"&amp;C20)+(COUNTIFS($D$2:$D$43,D20,$C$2:$C$43,C20)+1)/2)/COUNTIFS($D$2:$D$43,D20,$C$2:$C$43,"&gt;0"))</f>
        <v/>
      </c>
      <c r="H20">
        <f>IF(G20="","",IF(G20&lt;=20%,"Q1 Cheapest",IF(G20&lt;=40%,"Q2",IF(G20&lt;=60%,"Q3",IF(G20&lt;=80%,"Q4","Q5 Most Expensive")))))</f>
        <v/>
      </c>
      <c r="I20" s="30">
        <f>IFERROR(B24/B20-1,"")</f>
        <v/>
      </c>
      <c r="J20" s="30">
        <f>IFERROR((B32/B20)^(1/3)-1,"")</f>
        <v/>
      </c>
      <c r="K20" s="30">
        <f>IFERROR((B40/B20)^(1/5)-1,"")</f>
        <v/>
      </c>
      <c r="L20" s="30" t="n"/>
    </row>
    <row r="21">
      <c r="A21" s="31" t="n">
        <v>44286</v>
      </c>
      <c r="B21" s="24" t="n">
        <v>6952.55</v>
      </c>
      <c r="C21" s="25" t="n">
        <v>43.3</v>
      </c>
      <c r="D21" s="2" t="inlineStr">
        <is>
          <t>Consolidated</t>
        </is>
      </c>
      <c r="E21" s="33">
        <f>IFERROR(B21/C21,"")</f>
        <v/>
      </c>
      <c r="F21" s="30">
        <f>IF(AND(D21=D17,E17&lt;&gt;""),E21/E17-1,"")</f>
        <v/>
      </c>
      <c r="G21" s="30">
        <f>IF(C21="","",(COUNTIFS($D$2:$D$43,D21,$C$2:$C$43,"&gt;0",$C$2:$C$43,"&lt;"&amp;C21)+(COUNTIFS($D$2:$D$43,D21,$C$2:$C$43,C21)+1)/2)/COUNTIFS($D$2:$D$43,D21,$C$2:$C$43,"&gt;0"))</f>
        <v/>
      </c>
      <c r="H21">
        <f>IF(G21="","",IF(G21&lt;=20%,"Q1 Cheapest",IF(G21&lt;=40%,"Q2",IF(G21&lt;=60%,"Q3",IF(G21&lt;=80%,"Q4","Q5 Most Expensive")))))</f>
        <v/>
      </c>
      <c r="I21" s="30">
        <f>IFERROR(B25/B21-1,"")</f>
        <v/>
      </c>
      <c r="J21" s="30">
        <f>IFERROR((B33/B21)^(1/3)-1,"")</f>
        <v/>
      </c>
      <c r="K21" s="30">
        <f>IFERROR((B41/B21)^(1/5)-1,"")</f>
        <v/>
      </c>
      <c r="L21" s="30" t="n"/>
    </row>
    <row r="22">
      <c r="A22" s="31" t="n">
        <v>44377</v>
      </c>
      <c r="B22" s="24" t="n">
        <v>8452.25</v>
      </c>
      <c r="C22" s="25" t="n">
        <v>36.81</v>
      </c>
      <c r="D22" s="2" t="inlineStr">
        <is>
          <t>Consolidated</t>
        </is>
      </c>
      <c r="E22" s="33">
        <f>IFERROR(B22/C22,"")</f>
        <v/>
      </c>
      <c r="F22" s="30">
        <f>IF(AND(D22=D18,E18&lt;&gt;""),E22/E18-1,"")</f>
        <v/>
      </c>
      <c r="G22" s="30">
        <f>IF(C22="","",(COUNTIFS($D$2:$D$43,D22,$C$2:$C$43,"&gt;0",$C$2:$C$43,"&lt;"&amp;C22)+(COUNTIFS($D$2:$D$43,D22,$C$2:$C$43,C22)+1)/2)/COUNTIFS($D$2:$D$43,D22,$C$2:$C$43,"&gt;0"))</f>
        <v/>
      </c>
      <c r="H22">
        <f>IF(G22="","",IF(G22&lt;=20%,"Q1 Cheapest",IF(G22&lt;=40%,"Q2",IF(G22&lt;=60%,"Q3",IF(G22&lt;=80%,"Q4","Q5 Most Expensive")))))</f>
        <v/>
      </c>
      <c r="I22" s="30">
        <f>IFERROR(B26/B22-1,"")</f>
        <v/>
      </c>
      <c r="J22" s="30">
        <f>IFERROR((B34/B22)^(1/3)-1,"")</f>
        <v/>
      </c>
      <c r="K22" s="30">
        <f>IFERROR((B42/B22)^(1/5)-1,"")</f>
        <v/>
      </c>
      <c r="L22" s="30" t="n"/>
    </row>
    <row r="23">
      <c r="A23" s="31" t="n">
        <v>44469</v>
      </c>
      <c r="B23" s="24" t="n">
        <v>9364.5</v>
      </c>
      <c r="C23" s="25" t="n">
        <v>28.86</v>
      </c>
      <c r="D23" s="2" t="inlineStr">
        <is>
          <t>Consolidated</t>
        </is>
      </c>
      <c r="E23" s="33">
        <f>IFERROR(B23/C23,"")</f>
        <v/>
      </c>
      <c r="F23" s="30">
        <f>IF(AND(D23=D19,E19&lt;&gt;""),E23/E19-1,"")</f>
        <v/>
      </c>
      <c r="G23" s="30">
        <f>IF(C23="","",(COUNTIFS($D$2:$D$43,D23,$C$2:$C$43,"&gt;0",$C$2:$C$43,"&lt;"&amp;C23)+(COUNTIFS($D$2:$D$43,D23,$C$2:$C$43,C23)+1)/2)/COUNTIFS($D$2:$D$43,D23,$C$2:$C$43,"&gt;0"))</f>
        <v/>
      </c>
      <c r="H23">
        <f>IF(G23="","",IF(G23&lt;=20%,"Q1 Cheapest",IF(G23&lt;=40%,"Q2",IF(G23&lt;=60%,"Q3",IF(G23&lt;=80%,"Q4","Q5 Most Expensive")))))</f>
        <v/>
      </c>
      <c r="I23" s="30">
        <f>IFERROR(B27/B23-1,"")</f>
        <v/>
      </c>
      <c r="J23" s="30">
        <f>IFERROR((B35/B23)^(1/3)-1,"")</f>
        <v/>
      </c>
      <c r="K23" s="30">
        <f>IFERROR((B43/B23)^(1/5)-1,"")</f>
        <v/>
      </c>
      <c r="L23" s="30" t="n"/>
    </row>
    <row r="24">
      <c r="A24" s="31" t="n">
        <v>44561</v>
      </c>
      <c r="B24" s="24" t="n">
        <v>9840</v>
      </c>
      <c r="C24" s="25" t="n">
        <v>31.04</v>
      </c>
      <c r="D24" s="2" t="inlineStr">
        <is>
          <t>Consolidated</t>
        </is>
      </c>
      <c r="E24" s="33">
        <f>IFERROR(B24/C24,"")</f>
        <v/>
      </c>
      <c r="F24" s="30">
        <f>IF(AND(D24=D20,E20&lt;&gt;""),E24/E20-1,"")</f>
        <v/>
      </c>
      <c r="G24" s="30">
        <f>IF(C24="","",(COUNTIFS($D$2:$D$43,D24,$C$2:$C$43,"&gt;0",$C$2:$C$43,"&lt;"&amp;C24)+(COUNTIFS($D$2:$D$43,D24,$C$2:$C$43,C24)+1)/2)/COUNTIFS($D$2:$D$43,D24,$C$2:$C$43,"&gt;0"))</f>
        <v/>
      </c>
      <c r="H24">
        <f>IF(G24="","",IF(G24&lt;=20%,"Q1 Cheapest",IF(G24&lt;=40%,"Q2",IF(G24&lt;=60%,"Q3",IF(G24&lt;=80%,"Q4","Q5 Most Expensive")))))</f>
        <v/>
      </c>
      <c r="I24" s="30">
        <f>IFERROR(B28/B24-1,"")</f>
        <v/>
      </c>
      <c r="J24" s="30">
        <f>IFERROR((B36/B24)^(1/3)-1,"")</f>
        <v/>
      </c>
      <c r="K24" s="30" t="n"/>
      <c r="L24" s="30" t="n"/>
    </row>
    <row r="25">
      <c r="A25" s="31" t="n">
        <v>44651</v>
      </c>
      <c r="B25" s="24" t="n">
        <v>9441.450000000001</v>
      </c>
      <c r="C25" s="25" t="n">
        <v>24.41</v>
      </c>
      <c r="D25" s="2" t="inlineStr">
        <is>
          <t>Consolidated</t>
        </is>
      </c>
      <c r="E25" s="33">
        <f>IFERROR(B25/C25,"")</f>
        <v/>
      </c>
      <c r="F25" s="30">
        <f>IF(AND(D25=D21,E21&lt;&gt;""),E25/E21-1,"")</f>
        <v/>
      </c>
      <c r="G25" s="30">
        <f>IF(C25="","",(COUNTIFS($D$2:$D$43,D25,$C$2:$C$43,"&gt;0",$C$2:$C$43,"&lt;"&amp;C25)+(COUNTIFS($D$2:$D$43,D25,$C$2:$C$43,C25)+1)/2)/COUNTIFS($D$2:$D$43,D25,$C$2:$C$43,"&gt;0"))</f>
        <v/>
      </c>
      <c r="H25">
        <f>IF(G25="","",IF(G25&lt;=20%,"Q1 Cheapest",IF(G25&lt;=40%,"Q2",IF(G25&lt;=60%,"Q3",IF(G25&lt;=80%,"Q4","Q5 Most Expensive")))))</f>
        <v/>
      </c>
      <c r="I25" s="30">
        <f>IFERROR(B29/B25-1,"")</f>
        <v/>
      </c>
      <c r="J25" s="30">
        <f>IFERROR((B37/B25)^(1/3)-1,"")</f>
        <v/>
      </c>
      <c r="K25" s="30" t="n"/>
      <c r="L25" s="30" t="n"/>
    </row>
    <row r="26">
      <c r="A26" s="31" t="n">
        <v>44742</v>
      </c>
      <c r="B26" s="24" t="n">
        <v>8088.6</v>
      </c>
      <c r="C26" s="25" t="n">
        <v>19.63</v>
      </c>
      <c r="D26" s="2" t="inlineStr">
        <is>
          <t>Consolidated</t>
        </is>
      </c>
      <c r="E26" s="33">
        <f>IFERROR(B26/C26,"")</f>
        <v/>
      </c>
      <c r="F26" s="30">
        <f>IF(AND(D26=D22,E22&lt;&gt;""),E26/E22-1,"")</f>
        <v/>
      </c>
      <c r="G26" s="30">
        <f>IF(C26="","",(COUNTIFS($D$2:$D$43,D26,$C$2:$C$43,"&gt;0",$C$2:$C$43,"&lt;"&amp;C26)+(COUNTIFS($D$2:$D$43,D26,$C$2:$C$43,C26)+1)/2)/COUNTIFS($D$2:$D$43,D26,$C$2:$C$43,"&gt;0"))</f>
        <v/>
      </c>
      <c r="H26">
        <f>IF(G26="","",IF(G26&lt;=20%,"Q1 Cheapest",IF(G26&lt;=40%,"Q2",IF(G26&lt;=60%,"Q3",IF(G26&lt;=80%,"Q4","Q5 Most Expensive")))))</f>
        <v/>
      </c>
      <c r="I26" s="30">
        <f>IFERROR(B30/B26-1,"")</f>
        <v/>
      </c>
      <c r="J26" s="30">
        <f>IFERROR((B38/B26)^(1/3)-1,"")</f>
        <v/>
      </c>
      <c r="K26" s="30" t="n"/>
      <c r="L26" s="30" t="n"/>
    </row>
    <row r="27">
      <c r="A27" s="31" t="n">
        <v>44834</v>
      </c>
      <c r="B27" s="24" t="n">
        <v>9198.75</v>
      </c>
      <c r="C27" s="25" t="n">
        <v>18.82</v>
      </c>
      <c r="D27" s="2" t="inlineStr">
        <is>
          <t>Consolidated</t>
        </is>
      </c>
      <c r="E27" s="33">
        <f>IFERROR(B27/C27,"")</f>
        <v/>
      </c>
      <c r="F27" s="30">
        <f>IF(AND(D27=D23,E23&lt;&gt;""),E27/E23-1,"")</f>
        <v/>
      </c>
      <c r="G27" s="30">
        <f>IF(C27="","",(COUNTIFS($D$2:$D$43,D27,$C$2:$C$43,"&gt;0",$C$2:$C$43,"&lt;"&amp;C27)+(COUNTIFS($D$2:$D$43,D27,$C$2:$C$43,C27)+1)/2)/COUNTIFS($D$2:$D$43,D27,$C$2:$C$43,"&gt;0"))</f>
        <v/>
      </c>
      <c r="H27">
        <f>IF(G27="","",IF(G27&lt;=20%,"Q1 Cheapest",IF(G27&lt;=40%,"Q2",IF(G27&lt;=60%,"Q3",IF(G27&lt;=80%,"Q4","Q5 Most Expensive")))))</f>
        <v/>
      </c>
      <c r="I27" s="30">
        <f>IFERROR(B31/B27-1,"")</f>
        <v/>
      </c>
      <c r="J27" s="30">
        <f>IFERROR((B39/B27)^(1/3)-1,"")</f>
        <v/>
      </c>
      <c r="K27" s="30" t="n"/>
      <c r="L27" s="30" t="n"/>
    </row>
    <row r="28">
      <c r="A28" s="31" t="n">
        <v>44926</v>
      </c>
      <c r="B28" s="24" t="n">
        <v>9481.25</v>
      </c>
      <c r="C28" s="25" t="n">
        <v>19.04</v>
      </c>
      <c r="D28" s="2" t="inlineStr">
        <is>
          <t>Consolidated</t>
        </is>
      </c>
      <c r="E28" s="33">
        <f>IFERROR(B28/C28,"")</f>
        <v/>
      </c>
      <c r="F28" s="30">
        <f>IF(AND(D28=D24,E24&lt;&gt;""),E28/E24-1,"")</f>
        <v/>
      </c>
      <c r="G28" s="30">
        <f>IF(C28="","",(COUNTIFS($D$2:$D$43,D28,$C$2:$C$43,"&gt;0",$C$2:$C$43,"&lt;"&amp;C28)+(COUNTIFS($D$2:$D$43,D28,$C$2:$C$43,C28)+1)/2)/COUNTIFS($D$2:$D$43,D28,$C$2:$C$43,"&gt;0"))</f>
        <v/>
      </c>
      <c r="H28">
        <f>IF(G28="","",IF(G28&lt;=20%,"Q1 Cheapest",IF(G28&lt;=40%,"Q2",IF(G28&lt;=60%,"Q3",IF(G28&lt;=80%,"Q4","Q5 Most Expensive")))))</f>
        <v/>
      </c>
      <c r="I28" s="30">
        <f>IFERROR(B32/B28-1,"")</f>
        <v/>
      </c>
      <c r="J28" s="30">
        <f>IFERROR((B40/B28)^(1/3)-1,"")</f>
        <v/>
      </c>
      <c r="K28" s="30" t="n"/>
      <c r="L28" s="30" t="n"/>
    </row>
    <row r="29">
      <c r="A29" s="31" t="n">
        <v>45016</v>
      </c>
      <c r="B29" s="24" t="n">
        <v>8787.9</v>
      </c>
      <c r="C29" s="25" t="n">
        <v>16.94</v>
      </c>
      <c r="D29" s="2" t="inlineStr">
        <is>
          <t>Consolidated</t>
        </is>
      </c>
      <c r="E29" s="33">
        <f>IFERROR(B29/C29,"")</f>
        <v/>
      </c>
      <c r="F29" s="30">
        <f>IF(AND(D29=D25,E25&lt;&gt;""),E29/E25-1,"")</f>
        <v/>
      </c>
      <c r="G29" s="30">
        <f>IF(C29="","",(COUNTIFS($D$2:$D$43,D29,$C$2:$C$43,"&gt;0",$C$2:$C$43,"&lt;"&amp;C29)+(COUNTIFS($D$2:$D$43,D29,$C$2:$C$43,C29)+1)/2)/COUNTIFS($D$2:$D$43,D29,$C$2:$C$43,"&gt;0"))</f>
        <v/>
      </c>
      <c r="H29">
        <f>IF(G29="","",IF(G29&lt;=20%,"Q1 Cheapest",IF(G29&lt;=40%,"Q2",IF(G29&lt;=60%,"Q3",IF(G29&lt;=80%,"Q4","Q5 Most Expensive")))))</f>
        <v/>
      </c>
      <c r="I29" s="30">
        <f>IFERROR(B33/B29-1,"")</f>
        <v/>
      </c>
      <c r="J29" s="30">
        <f>IFERROR((B41/B29)^(1/3)-1,"")</f>
        <v/>
      </c>
      <c r="K29" s="30" t="n"/>
      <c r="L29" s="30" t="n"/>
    </row>
    <row r="30">
      <c r="A30" s="31" t="n">
        <v>45107</v>
      </c>
      <c r="B30" s="24" t="n">
        <v>10544.2</v>
      </c>
      <c r="C30" s="25" t="n">
        <v>20.79</v>
      </c>
      <c r="D30" s="2" t="inlineStr">
        <is>
          <t>Consolidated</t>
        </is>
      </c>
      <c r="E30" s="33">
        <f>IFERROR(B30/C30,"")</f>
        <v/>
      </c>
      <c r="F30" s="30">
        <f>IF(AND(D30=D26,E26&lt;&gt;""),E30/E26-1,"")</f>
        <v/>
      </c>
      <c r="G30" s="30">
        <f>IF(C30="","",(COUNTIFS($D$2:$D$43,D30,$C$2:$C$43,"&gt;0",$C$2:$C$43,"&lt;"&amp;C30)+(COUNTIFS($D$2:$D$43,D30,$C$2:$C$43,C30)+1)/2)/COUNTIFS($D$2:$D$43,D30,$C$2:$C$43,"&gt;0"))</f>
        <v/>
      </c>
      <c r="H30">
        <f>IF(G30="","",IF(G30&lt;=20%,"Q1 Cheapest",IF(G30&lt;=40%,"Q2",IF(G30&lt;=60%,"Q3",IF(G30&lt;=80%,"Q4","Q5 Most Expensive")))))</f>
        <v/>
      </c>
      <c r="I30" s="30">
        <f>IFERROR(B34/B30-1,"")</f>
        <v/>
      </c>
      <c r="J30" s="30">
        <f>IFERROR((B42/B30)^(1/3)-1,"")</f>
        <v/>
      </c>
      <c r="K30" s="30" t="n"/>
      <c r="L30" s="30" t="n"/>
    </row>
    <row r="31">
      <c r="A31" s="31" t="n">
        <v>45199</v>
      </c>
      <c r="B31" s="24" t="n">
        <v>12230.4</v>
      </c>
      <c r="C31" s="25" t="n">
        <v>24.54</v>
      </c>
      <c r="D31" s="2" t="inlineStr">
        <is>
          <t>Consolidated</t>
        </is>
      </c>
      <c r="E31" s="33">
        <f>IFERROR(B31/C31,"")</f>
        <v/>
      </c>
      <c r="F31" s="30">
        <f>IF(AND(D31=D27,E27&lt;&gt;""),E31/E27-1,"")</f>
        <v/>
      </c>
      <c r="G31" s="30">
        <f>IF(C31="","",(COUNTIFS($D$2:$D$43,D31,$C$2:$C$43,"&gt;0",$C$2:$C$43,"&lt;"&amp;C31)+(COUNTIFS($D$2:$D$43,D31,$C$2:$C$43,C31)+1)/2)/COUNTIFS($D$2:$D$43,D31,$C$2:$C$43,"&gt;0"))</f>
        <v/>
      </c>
      <c r="H31">
        <f>IF(G31="","",IF(G31&lt;=20%,"Q1 Cheapest",IF(G31&lt;=40%,"Q2",IF(G31&lt;=60%,"Q3",IF(G31&lt;=80%,"Q4","Q5 Most Expensive")))))</f>
        <v/>
      </c>
      <c r="I31" s="30">
        <f>IFERROR(B35/B31-1,"")</f>
        <v/>
      </c>
      <c r="J31" s="30">
        <f>IFERROR((B43/B31)^(1/3)-1,"")</f>
        <v/>
      </c>
      <c r="K31" s="30" t="n"/>
      <c r="L31" s="30" t="n"/>
    </row>
    <row r="32">
      <c r="A32" s="31" t="n">
        <v>45291</v>
      </c>
      <c r="B32" s="24" t="n">
        <v>14041.3</v>
      </c>
      <c r="C32" s="25" t="n">
        <v>27.37</v>
      </c>
      <c r="D32" s="2" t="inlineStr">
        <is>
          <t>Consolidated</t>
        </is>
      </c>
      <c r="E32" s="33">
        <f>IFERROR(B32/C32,"")</f>
        <v/>
      </c>
      <c r="F32" s="30">
        <f>IF(AND(D32=D28,E28&lt;&gt;""),E32/E28-1,"")</f>
        <v/>
      </c>
      <c r="G32" s="30">
        <f>IF(C32="","",(COUNTIFS($D$2:$D$43,D32,$C$2:$C$43,"&gt;0",$C$2:$C$43,"&lt;"&amp;C32)+(COUNTIFS($D$2:$D$43,D32,$C$2:$C$43,C32)+1)/2)/COUNTIFS($D$2:$D$43,D32,$C$2:$C$43,"&gt;0"))</f>
        <v/>
      </c>
      <c r="H32">
        <f>IF(G32="","",IF(G32&lt;=20%,"Q1 Cheapest",IF(G32&lt;=40%,"Q2",IF(G32&lt;=60%,"Q3",IF(G32&lt;=80%,"Q4","Q5 Most Expensive")))))</f>
        <v/>
      </c>
      <c r="I32" s="30">
        <f>IFERROR(B36/B32-1,"")</f>
        <v/>
      </c>
      <c r="J32" s="30" t="n"/>
      <c r="K32" s="30" t="n"/>
      <c r="L32" s="30" t="n"/>
    </row>
    <row r="33">
      <c r="A33" s="31" t="n">
        <v>45382</v>
      </c>
      <c r="B33" s="24" t="n">
        <v>14330.5</v>
      </c>
      <c r="C33" s="25" t="n">
        <v>26.6</v>
      </c>
      <c r="D33" s="2" t="inlineStr">
        <is>
          <t>Consolidated</t>
        </is>
      </c>
      <c r="E33" s="33">
        <f>IFERROR(B33/C33,"")</f>
        <v/>
      </c>
      <c r="F33" s="30">
        <f>IF(AND(D33=D29,E29&lt;&gt;""),E33/E29-1,"")</f>
        <v/>
      </c>
      <c r="G33" s="30">
        <f>IF(C33="","",(COUNTIFS($D$2:$D$43,D33,$C$2:$C$43,"&gt;0",$C$2:$C$43,"&lt;"&amp;C33)+(COUNTIFS($D$2:$D$43,D33,$C$2:$C$43,C33)+1)/2)/COUNTIFS($D$2:$D$43,D33,$C$2:$C$43,"&gt;0"))</f>
        <v/>
      </c>
      <c r="H33">
        <f>IF(G33="","",IF(G33&lt;=20%,"Q1 Cheapest",IF(G33&lt;=40%,"Q2",IF(G33&lt;=60%,"Q3",IF(G33&lt;=80%,"Q4","Q5 Most Expensive")))))</f>
        <v/>
      </c>
      <c r="I33" s="30">
        <f>IFERROR(B37/B33-1,"")</f>
        <v/>
      </c>
      <c r="J33" s="30" t="n"/>
      <c r="K33" s="30" t="n"/>
      <c r="L33" s="30" t="n"/>
    </row>
    <row r="34">
      <c r="A34" s="31" t="n">
        <v>45473</v>
      </c>
      <c r="B34" s="24" t="n">
        <v>17111.05</v>
      </c>
      <c r="C34" s="25" t="n">
        <v>30.7</v>
      </c>
      <c r="D34" s="2" t="inlineStr">
        <is>
          <t>Consolidated</t>
        </is>
      </c>
      <c r="E34" s="33">
        <f>IFERROR(B34/C34,"")</f>
        <v/>
      </c>
      <c r="F34" s="30">
        <f>IF(AND(D34=D30,E30&lt;&gt;""),E34/E30-1,"")</f>
        <v/>
      </c>
      <c r="G34" s="30">
        <f>IF(C34="","",(COUNTIFS($D$2:$D$43,D34,$C$2:$C$43,"&gt;0",$C$2:$C$43,"&lt;"&amp;C34)+(COUNTIFS($D$2:$D$43,D34,$C$2:$C$43,C34)+1)/2)/COUNTIFS($D$2:$D$43,D34,$C$2:$C$43,"&gt;0"))</f>
        <v/>
      </c>
      <c r="H34">
        <f>IF(G34="","",IF(G34&lt;=20%,"Q1 Cheapest",IF(G34&lt;=40%,"Q2",IF(G34&lt;=60%,"Q3",IF(G34&lt;=80%,"Q4","Q5 Most Expensive")))))</f>
        <v/>
      </c>
      <c r="I34" s="30">
        <f>IFERROR(B38/B34-1,"")</f>
        <v/>
      </c>
      <c r="J34" s="30" t="n"/>
      <c r="K34" s="30" t="n"/>
      <c r="L34" s="30" t="n"/>
    </row>
    <row r="35">
      <c r="A35" s="31" t="n">
        <v>45565</v>
      </c>
      <c r="B35" s="24" t="n">
        <v>18410.7</v>
      </c>
      <c r="C35" s="25" t="n">
        <v>33.49</v>
      </c>
      <c r="D35" s="2" t="inlineStr">
        <is>
          <t>Consolidated</t>
        </is>
      </c>
      <c r="E35" s="33">
        <f>IFERROR(B35/C35,"")</f>
        <v/>
      </c>
      <c r="F35" s="30">
        <f>IF(AND(D35=D31,E31&lt;&gt;""),E35/E31-1,"")</f>
        <v/>
      </c>
      <c r="G35" s="30">
        <f>IF(C35="","",(COUNTIFS($D$2:$D$43,D35,$C$2:$C$43,"&gt;0",$C$2:$C$43,"&lt;"&amp;C35)+(COUNTIFS($D$2:$D$43,D35,$C$2:$C$43,C35)+1)/2)/COUNTIFS($D$2:$D$43,D35,$C$2:$C$43,"&gt;0"))</f>
        <v/>
      </c>
      <c r="H35">
        <f>IF(G35="","",IF(G35&lt;=20%,"Q1 Cheapest",IF(G35&lt;=40%,"Q2",IF(G35&lt;=60%,"Q3",IF(G35&lt;=80%,"Q4","Q5 Most Expensive")))))</f>
        <v/>
      </c>
      <c r="I35" s="30">
        <f>IFERROR(B39/B35-1,"")</f>
        <v/>
      </c>
      <c r="J35" s="30" t="n"/>
      <c r="K35" s="30" t="n"/>
      <c r="L35" s="30" t="n"/>
    </row>
    <row r="36">
      <c r="A36" s="31" t="n">
        <v>45657</v>
      </c>
      <c r="B36" s="24" t="n">
        <v>17752.25</v>
      </c>
      <c r="C36" s="25" t="n">
        <v>34.39</v>
      </c>
      <c r="D36" s="2" t="inlineStr">
        <is>
          <t>Consolidated</t>
        </is>
      </c>
      <c r="E36" s="33">
        <f>IFERROR(B36/C36,"")</f>
        <v/>
      </c>
      <c r="F36" s="30">
        <f>IF(AND(D36=D32,E32&lt;&gt;""),E36/E32-1,"")</f>
        <v/>
      </c>
      <c r="G36" s="30">
        <f>IF(C36="","",(COUNTIFS($D$2:$D$43,D36,$C$2:$C$43,"&gt;0",$C$2:$C$43,"&lt;"&amp;C36)+(COUNTIFS($D$2:$D$43,D36,$C$2:$C$43,C36)+1)/2)/COUNTIFS($D$2:$D$43,D36,$C$2:$C$43,"&gt;0"))</f>
        <v/>
      </c>
      <c r="H36">
        <f>IF(G36="","",IF(G36&lt;=20%,"Q1 Cheapest",IF(G36&lt;=40%,"Q2",IF(G36&lt;=60%,"Q3",IF(G36&lt;=80%,"Q4","Q5 Most Expensive")))))</f>
        <v/>
      </c>
      <c r="I36" s="30">
        <f>IFERROR(B40/B36-1,"")</f>
        <v/>
      </c>
      <c r="J36" s="30" t="n"/>
      <c r="K36" s="30" t="n"/>
      <c r="L36" s="30" t="n"/>
    </row>
    <row r="37">
      <c r="A37" s="31" t="n">
        <v>45747</v>
      </c>
      <c r="B37" s="24" t="n">
        <v>15104.05</v>
      </c>
      <c r="C37" s="25" t="n">
        <v>29.42</v>
      </c>
      <c r="D37" s="2" t="inlineStr">
        <is>
          <t>Consolidated</t>
        </is>
      </c>
      <c r="E37" s="33">
        <f>IFERROR(B37/C37,"")</f>
        <v/>
      </c>
      <c r="F37" s="30">
        <f>IF(AND(D37=D33,E33&lt;&gt;""),E37/E33-1,"")</f>
        <v/>
      </c>
      <c r="G37" s="30">
        <f>IF(C37="","",(COUNTIFS($D$2:$D$43,D37,$C$2:$C$43,"&gt;0",$C$2:$C$43,"&lt;"&amp;C37)+(COUNTIFS($D$2:$D$43,D37,$C$2:$C$43,C37)+1)/2)/COUNTIFS($D$2:$D$43,D37,$C$2:$C$43,"&gt;0"))</f>
        <v/>
      </c>
      <c r="H37">
        <f>IF(G37="","",IF(G37&lt;=20%,"Q1 Cheapest",IF(G37&lt;=40%,"Q2",IF(G37&lt;=60%,"Q3",IF(G37&lt;=80%,"Q4","Q5 Most Expensive")))))</f>
        <v/>
      </c>
      <c r="I37" s="30">
        <f>IFERROR(B41/B37-1,"")</f>
        <v/>
      </c>
      <c r="J37" s="30" t="n"/>
      <c r="K37" s="30" t="n"/>
      <c r="L37" s="30" t="n"/>
    </row>
    <row r="38">
      <c r="A38" s="31" t="n">
        <v>45838</v>
      </c>
      <c r="B38" s="24" t="n">
        <v>17797.8</v>
      </c>
      <c r="C38" s="25" t="n">
        <v>33.87</v>
      </c>
      <c r="D38" s="2" t="inlineStr">
        <is>
          <t>Consolidated</t>
        </is>
      </c>
      <c r="E38" s="33">
        <f>IFERROR(B38/C38,"")</f>
        <v/>
      </c>
      <c r="F38" s="30">
        <f>IF(AND(D38=D34,E34&lt;&gt;""),E38/E34-1,"")</f>
        <v/>
      </c>
      <c r="G38" s="30">
        <f>IF(C38="","",(COUNTIFS($D$2:$D$43,D38,$C$2:$C$43,"&gt;0",$C$2:$C$43,"&lt;"&amp;C38)+(COUNTIFS($D$2:$D$43,D38,$C$2:$C$43,C38)+1)/2)/COUNTIFS($D$2:$D$43,D38,$C$2:$C$43,"&gt;0"))</f>
        <v/>
      </c>
      <c r="H38">
        <f>IF(G38="","",IF(G38&lt;=20%,"Q1 Cheapest",IF(G38&lt;=40%,"Q2",IF(G38&lt;=60%,"Q3",IF(G38&lt;=80%,"Q4","Q5 Most Expensive")))))</f>
        <v/>
      </c>
      <c r="I38" s="30">
        <f>IFERROR(B42/B38-1,"")</f>
        <v/>
      </c>
      <c r="J38" s="30" t="n"/>
      <c r="K38" s="30" t="n"/>
      <c r="L38" s="30" t="n"/>
    </row>
    <row r="39">
      <c r="A39" s="31" t="n">
        <v>45930</v>
      </c>
      <c r="B39" s="24" t="n">
        <v>16692.75</v>
      </c>
      <c r="C39" s="25" t="n">
        <v>29.96</v>
      </c>
      <c r="D39" s="2" t="inlineStr">
        <is>
          <t>Consolidated</t>
        </is>
      </c>
      <c r="E39" s="33">
        <f>IFERROR(B39/C39,"")</f>
        <v/>
      </c>
      <c r="F39" s="30">
        <f>IF(AND(D39=D35,E35&lt;&gt;""),E39/E35-1,"")</f>
        <v/>
      </c>
      <c r="G39" s="30">
        <f>IF(C39="","",(COUNTIFS($D$2:$D$43,D39,$C$2:$C$43,"&gt;0",$C$2:$C$43,"&lt;"&amp;C39)+(COUNTIFS($D$2:$D$43,D39,$C$2:$C$43,C39)+1)/2)/COUNTIFS($D$2:$D$43,D39,$C$2:$C$43,"&gt;0"))</f>
        <v/>
      </c>
      <c r="H39">
        <f>IF(G39="","",IF(G39&lt;=20%,"Q1 Cheapest",IF(G39&lt;=40%,"Q2",IF(G39&lt;=60%,"Q3",IF(G39&lt;=80%,"Q4","Q5 Most Expensive")))))</f>
        <v/>
      </c>
      <c r="I39" s="30">
        <f>IFERROR(B43/B39-1,"")</f>
        <v/>
      </c>
      <c r="J39" s="30" t="n"/>
      <c r="K39" s="30" t="n"/>
      <c r="L39" s="30" t="n"/>
    </row>
    <row r="40">
      <c r="A40" s="31" t="n">
        <v>46022</v>
      </c>
      <c r="B40" s="24" t="n">
        <v>16684.75</v>
      </c>
      <c r="C40" s="25" t="n">
        <v>29.38</v>
      </c>
      <c r="D40" s="2" t="inlineStr">
        <is>
          <t>Consolidated</t>
        </is>
      </c>
      <c r="E40" s="33">
        <f>IFERROR(B40/C40,"")</f>
        <v/>
      </c>
      <c r="F40" s="30">
        <f>IF(AND(D40=D36,E36&lt;&gt;""),E40/E36-1,"")</f>
        <v/>
      </c>
      <c r="G40" s="30">
        <f>IF(C40="","",(COUNTIFS($D$2:$D$43,D40,$C$2:$C$43,"&gt;0",$C$2:$C$43,"&lt;"&amp;C40)+(COUNTIFS($D$2:$D$43,D40,$C$2:$C$43,C40)+1)/2)/COUNTIFS($D$2:$D$43,D40,$C$2:$C$43,"&gt;0"))</f>
        <v/>
      </c>
      <c r="H40">
        <f>IF(G40="","",IF(G40&lt;=20%,"Q1 Cheapest",IF(G40&lt;=40%,"Q2",IF(G40&lt;=60%,"Q3",IF(G40&lt;=80%,"Q4","Q5 Most Expensive")))))</f>
        <v/>
      </c>
      <c r="I40" s="30" t="n"/>
      <c r="J40" s="30" t="n"/>
      <c r="K40" s="30" t="n"/>
      <c r="L40" s="30" t="n"/>
    </row>
    <row r="41">
      <c r="A41" s="31" t="n">
        <v>46112</v>
      </c>
      <c r="B41" s="24" t="n">
        <v>14288.45</v>
      </c>
      <c r="C41" s="25" t="n">
        <v>25.86</v>
      </c>
      <c r="D41" s="2" t="inlineStr">
        <is>
          <t>Consolidated</t>
        </is>
      </c>
      <c r="E41" s="33">
        <f>IFERROR(B41/C41,"")</f>
        <v/>
      </c>
      <c r="F41" s="30">
        <f>IF(AND(D41=D37,E37&lt;&gt;""),E41/E37-1,"")</f>
        <v/>
      </c>
      <c r="G41" s="30">
        <f>IF(C41="","",(COUNTIFS($D$2:$D$43,D41,$C$2:$C$43,"&gt;0",$C$2:$C$43,"&lt;"&amp;C41)+(COUNTIFS($D$2:$D$43,D41,$C$2:$C$43,C41)+1)/2)/COUNTIFS($D$2:$D$43,D41,$C$2:$C$43,"&gt;0"))</f>
        <v/>
      </c>
      <c r="H41">
        <f>IF(G41="","",IF(G41&lt;=20%,"Q1 Cheapest",IF(G41&lt;=40%,"Q2",IF(G41&lt;=60%,"Q3",IF(G41&lt;=80%,"Q4","Q5 Most Expensive")))))</f>
        <v/>
      </c>
      <c r="I41" s="30" t="n"/>
      <c r="J41" s="30" t="n"/>
      <c r="K41" s="30" t="n"/>
      <c r="L41" s="30" t="n"/>
    </row>
    <row r="42">
      <c r="A42" s="31" t="n">
        <v>46203</v>
      </c>
      <c r="B42" s="24" t="n">
        <v>17720.3</v>
      </c>
      <c r="C42" s="25" t="n">
        <v>35.52</v>
      </c>
      <c r="D42" s="2" t="inlineStr">
        <is>
          <t>Consolidated</t>
        </is>
      </c>
      <c r="E42" s="33">
        <f>IFERROR(B42/C42,"")</f>
        <v/>
      </c>
      <c r="F42" s="30">
        <f>IF(AND(D42=D38,E38&lt;&gt;""),E42/E38-1,"")</f>
        <v/>
      </c>
      <c r="G42" s="30">
        <f>IF(C42="","",(COUNTIFS($D$2:$D$43,D42,$C$2:$C$43,"&gt;0",$C$2:$C$43,"&lt;"&amp;C42)+(COUNTIFS($D$2:$D$43,D42,$C$2:$C$43,C42)+1)/2)/COUNTIFS($D$2:$D$43,D42,$C$2:$C$43,"&gt;0"))</f>
        <v/>
      </c>
      <c r="H42">
        <f>IF(G42="","",IF(G42&lt;=20%,"Q1 Cheapest",IF(G42&lt;=40%,"Q2",IF(G42&lt;=60%,"Q3",IF(G42&lt;=80%,"Q4","Q5 Most Expensive")))))</f>
        <v/>
      </c>
      <c r="I42" s="30" t="n"/>
      <c r="J42" s="30" t="n"/>
      <c r="K42" s="30" t="n"/>
      <c r="L42" s="30" t="n"/>
    </row>
    <row r="43">
      <c r="A43" s="31" t="n">
        <v>46295</v>
      </c>
      <c r="B43" s="24" t="n">
        <v>17798.8</v>
      </c>
      <c r="C43" s="25" t="n">
        <v>34.45</v>
      </c>
      <c r="D43" s="2" t="inlineStr">
        <is>
          <t>Consolidated</t>
        </is>
      </c>
      <c r="E43" s="33">
        <f>IFERROR(B43/C43,"")</f>
        <v/>
      </c>
      <c r="F43" s="30">
        <f>IF(AND(D43=D39,E39&lt;&gt;""),E43/E39-1,"")</f>
        <v/>
      </c>
      <c r="G43" s="30">
        <f>IF(C43="","",(COUNTIFS($D$2:$D$43,D43,$C$2:$C$43,"&gt;0",$C$2:$C$43,"&lt;"&amp;C43)+(COUNTIFS($D$2:$D$43,D43,$C$2:$C$43,C43)+1)/2)/COUNTIFS($D$2:$D$43,D43,$C$2:$C$43,"&gt;0"))</f>
        <v/>
      </c>
      <c r="H43">
        <f>IF(G43="","",IF(G43&lt;=20%,"Q1 Cheapest",IF(G43&lt;=40%,"Q2",IF(G43&lt;=60%,"Q3",IF(G43&lt;=80%,"Q4","Q5 Most Expensive")))))</f>
        <v/>
      </c>
      <c r="I43" s="30" t="n"/>
      <c r="J43" s="30" t="n"/>
      <c r="K43" s="30" t="n"/>
      <c r="L43" s="30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6" customWidth="1" min="4" max="4"/>
    <col width="18" customWidth="1" min="5" max="5"/>
    <col width="28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31" t="n">
        <v>46283</v>
      </c>
      <c r="B2" s="24" t="n">
        <v>18287.4</v>
      </c>
      <c r="C2" s="25" t="n">
        <v>33.74</v>
      </c>
      <c r="D2" s="26" t="n">
        <v>0.856060606061</v>
      </c>
      <c r="E2" s="26" t="n">
        <v>0.0346195290955</v>
      </c>
      <c r="F2" s="34">
        <f>IF(D2="","",100*(1-D2))</f>
        <v/>
      </c>
      <c r="G2" s="34">
        <f>IF(E2="","",IF(E2&lt;=0,20,IF(E2&lt;5%,20+400*E2,IF(E2&lt;10%,40+400*(E2-5%),IF(E2&lt;15%,60+400*(E2-10%),IF(E2&lt;25%,80+200*(E2-15%),100))))))</f>
        <v/>
      </c>
      <c r="H2" s="34">
        <f>IF(OR(F2="",G2=""),"",70%*F2+30%*G2)</f>
        <v/>
      </c>
      <c r="I2">
        <f>IF(H2="","",IF(H2&gt;=70,"BUY",IF(H2&gt;=40,"HOLD","SELL")))</f>
        <v/>
      </c>
    </row>
    <row r="3">
      <c r="A3" s="31" t="n">
        <v>46286</v>
      </c>
      <c r="B3" s="24" t="n">
        <v>18279.05</v>
      </c>
      <c r="C3" s="25" t="n">
        <v>33.73</v>
      </c>
      <c r="D3" s="26" t="n">
        <v>0.856060606061</v>
      </c>
      <c r="E3" s="26" t="n">
        <v>0.0342590076112</v>
      </c>
      <c r="F3" s="34">
        <f>IF(D3="","",100*(1-D3))</f>
        <v/>
      </c>
      <c r="G3" s="34">
        <f>IF(E3="","",IF(E3&lt;=0,20,IF(E3&lt;5%,20+400*E3,IF(E3&lt;10%,40+400*(E3-5%),IF(E3&lt;15%,60+400*(E3-10%),IF(E3&lt;25%,80+200*(E3-15%),100))))))</f>
        <v/>
      </c>
      <c r="H3" s="34">
        <f>IF(OR(F3="",G3=""),"",70%*F3+30%*G3)</f>
        <v/>
      </c>
      <c r="I3">
        <f>IF(H3="","",IF(H3&gt;=70,"BUY",IF(H3&gt;=40,"HOLD","SELL")))</f>
        <v/>
      </c>
    </row>
    <row r="4">
      <c r="A4" s="31" t="n">
        <v>46287</v>
      </c>
      <c r="B4" s="24" t="n">
        <v>18260.6</v>
      </c>
      <c r="C4" s="25" t="n">
        <v>33.69</v>
      </c>
      <c r="D4" s="26" t="n">
        <v>0.856060606061</v>
      </c>
      <c r="E4" s="26" t="n">
        <v>0.0346092924674</v>
      </c>
      <c r="F4" s="34">
        <f>IF(D4="","",100*(1-D4))</f>
        <v/>
      </c>
      <c r="G4" s="34">
        <f>IF(E4="","",IF(E4&lt;=0,20,IF(E4&lt;5%,20+400*E4,IF(E4&lt;10%,40+400*(E4-5%),IF(E4&lt;15%,60+400*(E4-10%),IF(E4&lt;25%,80+200*(E4-15%),100))))))</f>
        <v/>
      </c>
      <c r="H4" s="34">
        <f>IF(OR(F4="",G4=""),"",70%*F4+30%*G4)</f>
        <v/>
      </c>
      <c r="I4">
        <f>IF(H4="","",IF(H4&gt;=70,"BUY",IF(H4&gt;=40,"HOLD","SELL")))</f>
        <v/>
      </c>
    </row>
    <row r="5">
      <c r="A5" s="31" t="n">
        <v>46288</v>
      </c>
      <c r="B5" s="24" t="n">
        <v>18411.4</v>
      </c>
      <c r="C5" s="25" t="n">
        <v>33.97</v>
      </c>
      <c r="D5" s="26" t="n">
        <v>0.886363636364</v>
      </c>
      <c r="E5" s="26" t="n">
        <v>-0.0684289380333</v>
      </c>
      <c r="F5" s="34">
        <f>IF(D5="","",100*(1-D5))</f>
        <v/>
      </c>
      <c r="G5" s="34">
        <f>IF(E5="","",IF(E5&lt;=0,20,IF(E5&lt;5%,20+400*E5,IF(E5&lt;10%,40+400*(E5-5%),IF(E5&lt;15%,60+400*(E5-10%),IF(E5&lt;25%,80+200*(E5-15%),100))))))</f>
        <v/>
      </c>
      <c r="H5" s="34">
        <f>IF(OR(F5="",G5=""),"",70%*F5+30%*G5)</f>
        <v/>
      </c>
      <c r="I5">
        <f>IF(H5="","",IF(H5&gt;=70,"BUY",IF(H5&gt;=40,"HOLD","SELL")))</f>
        <v/>
      </c>
    </row>
    <row r="6">
      <c r="A6" s="31" t="n">
        <v>46289</v>
      </c>
      <c r="B6" s="24" t="n">
        <v>18155.5</v>
      </c>
      <c r="C6" s="25" t="n">
        <v>33.5</v>
      </c>
      <c r="D6" s="26" t="n">
        <v>0.840909090909</v>
      </c>
      <c r="E6" s="26" t="n">
        <v>-0.0684310716942</v>
      </c>
      <c r="F6" s="34">
        <f>IF(D6="","",100*(1-D6))</f>
        <v/>
      </c>
      <c r="G6" s="34">
        <f>IF(E6="","",IF(E6&lt;=0,20,IF(E6&lt;5%,20+400*E6,IF(E6&lt;10%,40+400*(E6-5%),IF(E6&lt;15%,60+400*(E6-10%),IF(E6&lt;25%,80+200*(E6-15%),100))))))</f>
        <v/>
      </c>
      <c r="H6" s="34">
        <f>IF(OR(F6="",G6=""),"",70%*F6+30%*G6)</f>
        <v/>
      </c>
      <c r="I6">
        <f>IF(H6="","",IF(H6&gt;=70,"BUY",IF(H6&gt;=40,"HOLD","SELL")))</f>
        <v/>
      </c>
    </row>
    <row r="7">
      <c r="A7" s="31" t="n">
        <v>46290</v>
      </c>
      <c r="B7" s="24" t="n">
        <v>18158.9</v>
      </c>
      <c r="C7" s="25" t="n">
        <v>33.51</v>
      </c>
      <c r="D7" s="26" t="n">
        <v>0.840909090909</v>
      </c>
      <c r="E7" s="26" t="n">
        <v>-0.06869055334929999</v>
      </c>
      <c r="F7" s="34">
        <f>IF(D7="","",100*(1-D7))</f>
        <v/>
      </c>
      <c r="G7" s="34">
        <f>IF(E7="","",IF(E7&lt;=0,20,IF(E7&lt;5%,20+400*E7,IF(E7&lt;10%,40+400*(E7-5%),IF(E7&lt;15%,60+400*(E7-10%),IF(E7&lt;25%,80+200*(E7-15%),100))))))</f>
        <v/>
      </c>
      <c r="H7" s="34">
        <f>IF(OR(F7="",G7=""),"",70%*F7+30%*G7)</f>
        <v/>
      </c>
      <c r="I7">
        <f>IF(H7="","",IF(H7&gt;=70,"BUY",IF(H7&gt;=40,"HOLD","SELL")))</f>
        <v/>
      </c>
    </row>
    <row r="8">
      <c r="A8" s="31" t="n">
        <v>46293</v>
      </c>
      <c r="B8" s="24" t="n">
        <v>17863.2</v>
      </c>
      <c r="C8" s="25" t="n">
        <v>32.96</v>
      </c>
      <c r="D8" s="26" t="n">
        <v>0.825757575758</v>
      </c>
      <c r="E8" s="26" t="n">
        <v>-0.06830352650929999</v>
      </c>
      <c r="F8" s="34">
        <f>IF(D8="","",100*(1-D8))</f>
        <v/>
      </c>
      <c r="G8" s="34">
        <f>IF(E8="","",IF(E8&lt;=0,20,IF(E8&lt;5%,20+400*E8,IF(E8&lt;10%,40+400*(E8-5%),IF(E8&lt;15%,60+400*(E8-10%),IF(E8&lt;25%,80+200*(E8-15%),100))))))</f>
        <v/>
      </c>
      <c r="H8" s="34">
        <f>IF(OR(F8="",G8=""),"",70%*F8+30%*G8)</f>
        <v/>
      </c>
      <c r="I8">
        <f>IF(H8="","",IF(H8&gt;=70,"BUY",IF(H8&gt;=40,"HOLD","SELL")))</f>
        <v/>
      </c>
    </row>
    <row r="9">
      <c r="A9" s="31" t="n">
        <v>46294</v>
      </c>
      <c r="B9" s="24" t="n">
        <v>17747.25</v>
      </c>
      <c r="C9" s="25" t="n">
        <v>32.75</v>
      </c>
      <c r="D9" s="26" t="n">
        <v>0.825757575758</v>
      </c>
      <c r="E9" s="26" t="n">
        <v>-0.0684437095413</v>
      </c>
      <c r="F9" s="34">
        <f>IF(D9="","",100*(1-D9))</f>
        <v/>
      </c>
      <c r="G9" s="34">
        <f>IF(E9="","",IF(E9&lt;=0,20,IF(E9&lt;5%,20+400*E9,IF(E9&lt;10%,40+400*(E9-5%),IF(E9&lt;15%,60+400*(E9-10%),IF(E9&lt;25%,80+200*(E9-15%),100))))))</f>
        <v/>
      </c>
      <c r="H9" s="34">
        <f>IF(OR(F9="",G9=""),"",70%*F9+30%*G9)</f>
        <v/>
      </c>
      <c r="I9">
        <f>IF(H9="","",IF(H9&gt;=70,"BUY",IF(H9&gt;=40,"HOLD","SELL")))</f>
        <v/>
      </c>
    </row>
    <row r="10">
      <c r="A10" s="31" t="n">
        <v>46295</v>
      </c>
      <c r="B10" s="24" t="n">
        <v>17798.8</v>
      </c>
      <c r="C10" s="25" t="n">
        <v>34.45</v>
      </c>
      <c r="D10" s="26" t="n">
        <v>0.9253731343279999</v>
      </c>
      <c r="E10" s="26" t="n">
        <v>-0.07271034097240001</v>
      </c>
      <c r="F10" s="34">
        <f>IF(D10="","",100*(1-D10))</f>
        <v/>
      </c>
      <c r="G10" s="34">
        <f>IF(E10="","",IF(E10&lt;=0,20,IF(E10&lt;5%,20+400*E10,IF(E10&lt;10%,40+400*(E10-5%),IF(E10&lt;15%,60+400*(E10-10%),IF(E10&lt;25%,80+200*(E10-15%),100))))))</f>
        <v/>
      </c>
      <c r="H10" s="34">
        <f>IF(OR(F10="",G10=""),"",70%*F10+30%*G10)</f>
        <v/>
      </c>
      <c r="I10">
        <f>IF(H10="","",IF(H10&gt;=70,"BUY",IF(H10&gt;=40,"HOLD","SELL")))</f>
        <v/>
      </c>
    </row>
    <row r="11">
      <c r="A11" s="31" t="n">
        <v>46296</v>
      </c>
      <c r="B11" s="24" t="n">
        <v>17589.05</v>
      </c>
      <c r="C11" s="25" t="n">
        <v>34.05</v>
      </c>
      <c r="D11" s="26" t="n">
        <v>0.873134328358</v>
      </c>
      <c r="E11" s="26" t="n">
        <v>-0.072782751666</v>
      </c>
      <c r="F11" s="34">
        <f>IF(D11="","",100*(1-D11))</f>
        <v/>
      </c>
      <c r="G11" s="34">
        <f>IF(E11="","",IF(E11&lt;=0,20,IF(E11&lt;5%,20+400*E11,IF(E11&lt;10%,40+400*(E11-5%),IF(E11&lt;15%,60+400*(E11-10%),IF(E11&lt;25%,80+200*(E11-15%),100))))))</f>
        <v/>
      </c>
      <c r="H11" s="34">
        <f>IF(OR(F11="",G11=""),"",70%*F11+30%*G11)</f>
        <v/>
      </c>
      <c r="I11">
        <f>IF(H11="","",IF(H11&gt;=70,"BUY",IF(H11&gt;=40,"HOLD","SELL")))</f>
        <v/>
      </c>
    </row>
    <row r="12">
      <c r="A12" s="31" t="n">
        <v>46300</v>
      </c>
      <c r="B12" s="24" t="n">
        <v>17655.35</v>
      </c>
      <c r="C12" s="25" t="n">
        <v>34.18</v>
      </c>
      <c r="D12" s="26" t="n">
        <v>0.888059701493</v>
      </c>
      <c r="E12" s="26" t="n">
        <v>-0.07288481326430001</v>
      </c>
      <c r="F12" s="34">
        <f>IF(D12="","",100*(1-D12))</f>
        <v/>
      </c>
      <c r="G12" s="34">
        <f>IF(E12="","",IF(E12&lt;=0,20,IF(E12&lt;5%,20+400*E12,IF(E12&lt;10%,40+400*(E12-5%),IF(E12&lt;15%,60+400*(E12-10%),IF(E12&lt;25%,80+200*(E12-15%),100))))))</f>
        <v/>
      </c>
      <c r="H12" s="34">
        <f>IF(OR(F12="",G12=""),"",70%*F12+30%*G12)</f>
        <v/>
      </c>
      <c r="I12">
        <f>IF(H12="","",IF(H12&gt;=70,"BUY",IF(H12&gt;=40,"HOLD","SELL")))</f>
        <v/>
      </c>
    </row>
    <row r="13">
      <c r="A13" s="31" t="n">
        <v>46301</v>
      </c>
      <c r="B13" s="24" t="n">
        <v>17902.3</v>
      </c>
      <c r="C13" s="25" t="n">
        <v>34.66</v>
      </c>
      <c r="D13" s="26" t="n">
        <v>0.932835820896</v>
      </c>
      <c r="E13" s="26" t="n">
        <v>-0.0731378466844</v>
      </c>
      <c r="F13" s="34">
        <f>IF(D13="","",100*(1-D13))</f>
        <v/>
      </c>
      <c r="G13" s="34">
        <f>IF(E13="","",IF(E13&lt;=0,20,IF(E13&lt;5%,20+400*E13,IF(E13&lt;10%,40+400*(E13-5%),IF(E13&lt;15%,60+400*(E13-10%),IF(E13&lt;25%,80+200*(E13-15%),100))))))</f>
        <v/>
      </c>
      <c r="H13" s="34">
        <f>IF(OR(F13="",G13=""),"",70%*F13+30%*G13)</f>
        <v/>
      </c>
      <c r="I13">
        <f>IF(H13="","",IF(H13&gt;=70,"BUY",IF(H13&gt;=40,"HOLD","SELL")))</f>
        <v/>
      </c>
    </row>
    <row r="14">
      <c r="A14" s="31" t="n">
        <v>46302</v>
      </c>
      <c r="B14" s="24" t="n">
        <v>17917.75</v>
      </c>
      <c r="C14" s="25" t="n">
        <v>34.69</v>
      </c>
      <c r="D14" s="26" t="n">
        <v>0.932835820896</v>
      </c>
      <c r="E14" s="26" t="n">
        <v>-0.0729449806888</v>
      </c>
      <c r="F14" s="34">
        <f>IF(D14="","",100*(1-D14))</f>
        <v/>
      </c>
      <c r="G14" s="34">
        <f>IF(E14="","",IF(E14&lt;=0,20,IF(E14&lt;5%,20+400*E14,IF(E14&lt;10%,40+400*(E14-5%),IF(E14&lt;15%,60+400*(E14-10%),IF(E14&lt;25%,80+200*(E14-15%),100))))))</f>
        <v/>
      </c>
      <c r="H14" s="34">
        <f>IF(OR(F14="",G14=""),"",70%*F14+30%*G14)</f>
        <v/>
      </c>
      <c r="I14">
        <f>IF(H14="","",IF(H14&gt;=70,"BUY",IF(H14&gt;=40,"HOLD","SELL")))</f>
        <v/>
      </c>
    </row>
    <row r="15">
      <c r="A15" s="31" t="n">
        <v>46303</v>
      </c>
      <c r="B15" s="24" t="n">
        <v>17488.3</v>
      </c>
      <c r="C15" s="25" t="n">
        <v>33.86</v>
      </c>
      <c r="D15" s="26" t="n">
        <v>0.84328358209</v>
      </c>
      <c r="E15" s="26" t="n">
        <v>-0.0731166123538</v>
      </c>
      <c r="F15" s="34">
        <f>IF(D15="","",100*(1-D15))</f>
        <v/>
      </c>
      <c r="G15" s="34">
        <f>IF(E15="","",IF(E15&lt;=0,20,IF(E15&lt;5%,20+400*E15,IF(E15&lt;10%,40+400*(E15-5%),IF(E15&lt;15%,60+400*(E15-10%),IF(E15&lt;25%,80+200*(E15-15%),100))))))</f>
        <v/>
      </c>
      <c r="H15" s="34">
        <f>IF(OR(F15="",G15=""),"",70%*F15+30%*G15)</f>
        <v/>
      </c>
      <c r="I15">
        <f>IF(H15="","",IF(H15&gt;=70,"BUY",IF(H15&gt;=40,"HOLD","SELL")))</f>
        <v/>
      </c>
    </row>
    <row r="16">
      <c r="A16" s="31" t="n">
        <v>46304</v>
      </c>
      <c r="B16" s="24" t="n">
        <v>17574.85</v>
      </c>
      <c r="C16" s="25" t="n">
        <v>34.03</v>
      </c>
      <c r="D16" s="26" t="n">
        <v>0.873134328358</v>
      </c>
      <c r="E16" s="26" t="n">
        <v>-0.07324259032039999</v>
      </c>
      <c r="F16" s="34">
        <f>IF(D16="","",100*(1-D16))</f>
        <v/>
      </c>
      <c r="G16" s="34">
        <f>IF(E16="","",IF(E16&lt;=0,20,IF(E16&lt;5%,20+400*E16,IF(E16&lt;10%,40+400*(E16-5%),IF(E16&lt;15%,60+400*(E16-10%),IF(E16&lt;25%,80+200*(E16-15%),100))))))</f>
        <v/>
      </c>
      <c r="H16" s="34">
        <f>IF(OR(F16="",G16=""),"",70%*F16+30%*G16)</f>
        <v/>
      </c>
      <c r="I16">
        <f>IF(H16="","",IF(H16&gt;=70,"BUY",IF(H16&gt;=40,"HOLD","SELL")))</f>
        <v/>
      </c>
    </row>
    <row r="17">
      <c r="A17" s="31" t="n">
        <v>46307</v>
      </c>
      <c r="B17" s="24" t="n">
        <v>17772.8</v>
      </c>
      <c r="C17" s="25" t="n">
        <v>34.41</v>
      </c>
      <c r="D17" s="26" t="n">
        <v>0.9179104477609999</v>
      </c>
      <c r="E17" s="26" t="n">
        <v>-0.0731036077452</v>
      </c>
      <c r="F17" s="34">
        <f>IF(D17="","",100*(1-D17))</f>
        <v/>
      </c>
      <c r="G17" s="34">
        <f>IF(E17="","",IF(E17&lt;=0,20,IF(E17&lt;5%,20+400*E17,IF(E17&lt;10%,40+400*(E17-5%),IF(E17&lt;15%,60+400*(E17-10%),IF(E17&lt;25%,80+200*(E17-15%),100))))))</f>
        <v/>
      </c>
      <c r="H17" s="34">
        <f>IF(OR(F17="",G17=""),"",70%*F17+30%*G17)</f>
        <v/>
      </c>
      <c r="I17">
        <f>IF(H17="","",IF(H17&gt;=70,"BUY",IF(H17&gt;=40,"HOLD","SELL")))</f>
        <v/>
      </c>
    </row>
    <row r="18">
      <c r="A18" s="31" t="n">
        <v>46308</v>
      </c>
      <c r="B18" s="24" t="n">
        <v>17833.45</v>
      </c>
      <c r="C18" s="25" t="n">
        <v>34.39</v>
      </c>
      <c r="D18" s="26" t="n">
        <v>0.9104477611939999</v>
      </c>
      <c r="E18" s="26" t="n">
        <v>-0.0694270098418</v>
      </c>
      <c r="F18" s="34">
        <f>IF(D18="","",100*(1-D18))</f>
        <v/>
      </c>
      <c r="G18" s="34">
        <f>IF(E18="","",IF(E18&lt;=0,20,IF(E18&lt;5%,20+400*E18,IF(E18&lt;10%,40+400*(E18-5%),IF(E18&lt;15%,60+400*(E18-10%),IF(E18&lt;25%,80+200*(E18-15%),100))))))</f>
        <v/>
      </c>
      <c r="H18" s="34">
        <f>IF(OR(F18="",G18=""),"",70%*F18+30%*G18)</f>
        <v/>
      </c>
      <c r="I18">
        <f>IF(H18="","",IF(H18&gt;=70,"BUY",IF(H18&gt;=40,"HOLD","SELL")))</f>
        <v/>
      </c>
    </row>
    <row r="19">
      <c r="A19" s="31" t="n">
        <v>46309</v>
      </c>
      <c r="B19" s="24" t="n">
        <v>17832.35</v>
      </c>
      <c r="C19" s="25" t="n">
        <v>34.38</v>
      </c>
      <c r="D19" s="26" t="n">
        <v>0.902985074627</v>
      </c>
      <c r="E19" s="26" t="n">
        <v>-0.0692554912709</v>
      </c>
      <c r="F19" s="34">
        <f>IF(D19="","",100*(1-D19))</f>
        <v/>
      </c>
      <c r="G19" s="34">
        <f>IF(E19="","",IF(E19&lt;=0,20,IF(E19&lt;5%,20+400*E19,IF(E19&lt;10%,40+400*(E19-5%),IF(E19&lt;15%,60+400*(E19-10%),IF(E19&lt;25%,80+200*(E19-15%),100))))))</f>
        <v/>
      </c>
      <c r="H19" s="34">
        <f>IF(OR(F19="",G19=""),"",70%*F19+30%*G19)</f>
        <v/>
      </c>
      <c r="I19">
        <f>IF(H19="","",IF(H19&gt;=70,"BUY",IF(H19&gt;=40,"HOLD","SELL")))</f>
        <v/>
      </c>
    </row>
    <row r="20">
      <c r="A20" s="31" t="n">
        <v>46310</v>
      </c>
      <c r="B20" s="24" t="n">
        <v>17627.05</v>
      </c>
      <c r="C20" s="25" t="n">
        <v>33.92</v>
      </c>
      <c r="D20" s="26" t="n">
        <v>0.873134328358</v>
      </c>
      <c r="E20" s="26" t="n">
        <v>-0.06745479075660001</v>
      </c>
      <c r="F20" s="34">
        <f>IF(D20="","",100*(1-D20))</f>
        <v/>
      </c>
      <c r="G20" s="34">
        <f>IF(E20="","",IF(E20&lt;=0,20,IF(E20&lt;5%,20+400*E20,IF(E20&lt;10%,40+400*(E20-5%),IF(E20&lt;15%,60+400*(E20-10%),IF(E20&lt;25%,80+200*(E20-15%),100))))))</f>
        <v/>
      </c>
      <c r="H20" s="34">
        <f>IF(OR(F20="",G20=""),"",70%*F20+30%*G20)</f>
        <v/>
      </c>
      <c r="I20">
        <f>IF(H20="","",IF(H20&gt;=70,"BUY",IF(H20&gt;=40,"HOLD","SELL")))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12" customWidth="1" min="3" max="3"/>
    <col width="35" customWidth="1" min="4" max="4"/>
    <col width="15" customWidth="1" min="5" max="5"/>
  </cols>
  <sheetData>
    <row r="1">
      <c r="A1" s="35" t="inlineStr">
        <is>
          <t>NIFTY Smallcap 250 Composition</t>
        </is>
      </c>
    </row>
    <row r="2">
      <c r="A2" s="2" t="inlineStr">
        <is>
          <t>As of</t>
        </is>
      </c>
      <c r="B2" s="4" t="inlineStr">
        <is>
          <t>Retrieved 2026-10-15</t>
        </is>
      </c>
      <c r="D2" s="2" t="inlineStr">
        <is>
          <t>Weight coverage</t>
        </is>
      </c>
      <c r="E2" s="4" t="inlineStr">
        <is>
          <t>Not published</t>
        </is>
      </c>
    </row>
    <row r="3">
      <c r="A3" s="2" t="inlineStr">
        <is>
          <t>Source</t>
        </is>
      </c>
      <c r="B3" s="17" t="inlineStr">
        <is>
          <t>NSE Indices — Index Constituent CSV</t>
        </is>
      </c>
      <c r="D3" s="2" t="inlineStr">
        <is>
          <t>Top 10 weight</t>
        </is>
      </c>
      <c r="E3" s="4" t="inlineStr">
        <is>
          <t>Not published</t>
        </is>
      </c>
    </row>
    <row r="4"/>
    <row r="5">
      <c r="A5" s="36" t="inlineStr">
        <is>
          <t>Rank</t>
        </is>
      </c>
      <c r="B5" s="36" t="inlineStr">
        <is>
          <t>Company</t>
        </is>
      </c>
      <c r="C5" s="36" t="inlineStr">
        <is>
          <t>Symbol</t>
        </is>
      </c>
      <c r="D5" s="36" t="inlineStr">
        <is>
          <t>Sector / Industry</t>
        </is>
      </c>
      <c r="E5" s="36" t="inlineStr">
        <is>
          <t>Weight</t>
        </is>
      </c>
    </row>
    <row r="6">
      <c r="A6" t="n">
        <v>1</v>
      </c>
      <c r="B6" t="inlineStr">
        <is>
          <t>Aadhar Housing Finance Ltd.</t>
        </is>
      </c>
      <c r="C6" t="inlineStr">
        <is>
          <t>AADHARHFC</t>
        </is>
      </c>
      <c r="D6" t="inlineStr">
        <is>
          <t>Financial Services</t>
        </is>
      </c>
    </row>
    <row r="7">
      <c r="A7" t="n">
        <v>2</v>
      </c>
      <c r="B7" t="inlineStr">
        <is>
          <t>Aarti Industries Ltd.</t>
        </is>
      </c>
      <c r="C7" t="inlineStr">
        <is>
          <t>AARTIIND</t>
        </is>
      </c>
      <c r="D7" t="inlineStr">
        <is>
          <t>Chemicals</t>
        </is>
      </c>
    </row>
    <row r="8">
      <c r="A8" t="n">
        <v>3</v>
      </c>
      <c r="B8" t="inlineStr">
        <is>
          <t>Aavas Financiers Ltd.</t>
        </is>
      </c>
      <c r="C8" t="inlineStr">
        <is>
          <t>AAVAS</t>
        </is>
      </c>
      <c r="D8" t="inlineStr">
        <is>
          <t>Financial Services</t>
        </is>
      </c>
    </row>
    <row r="9">
      <c r="A9" t="n">
        <v>4</v>
      </c>
      <c r="B9" t="inlineStr">
        <is>
          <t>ACC Ltd.</t>
        </is>
      </c>
      <c r="C9" t="inlineStr">
        <is>
          <t>ACC</t>
        </is>
      </c>
      <c r="D9" t="inlineStr">
        <is>
          <t>Construction Materials</t>
        </is>
      </c>
    </row>
    <row r="10">
      <c r="A10" t="n">
        <v>5</v>
      </c>
      <c r="B10" t="inlineStr">
        <is>
          <t>ACME Solar Holdings Ltd.</t>
        </is>
      </c>
      <c r="C10" t="inlineStr">
        <is>
          <t>ACMESOLAR</t>
        </is>
      </c>
      <c r="D10" t="inlineStr">
        <is>
          <t>Power</t>
        </is>
      </c>
    </row>
    <row r="11">
      <c r="A11" t="n">
        <v>6</v>
      </c>
      <c r="B11" t="inlineStr">
        <is>
          <t>Action Construction Equipment Ltd.</t>
        </is>
      </c>
      <c r="C11" t="inlineStr">
        <is>
          <t>ACE</t>
        </is>
      </c>
      <c r="D11" t="inlineStr">
        <is>
          <t>Capital Goods</t>
        </is>
      </c>
    </row>
    <row r="12">
      <c r="A12" t="n">
        <v>7</v>
      </c>
      <c r="B12" t="inlineStr">
        <is>
          <t>Acutaas Chemicals Ltd.</t>
        </is>
      </c>
      <c r="C12" t="inlineStr">
        <is>
          <t>ACUTAAS</t>
        </is>
      </c>
      <c r="D12" t="inlineStr">
        <is>
          <t>Healthcare</t>
        </is>
      </c>
    </row>
    <row r="13">
      <c r="A13" t="n">
        <v>8</v>
      </c>
      <c r="B13" t="inlineStr">
        <is>
          <t>Aditya Birla Real Estate Ltd.</t>
        </is>
      </c>
      <c r="C13" t="inlineStr">
        <is>
          <t>ABREL</t>
        </is>
      </c>
      <c r="D13" t="inlineStr">
        <is>
          <t>Realty</t>
        </is>
      </c>
    </row>
    <row r="14">
      <c r="A14" t="n">
        <v>9</v>
      </c>
      <c r="B14" t="inlineStr">
        <is>
          <t>Aditya Birla Sun Life AMC Ltd.</t>
        </is>
      </c>
      <c r="C14" t="inlineStr">
        <is>
          <t>ABSLAMC</t>
        </is>
      </c>
      <c r="D14" t="inlineStr">
        <is>
          <t>Financial Services</t>
        </is>
      </c>
    </row>
    <row r="15">
      <c r="A15" t="n">
        <v>10</v>
      </c>
      <c r="B15" t="inlineStr">
        <is>
          <t>Aditya Infotech Ltd.</t>
        </is>
      </c>
      <c r="C15" t="inlineStr">
        <is>
          <t>CPPLUS</t>
        </is>
      </c>
      <c r="D15" t="inlineStr">
        <is>
          <t>Capital Goods</t>
        </is>
      </c>
    </row>
    <row r="16">
      <c r="A16" t="n">
        <v>11</v>
      </c>
      <c r="B16" t="inlineStr">
        <is>
          <t>Aegis Logistics Ltd.</t>
        </is>
      </c>
      <c r="C16" t="inlineStr">
        <is>
          <t>AEGISLOG</t>
        </is>
      </c>
      <c r="D16" t="inlineStr">
        <is>
          <t>Oil Gas &amp; Consumable Fuels</t>
        </is>
      </c>
    </row>
    <row r="17">
      <c r="A17" t="n">
        <v>12</v>
      </c>
      <c r="B17" t="inlineStr">
        <is>
          <t>Aegis Vopak Terminals Ltd.</t>
        </is>
      </c>
      <c r="C17" t="inlineStr">
        <is>
          <t>AEGISVOPAK</t>
        </is>
      </c>
      <c r="D17" t="inlineStr">
        <is>
          <t>Oil Gas &amp; Consumable Fuels</t>
        </is>
      </c>
    </row>
    <row r="18">
      <c r="A18" t="n">
        <v>13</v>
      </c>
      <c r="B18" t="inlineStr">
        <is>
          <t>Aether Industries Ltd.</t>
        </is>
      </c>
      <c r="C18" t="inlineStr">
        <is>
          <t>AETHER</t>
        </is>
      </c>
      <c r="D18" t="inlineStr">
        <is>
          <t>Chemicals</t>
        </is>
      </c>
    </row>
    <row r="19">
      <c r="A19" t="n">
        <v>14</v>
      </c>
      <c r="B19" t="inlineStr">
        <is>
          <t>Afcons Infrastructure Ltd.</t>
        </is>
      </c>
      <c r="C19" t="inlineStr">
        <is>
          <t>AFCONS</t>
        </is>
      </c>
      <c r="D19" t="inlineStr">
        <is>
          <t>Construction</t>
        </is>
      </c>
    </row>
    <row r="20">
      <c r="A20" t="n">
        <v>15</v>
      </c>
      <c r="B20" t="inlineStr">
        <is>
          <t>Affle 3i Ltd.</t>
        </is>
      </c>
      <c r="C20" t="inlineStr">
        <is>
          <t>AFFLE</t>
        </is>
      </c>
      <c r="D20" t="inlineStr">
        <is>
          <t>Information Technology</t>
        </is>
      </c>
    </row>
    <row r="21">
      <c r="A21" t="n">
        <v>16</v>
      </c>
      <c r="B21" t="inlineStr">
        <is>
          <t>Allied Blenders and Distillers Ltd.</t>
        </is>
      </c>
      <c r="C21" t="inlineStr">
        <is>
          <t>ABDL</t>
        </is>
      </c>
      <c r="D21" t="inlineStr">
        <is>
          <t>Fast Moving Consumer Goods</t>
        </is>
      </c>
    </row>
    <row r="22">
      <c r="A22" t="n">
        <v>17</v>
      </c>
      <c r="B22" t="inlineStr">
        <is>
          <t>Amara Raja Energy &amp; Mobility Ltd.</t>
        </is>
      </c>
      <c r="C22" t="inlineStr">
        <is>
          <t>ARE&amp;M</t>
        </is>
      </c>
      <c r="D22" t="inlineStr">
        <is>
          <t>Automobile and Auto Components</t>
        </is>
      </c>
    </row>
    <row r="23">
      <c r="A23" t="n">
        <v>18</v>
      </c>
      <c r="B23" t="inlineStr">
        <is>
          <t>Amber Enterprises India Ltd.</t>
        </is>
      </c>
      <c r="C23" t="inlineStr">
        <is>
          <t>AMBER</t>
        </is>
      </c>
      <c r="D23" t="inlineStr">
        <is>
          <t>Consumer Durables</t>
        </is>
      </c>
    </row>
    <row r="24">
      <c r="A24" t="n">
        <v>19</v>
      </c>
      <c r="B24" t="inlineStr">
        <is>
          <t>Anand Rathi Wealth Ltd.</t>
        </is>
      </c>
      <c r="C24" t="inlineStr">
        <is>
          <t>ANANDRATHI</t>
        </is>
      </c>
      <c r="D24" t="inlineStr">
        <is>
          <t>Financial Services</t>
        </is>
      </c>
    </row>
    <row r="25">
      <c r="A25" t="n">
        <v>20</v>
      </c>
      <c r="B25" t="inlineStr">
        <is>
          <t>Anant Raj Ltd.</t>
        </is>
      </c>
      <c r="C25" t="inlineStr">
        <is>
          <t>ANANTRAJ</t>
        </is>
      </c>
      <c r="D25" t="inlineStr">
        <is>
          <t>Realty</t>
        </is>
      </c>
    </row>
    <row r="26">
      <c r="A26" t="n">
        <v>21</v>
      </c>
      <c r="B26" t="inlineStr">
        <is>
          <t>Angel One Ltd.</t>
        </is>
      </c>
      <c r="C26" t="inlineStr">
        <is>
          <t>ANGELONE</t>
        </is>
      </c>
      <c r="D26" t="inlineStr">
        <is>
          <t>Financial Services</t>
        </is>
      </c>
    </row>
    <row r="27">
      <c r="A27" t="n">
        <v>22</v>
      </c>
      <c r="B27" t="inlineStr">
        <is>
          <t>Anupam Rasayan India Ltd.</t>
        </is>
      </c>
      <c r="C27" t="inlineStr">
        <is>
          <t>ANURAS</t>
        </is>
      </c>
      <c r="D27" t="inlineStr">
        <is>
          <t>Chemicals</t>
        </is>
      </c>
    </row>
    <row r="28">
      <c r="A28" t="n">
        <v>23</v>
      </c>
      <c r="B28" t="inlineStr">
        <is>
          <t>Apollo Tyres Ltd.</t>
        </is>
      </c>
      <c r="C28" t="inlineStr">
        <is>
          <t>APOLLOTYRE</t>
        </is>
      </c>
      <c r="D28" t="inlineStr">
        <is>
          <t>Automobile and Auto Components</t>
        </is>
      </c>
    </row>
    <row r="29">
      <c r="A29" t="n">
        <v>24</v>
      </c>
      <c r="B29" t="inlineStr">
        <is>
          <t>Aptus Value Housing Finance India Ltd.</t>
        </is>
      </c>
      <c r="C29" t="inlineStr">
        <is>
          <t>APTUS</t>
        </is>
      </c>
      <c r="D29" t="inlineStr">
        <is>
          <t>Financial Services</t>
        </is>
      </c>
    </row>
    <row r="30">
      <c r="A30" t="n">
        <v>25</v>
      </c>
      <c r="B30" t="inlineStr">
        <is>
          <t>Asahi India Glass Ltd.</t>
        </is>
      </c>
      <c r="C30" t="inlineStr">
        <is>
          <t>ASAHIINDIA</t>
        </is>
      </c>
      <c r="D30" t="inlineStr">
        <is>
          <t>Automobile and Auto Components</t>
        </is>
      </c>
    </row>
    <row r="31">
      <c r="A31" t="n">
        <v>26</v>
      </c>
      <c r="B31" t="inlineStr">
        <is>
          <t>Ather Energy Ltd.</t>
        </is>
      </c>
      <c r="C31" t="inlineStr">
        <is>
          <t>ATHERENERG</t>
        </is>
      </c>
      <c r="D31" t="inlineStr">
        <is>
          <t>Automobile and Auto Components</t>
        </is>
      </c>
    </row>
    <row r="32">
      <c r="A32" t="n">
        <v>27</v>
      </c>
      <c r="B32" t="inlineStr">
        <is>
          <t>Atul Ltd.</t>
        </is>
      </c>
      <c r="C32" t="inlineStr">
        <is>
          <t>ATUL</t>
        </is>
      </c>
      <c r="D32" t="inlineStr">
        <is>
          <t>Chemicals</t>
        </is>
      </c>
    </row>
    <row r="33">
      <c r="A33" t="n">
        <v>28</v>
      </c>
      <c r="B33" t="inlineStr">
        <is>
          <t>Avanti Feeds Ltd.</t>
        </is>
      </c>
      <c r="C33" t="inlineStr">
        <is>
          <t>AVANTIFEED</t>
        </is>
      </c>
      <c r="D33" t="inlineStr">
        <is>
          <t>Fast Moving Consumer Goods</t>
        </is>
      </c>
    </row>
    <row r="34">
      <c r="A34" t="n">
        <v>29</v>
      </c>
      <c r="B34" t="inlineStr">
        <is>
          <t>AWL Agri Business Ltd.</t>
        </is>
      </c>
      <c r="C34" t="inlineStr">
        <is>
          <t>AWL</t>
        </is>
      </c>
      <c r="D34" t="inlineStr">
        <is>
          <t>Fast Moving Consumer Goods</t>
        </is>
      </c>
    </row>
    <row r="35">
      <c r="A35" t="n">
        <v>30</v>
      </c>
      <c r="B35" t="inlineStr">
        <is>
          <t>Azad Engineering Ltd.</t>
        </is>
      </c>
      <c r="C35" t="inlineStr">
        <is>
          <t>AZAD</t>
        </is>
      </c>
      <c r="D35" t="inlineStr">
        <is>
          <t>Capital Goods</t>
        </is>
      </c>
    </row>
    <row r="36">
      <c r="A36" t="n">
        <v>31</v>
      </c>
      <c r="B36" t="inlineStr">
        <is>
          <t>Bagmane Prime Office REIT</t>
        </is>
      </c>
      <c r="C36" t="inlineStr">
        <is>
          <t>BAGMANE</t>
        </is>
      </c>
      <c r="D36" t="inlineStr">
        <is>
          <t>Realty</t>
        </is>
      </c>
    </row>
    <row r="37">
      <c r="A37" t="n">
        <v>32</v>
      </c>
      <c r="B37" t="inlineStr">
        <is>
          <t>Balrampur Chini Mills Ltd.</t>
        </is>
      </c>
      <c r="C37" t="inlineStr">
        <is>
          <t>BALRAMCHIN</t>
        </is>
      </c>
      <c r="D37" t="inlineStr">
        <is>
          <t>Fast Moving Consumer Goods</t>
        </is>
      </c>
    </row>
    <row r="38">
      <c r="A38" t="n">
        <v>33</v>
      </c>
      <c r="B38" t="inlineStr">
        <is>
          <t>Bandhan Bank Ltd.</t>
        </is>
      </c>
      <c r="C38" t="inlineStr">
        <is>
          <t>BANDHANBNK</t>
        </is>
      </c>
      <c r="D38" t="inlineStr">
        <is>
          <t>Financial Services</t>
        </is>
      </c>
    </row>
    <row r="39">
      <c r="A39" t="n">
        <v>34</v>
      </c>
      <c r="B39" t="inlineStr">
        <is>
          <t>Bata India Ltd.</t>
        </is>
      </c>
      <c r="C39" t="inlineStr">
        <is>
          <t>BATAINDIA</t>
        </is>
      </c>
      <c r="D39" t="inlineStr">
        <is>
          <t>Consumer Durables</t>
        </is>
      </c>
    </row>
    <row r="40">
      <c r="A40" t="n">
        <v>35</v>
      </c>
      <c r="B40" t="inlineStr">
        <is>
          <t>Belrise Industries Ltd.</t>
        </is>
      </c>
      <c r="C40" t="inlineStr">
        <is>
          <t>BELRISE</t>
        </is>
      </c>
      <c r="D40" t="inlineStr">
        <is>
          <t>Automobile and Auto Components</t>
        </is>
      </c>
    </row>
    <row r="41">
      <c r="A41" t="n">
        <v>36</v>
      </c>
      <c r="B41" t="inlineStr">
        <is>
          <t>BEML Ltd.</t>
        </is>
      </c>
      <c r="C41" t="inlineStr">
        <is>
          <t>BEML</t>
        </is>
      </c>
      <c r="D41" t="inlineStr">
        <is>
          <t>Capital Goods</t>
        </is>
      </c>
    </row>
    <row r="42">
      <c r="A42" t="n">
        <v>37</v>
      </c>
      <c r="B42" t="inlineStr">
        <is>
          <t>Bharat Coking Coal Ltd.</t>
        </is>
      </c>
      <c r="C42" t="inlineStr">
        <is>
          <t>BHARATCOAL</t>
        </is>
      </c>
      <c r="D42" t="inlineStr">
        <is>
          <t>Oil Gas &amp; Consumable Fuels</t>
        </is>
      </c>
    </row>
    <row r="43">
      <c r="A43" t="n">
        <v>38</v>
      </c>
      <c r="B43" t="inlineStr">
        <is>
          <t>Birlasoft Ltd.</t>
        </is>
      </c>
      <c r="C43" t="inlineStr">
        <is>
          <t>BSOFT</t>
        </is>
      </c>
      <c r="D43" t="inlineStr">
        <is>
          <t>Information Technology</t>
        </is>
      </c>
    </row>
    <row r="44">
      <c r="A44" t="n">
        <v>39</v>
      </c>
      <c r="B44" t="inlineStr">
        <is>
          <t>Black Box Ltd.</t>
        </is>
      </c>
      <c r="C44" t="inlineStr">
        <is>
          <t>BBOX</t>
        </is>
      </c>
      <c r="D44" t="inlineStr">
        <is>
          <t>Information Technology</t>
        </is>
      </c>
    </row>
    <row r="45">
      <c r="A45" t="n">
        <v>40</v>
      </c>
      <c r="B45" t="inlineStr">
        <is>
          <t>BLS International Services Ltd.</t>
        </is>
      </c>
      <c r="C45" t="inlineStr">
        <is>
          <t>BLS</t>
        </is>
      </c>
      <c r="D45" t="inlineStr">
        <is>
          <t>Consumer Services</t>
        </is>
      </c>
    </row>
    <row r="46">
      <c r="A46" t="n">
        <v>41</v>
      </c>
      <c r="B46" t="inlineStr">
        <is>
          <t>Brainbees Solutions Ltd.</t>
        </is>
      </c>
      <c r="C46" t="inlineStr">
        <is>
          <t>FIRSTCRY</t>
        </is>
      </c>
      <c r="D46" t="inlineStr">
        <is>
          <t>Consumer Services</t>
        </is>
      </c>
    </row>
    <row r="47">
      <c r="A47" t="n">
        <v>42</v>
      </c>
      <c r="B47" t="inlineStr">
        <is>
          <t>Brigade Enterprises Ltd.</t>
        </is>
      </c>
      <c r="C47" t="inlineStr">
        <is>
          <t>BRIGADE</t>
        </is>
      </c>
      <c r="D47" t="inlineStr">
        <is>
          <t>Realty</t>
        </is>
      </c>
    </row>
    <row r="48">
      <c r="A48" t="n">
        <v>43</v>
      </c>
      <c r="B48" t="inlineStr">
        <is>
          <t>Brookfield India Real Estate Trust</t>
        </is>
      </c>
      <c r="C48" t="inlineStr">
        <is>
          <t>BIRET</t>
        </is>
      </c>
      <c r="D48" t="inlineStr">
        <is>
          <t>Realty</t>
        </is>
      </c>
    </row>
    <row r="49">
      <c r="A49" t="n">
        <v>44</v>
      </c>
      <c r="B49" t="inlineStr">
        <is>
          <t>Can Fin Homes Ltd.</t>
        </is>
      </c>
      <c r="C49" t="inlineStr">
        <is>
          <t>CANFINHOME</t>
        </is>
      </c>
      <c r="D49" t="inlineStr">
        <is>
          <t>Financial Services</t>
        </is>
      </c>
    </row>
    <row r="50">
      <c r="A50" t="n">
        <v>45</v>
      </c>
      <c r="B50" t="inlineStr">
        <is>
          <t>Canara HSBC Life Insurance Company Ltd.</t>
        </is>
      </c>
      <c r="C50" t="inlineStr">
        <is>
          <t>CANHLIFE</t>
        </is>
      </c>
      <c r="D50" t="inlineStr">
        <is>
          <t>Financial Services</t>
        </is>
      </c>
    </row>
    <row r="51">
      <c r="A51" t="n">
        <v>46</v>
      </c>
      <c r="B51" t="inlineStr">
        <is>
          <t>Caplin Point Laboratories Ltd.</t>
        </is>
      </c>
      <c r="C51" t="inlineStr">
        <is>
          <t>CAPLIPOINT</t>
        </is>
      </c>
      <c r="D51" t="inlineStr">
        <is>
          <t>Healthcare</t>
        </is>
      </c>
    </row>
    <row r="52">
      <c r="A52" t="n">
        <v>47</v>
      </c>
      <c r="B52" t="inlineStr">
        <is>
          <t>Capri Global Capital Ltd.</t>
        </is>
      </c>
      <c r="C52" t="inlineStr">
        <is>
          <t>CGCL</t>
        </is>
      </c>
      <c r="D52" t="inlineStr">
        <is>
          <t>Financial Services</t>
        </is>
      </c>
    </row>
    <row r="53">
      <c r="A53" t="n">
        <v>48</v>
      </c>
      <c r="B53" t="inlineStr">
        <is>
          <t>Carborundum Universal Ltd.</t>
        </is>
      </c>
      <c r="C53" t="inlineStr">
        <is>
          <t>CARBORUNIV</t>
        </is>
      </c>
      <c r="D53" t="inlineStr">
        <is>
          <t>Capital Goods</t>
        </is>
      </c>
    </row>
    <row r="54">
      <c r="A54" t="n">
        <v>49</v>
      </c>
      <c r="B54" t="inlineStr">
        <is>
          <t>Cartrade Tech Ltd.</t>
        </is>
      </c>
      <c r="C54" t="inlineStr">
        <is>
          <t>CARTRADE</t>
        </is>
      </c>
      <c r="D54" t="inlineStr">
        <is>
          <t>Consumer Services</t>
        </is>
      </c>
    </row>
    <row r="55">
      <c r="A55" t="n">
        <v>50</v>
      </c>
      <c r="B55" t="inlineStr">
        <is>
          <t>Castrol India Ltd.</t>
        </is>
      </c>
      <c r="C55" t="inlineStr">
        <is>
          <t>CASTROLIND</t>
        </is>
      </c>
      <c r="D55" t="inlineStr">
        <is>
          <t>Oil Gas &amp; Consumable Fuels</t>
        </is>
      </c>
    </row>
    <row r="56">
      <c r="A56" t="n">
        <v>51</v>
      </c>
      <c r="B56" t="inlineStr">
        <is>
          <t>CCL Products (I) Ltd.</t>
        </is>
      </c>
      <c r="C56" t="inlineStr">
        <is>
          <t>CCL</t>
        </is>
      </c>
      <c r="D56" t="inlineStr">
        <is>
          <t>Fast Moving Consumer Goods</t>
        </is>
      </c>
    </row>
    <row r="57">
      <c r="A57" t="n">
        <v>52</v>
      </c>
      <c r="B57" t="inlineStr">
        <is>
          <t>Ceat Ltd.</t>
        </is>
      </c>
      <c r="C57" t="inlineStr">
        <is>
          <t>CEATLTD</t>
        </is>
      </c>
      <c r="D57" t="inlineStr">
        <is>
          <t>Automobile and Auto Components</t>
        </is>
      </c>
    </row>
    <row r="58">
      <c r="A58" t="n">
        <v>53</v>
      </c>
      <c r="B58" t="inlineStr">
        <is>
          <t>Cemindia Projects Ltd.</t>
        </is>
      </c>
      <c r="C58" t="inlineStr">
        <is>
          <t>CEMPRO</t>
        </is>
      </c>
      <c r="D58" t="inlineStr">
        <is>
          <t>Construction</t>
        </is>
      </c>
    </row>
    <row r="59">
      <c r="A59" t="n">
        <v>54</v>
      </c>
      <c r="B59" t="inlineStr">
        <is>
          <t>Central Bank of India</t>
        </is>
      </c>
      <c r="C59" t="inlineStr">
        <is>
          <t>CENTRALBK</t>
        </is>
      </c>
      <c r="D59" t="inlineStr">
        <is>
          <t>Financial Services</t>
        </is>
      </c>
    </row>
    <row r="60">
      <c r="A60" t="n">
        <v>55</v>
      </c>
      <c r="B60" t="inlineStr">
        <is>
          <t>Central Depository Services (India) Ltd.</t>
        </is>
      </c>
      <c r="C60" t="inlineStr">
        <is>
          <t>CDSL</t>
        </is>
      </c>
      <c r="D60" t="inlineStr">
        <is>
          <t>Financial Services</t>
        </is>
      </c>
    </row>
    <row r="61">
      <c r="A61" t="n">
        <v>56</v>
      </c>
      <c r="B61" t="inlineStr">
        <is>
          <t>Central Mine Planning &amp; Design Institute Ltd.</t>
        </is>
      </c>
      <c r="C61" t="inlineStr">
        <is>
          <t>CMPDI</t>
        </is>
      </c>
      <c r="D61" t="inlineStr">
        <is>
          <t>Services</t>
        </is>
      </c>
    </row>
    <row r="62">
      <c r="A62" t="n">
        <v>57</v>
      </c>
      <c r="B62" t="inlineStr">
        <is>
          <t>CESC Ltd.</t>
        </is>
      </c>
      <c r="C62" t="inlineStr">
        <is>
          <t>CESC</t>
        </is>
      </c>
      <c r="D62" t="inlineStr">
        <is>
          <t>Power</t>
        </is>
      </c>
    </row>
    <row r="63">
      <c r="A63" t="n">
        <v>58</v>
      </c>
      <c r="B63" t="inlineStr">
        <is>
          <t>Chambal Fertilizers &amp; Chemicals Ltd.</t>
        </is>
      </c>
      <c r="C63" t="inlineStr">
        <is>
          <t>CHAMBLFERT</t>
        </is>
      </c>
      <c r="D63" t="inlineStr">
        <is>
          <t>Chemicals</t>
        </is>
      </c>
    </row>
    <row r="64">
      <c r="A64" t="n">
        <v>59</v>
      </c>
      <c r="B64" t="inlineStr">
        <is>
          <t>Chennai Petroleum Corporation Ltd.</t>
        </is>
      </c>
      <c r="C64" t="inlineStr">
        <is>
          <t>CHENNPETRO</t>
        </is>
      </c>
      <c r="D64" t="inlineStr">
        <is>
          <t>Oil Gas &amp; Consumable Fuels</t>
        </is>
      </c>
    </row>
    <row r="65">
      <c r="A65" t="n">
        <v>60</v>
      </c>
      <c r="B65" t="inlineStr">
        <is>
          <t>Choice International Ltd.</t>
        </is>
      </c>
      <c r="C65" t="inlineStr">
        <is>
          <t>CHOICEIN</t>
        </is>
      </c>
      <c r="D65" t="inlineStr">
        <is>
          <t>Financial Services</t>
        </is>
      </c>
    </row>
    <row r="66">
      <c r="A66" t="n">
        <v>61</v>
      </c>
      <c r="B66" t="inlineStr">
        <is>
          <t>Cholamandalam Financial Holdings Ltd.</t>
        </is>
      </c>
      <c r="C66" t="inlineStr">
        <is>
          <t>CHOLAHLDNG</t>
        </is>
      </c>
      <c r="D66" t="inlineStr">
        <is>
          <t>Financial Services</t>
        </is>
      </c>
    </row>
    <row r="67">
      <c r="A67" t="n">
        <v>62</v>
      </c>
      <c r="B67" t="inlineStr">
        <is>
          <t>CIE Automotive India Ltd.</t>
        </is>
      </c>
      <c r="C67" t="inlineStr">
        <is>
          <t>CIEINDIA</t>
        </is>
      </c>
      <c r="D67" t="inlineStr">
        <is>
          <t>Automobile and Auto Components</t>
        </is>
      </c>
    </row>
    <row r="68">
      <c r="A68" t="n">
        <v>63</v>
      </c>
      <c r="B68" t="inlineStr">
        <is>
          <t>City Union Bank Ltd.</t>
        </is>
      </c>
      <c r="C68" t="inlineStr">
        <is>
          <t>CUB</t>
        </is>
      </c>
      <c r="D68" t="inlineStr">
        <is>
          <t>Financial Services</t>
        </is>
      </c>
    </row>
    <row r="69">
      <c r="A69" t="n">
        <v>64</v>
      </c>
      <c r="B69" t="inlineStr">
        <is>
          <t>Clean Max Enviro Energy Solutions Ltd.</t>
        </is>
      </c>
      <c r="C69" t="inlineStr">
        <is>
          <t>CLEANMAX</t>
        </is>
      </c>
      <c r="D69" t="inlineStr">
        <is>
          <t>Power</t>
        </is>
      </c>
    </row>
    <row r="70">
      <c r="A70" t="n">
        <v>65</v>
      </c>
      <c r="B70" t="inlineStr">
        <is>
          <t>Clean Science and Technology Ltd.</t>
        </is>
      </c>
      <c r="C70" t="inlineStr">
        <is>
          <t>CLEAN</t>
        </is>
      </c>
      <c r="D70" t="inlineStr">
        <is>
          <t>Chemicals</t>
        </is>
      </c>
    </row>
    <row r="71">
      <c r="A71" t="n">
        <v>66</v>
      </c>
      <c r="B71" t="inlineStr">
        <is>
          <t>Cohance Lifesciences Ltd.</t>
        </is>
      </c>
      <c r="C71" t="inlineStr">
        <is>
          <t>COHANCE</t>
        </is>
      </c>
      <c r="D71" t="inlineStr">
        <is>
          <t>Healthcare</t>
        </is>
      </c>
    </row>
    <row r="72">
      <c r="A72" t="n">
        <v>67</v>
      </c>
      <c r="B72" t="inlineStr">
        <is>
          <t>Computer Age Management Services Ltd.</t>
        </is>
      </c>
      <c r="C72" t="inlineStr">
        <is>
          <t>CAMS</t>
        </is>
      </c>
      <c r="D72" t="inlineStr">
        <is>
          <t>Financial Services</t>
        </is>
      </c>
    </row>
    <row r="73">
      <c r="A73" t="n">
        <v>68</v>
      </c>
      <c r="B73" t="inlineStr">
        <is>
          <t>Concord Biotech Ltd.</t>
        </is>
      </c>
      <c r="C73" t="inlineStr">
        <is>
          <t>CONCORDBIO</t>
        </is>
      </c>
      <c r="D73" t="inlineStr">
        <is>
          <t>Healthcare</t>
        </is>
      </c>
    </row>
    <row r="74">
      <c r="A74" t="n">
        <v>69</v>
      </c>
      <c r="B74" t="inlineStr">
        <is>
          <t>Craftsman Automation Ltd.</t>
        </is>
      </c>
      <c r="C74" t="inlineStr">
        <is>
          <t>CRAFTSMAN</t>
        </is>
      </c>
      <c r="D74" t="inlineStr">
        <is>
          <t>Automobile and Auto Components</t>
        </is>
      </c>
    </row>
    <row r="75">
      <c r="A75" t="n">
        <v>70</v>
      </c>
      <c r="B75" t="inlineStr">
        <is>
          <t>CreditAccess Grameen Ltd.</t>
        </is>
      </c>
      <c r="C75" t="inlineStr">
        <is>
          <t>CREDITACC</t>
        </is>
      </c>
      <c r="D75" t="inlineStr">
        <is>
          <t>Financial Services</t>
        </is>
      </c>
    </row>
    <row r="76">
      <c r="A76" t="n">
        <v>71</v>
      </c>
      <c r="B76" t="inlineStr">
        <is>
          <t>Crompton Greaves Consumer Electricals Ltd.</t>
        </is>
      </c>
      <c r="C76" t="inlineStr">
        <is>
          <t>CROMPTON</t>
        </is>
      </c>
      <c r="D76" t="inlineStr">
        <is>
          <t>Consumer Durables</t>
        </is>
      </c>
    </row>
    <row r="77">
      <c r="A77" t="n">
        <v>72</v>
      </c>
      <c r="B77" t="inlineStr">
        <is>
          <t>Cupid Ltd.</t>
        </is>
      </c>
      <c r="C77" t="inlineStr">
        <is>
          <t>CUPID</t>
        </is>
      </c>
      <c r="D77" t="inlineStr">
        <is>
          <t>Fast Moving Consumer Goods</t>
        </is>
      </c>
    </row>
    <row r="78">
      <c r="A78" t="n">
        <v>73</v>
      </c>
      <c r="B78" t="inlineStr">
        <is>
          <t>Cyient Ltd.</t>
        </is>
      </c>
      <c r="C78" t="inlineStr">
        <is>
          <t>CYIENT</t>
        </is>
      </c>
      <c r="D78" t="inlineStr">
        <is>
          <t>Information Technology</t>
        </is>
      </c>
    </row>
    <row r="79">
      <c r="A79" t="n">
        <v>74</v>
      </c>
      <c r="B79" t="inlineStr">
        <is>
          <t>Data Patterns (India) Ltd.</t>
        </is>
      </c>
      <c r="C79" t="inlineStr">
        <is>
          <t>DATAPATTNS</t>
        </is>
      </c>
      <c r="D79" t="inlineStr">
        <is>
          <t>Capital Goods</t>
        </is>
      </c>
    </row>
    <row r="80">
      <c r="A80" t="n">
        <v>75</v>
      </c>
      <c r="B80" t="inlineStr">
        <is>
          <t>Deepak Fertilisers &amp; Petrochemicals Corp. Ltd.</t>
        </is>
      </c>
      <c r="C80" t="inlineStr">
        <is>
          <t>DEEPAKFERT</t>
        </is>
      </c>
      <c r="D80" t="inlineStr">
        <is>
          <t>Chemicals</t>
        </is>
      </c>
    </row>
    <row r="81">
      <c r="A81" t="n">
        <v>76</v>
      </c>
      <c r="B81" t="inlineStr">
        <is>
          <t>Deepak Nitrite Ltd.</t>
        </is>
      </c>
      <c r="C81" t="inlineStr">
        <is>
          <t>DEEPAKNTR</t>
        </is>
      </c>
      <c r="D81" t="inlineStr">
        <is>
          <t>Chemicals</t>
        </is>
      </c>
    </row>
    <row r="82">
      <c r="A82" t="n">
        <v>77</v>
      </c>
      <c r="B82" t="inlineStr">
        <is>
          <t>Delhivery Ltd.</t>
        </is>
      </c>
      <c r="C82" t="inlineStr">
        <is>
          <t>DELHIVERY</t>
        </is>
      </c>
      <c r="D82" t="inlineStr">
        <is>
          <t>Services</t>
        </is>
      </c>
    </row>
    <row r="83">
      <c r="A83" t="n">
        <v>78</v>
      </c>
      <c r="B83" t="inlineStr">
        <is>
          <t>Devyani International Ltd.</t>
        </is>
      </c>
      <c r="C83" t="inlineStr">
        <is>
          <t>DEVYANI</t>
        </is>
      </c>
      <c r="D83" t="inlineStr">
        <is>
          <t>Consumer Services</t>
        </is>
      </c>
    </row>
    <row r="84">
      <c r="A84" t="n">
        <v>79</v>
      </c>
      <c r="B84" t="inlineStr">
        <is>
          <t>DOMS Industries Ltd.</t>
        </is>
      </c>
      <c r="C84" t="inlineStr">
        <is>
          <t>DOMS</t>
        </is>
      </c>
      <c r="D84" t="inlineStr">
        <is>
          <t>Fast Moving Consumer Goods</t>
        </is>
      </c>
    </row>
    <row r="85">
      <c r="A85" t="n">
        <v>80</v>
      </c>
      <c r="B85" t="inlineStr">
        <is>
          <t>Dr. Lal Path Labs Ltd.</t>
        </is>
      </c>
      <c r="C85" t="inlineStr">
        <is>
          <t>LALPATHLAB</t>
        </is>
      </c>
      <c r="D85" t="inlineStr">
        <is>
          <t>Healthcare</t>
        </is>
      </c>
    </row>
    <row r="86">
      <c r="A86" t="n">
        <v>81</v>
      </c>
      <c r="B86" t="inlineStr">
        <is>
          <t>Dummy HEG Ltd.</t>
        </is>
      </c>
      <c r="C86" t="inlineStr">
        <is>
          <t>DUMMYHEG</t>
        </is>
      </c>
      <c r="D86" t="inlineStr">
        <is>
          <t>Capital Goods</t>
        </is>
      </c>
    </row>
    <row r="87">
      <c r="A87" t="n">
        <v>82</v>
      </c>
      <c r="B87" t="inlineStr">
        <is>
          <t>E.I.D. Parry (India) Ltd.</t>
        </is>
      </c>
      <c r="C87" t="inlineStr">
        <is>
          <t>EIDPARRY</t>
        </is>
      </c>
      <c r="D87" t="inlineStr">
        <is>
          <t>Fast Moving Consumer Goods</t>
        </is>
      </c>
    </row>
    <row r="88">
      <c r="A88" t="n">
        <v>83</v>
      </c>
      <c r="B88" t="inlineStr">
        <is>
          <t>eClerx Services Ltd.</t>
        </is>
      </c>
      <c r="C88" t="inlineStr">
        <is>
          <t>ECLERX</t>
        </is>
      </c>
      <c r="D88" t="inlineStr">
        <is>
          <t>Services</t>
        </is>
      </c>
    </row>
    <row r="89">
      <c r="A89" t="n">
        <v>84</v>
      </c>
      <c r="B89" t="inlineStr">
        <is>
          <t>EIH Ltd.</t>
        </is>
      </c>
      <c r="C89" t="inlineStr">
        <is>
          <t>EIHOTEL</t>
        </is>
      </c>
      <c r="D89" t="inlineStr">
        <is>
          <t>Consumer Services</t>
        </is>
      </c>
    </row>
    <row r="90">
      <c r="A90" t="n">
        <v>85</v>
      </c>
      <c r="B90" t="inlineStr">
        <is>
          <t>Elecon Engineering Co. Ltd.</t>
        </is>
      </c>
      <c r="C90" t="inlineStr">
        <is>
          <t>ELECON</t>
        </is>
      </c>
      <c r="D90" t="inlineStr">
        <is>
          <t>Capital Goods</t>
        </is>
      </c>
    </row>
    <row r="91">
      <c r="A91" t="n">
        <v>86</v>
      </c>
      <c r="B91" t="inlineStr">
        <is>
          <t>Elgi Equipments Ltd.</t>
        </is>
      </c>
      <c r="C91" t="inlineStr">
        <is>
          <t>ELGIEQUIP</t>
        </is>
      </c>
      <c r="D91" t="inlineStr">
        <is>
          <t>Capital Goods</t>
        </is>
      </c>
    </row>
    <row r="92">
      <c r="A92" t="n">
        <v>87</v>
      </c>
      <c r="B92" t="inlineStr">
        <is>
          <t>Emami Ltd.</t>
        </is>
      </c>
      <c r="C92" t="inlineStr">
        <is>
          <t>EMAMILTD</t>
        </is>
      </c>
      <c r="D92" t="inlineStr">
        <is>
          <t>Fast Moving Consumer Goods</t>
        </is>
      </c>
    </row>
    <row r="93">
      <c r="A93" t="n">
        <v>88</v>
      </c>
      <c r="B93" t="inlineStr">
        <is>
          <t>Emcure Pharmaceuticals Ltd.</t>
        </is>
      </c>
      <c r="C93" t="inlineStr">
        <is>
          <t>EMCURE</t>
        </is>
      </c>
      <c r="D93" t="inlineStr">
        <is>
          <t>Healthcare</t>
        </is>
      </c>
    </row>
    <row r="94">
      <c r="A94" t="n">
        <v>89</v>
      </c>
      <c r="B94" t="inlineStr">
        <is>
          <t>Emmvee Photovoltaic Power Ltd.</t>
        </is>
      </c>
      <c r="C94" t="inlineStr">
        <is>
          <t>EMMVEE</t>
        </is>
      </c>
      <c r="D94" t="inlineStr">
        <is>
          <t>Capital Goods</t>
        </is>
      </c>
    </row>
    <row r="95">
      <c r="A95" t="n">
        <v>90</v>
      </c>
      <c r="B95" t="inlineStr">
        <is>
          <t>Engineers India Ltd.</t>
        </is>
      </c>
      <c r="C95" t="inlineStr">
        <is>
          <t>ENGINERSIN</t>
        </is>
      </c>
      <c r="D95" t="inlineStr">
        <is>
          <t>Construction</t>
        </is>
      </c>
    </row>
    <row r="96">
      <c r="A96" t="n">
        <v>91</v>
      </c>
      <c r="B96" t="inlineStr">
        <is>
          <t>Finolex Cables Ltd.</t>
        </is>
      </c>
      <c r="C96" t="inlineStr">
        <is>
          <t>FINCABLES</t>
        </is>
      </c>
      <c r="D96" t="inlineStr">
        <is>
          <t>Capital Goods</t>
        </is>
      </c>
    </row>
    <row r="97">
      <c r="A97" t="n">
        <v>92</v>
      </c>
      <c r="B97" t="inlineStr">
        <is>
          <t>Firstsource Solutions Ltd.</t>
        </is>
      </c>
      <c r="C97" t="inlineStr">
        <is>
          <t>FSL</t>
        </is>
      </c>
      <c r="D97" t="inlineStr">
        <is>
          <t>Services</t>
        </is>
      </c>
    </row>
    <row r="98">
      <c r="A98" t="n">
        <v>93</v>
      </c>
      <c r="B98" t="inlineStr">
        <is>
          <t>Five-Star Business Finance Ltd.</t>
        </is>
      </c>
      <c r="C98" t="inlineStr">
        <is>
          <t>FIVESTAR</t>
        </is>
      </c>
      <c r="D98" t="inlineStr">
        <is>
          <t>Financial Services</t>
        </is>
      </c>
    </row>
    <row r="99">
      <c r="A99" t="n">
        <v>94</v>
      </c>
      <c r="B99" t="inlineStr">
        <is>
          <t>Force Motors Ltd.</t>
        </is>
      </c>
      <c r="C99" t="inlineStr">
        <is>
          <t>FORCEMOT</t>
        </is>
      </c>
      <c r="D99" t="inlineStr">
        <is>
          <t>Automobile and Auto Components</t>
        </is>
      </c>
    </row>
    <row r="100">
      <c r="A100" t="n">
        <v>95</v>
      </c>
      <c r="B100" t="inlineStr">
        <is>
          <t>Fractal Analytics Ltd.</t>
        </is>
      </c>
      <c r="C100" t="inlineStr">
        <is>
          <t>FRACTAL</t>
        </is>
      </c>
      <c r="D100" t="inlineStr">
        <is>
          <t>Information Technology</t>
        </is>
      </c>
    </row>
    <row r="101">
      <c r="A101" t="n">
        <v>96</v>
      </c>
      <c r="B101" t="inlineStr">
        <is>
          <t>Gabriel India Ltd.</t>
        </is>
      </c>
      <c r="C101" t="inlineStr">
        <is>
          <t>GABRIEL</t>
        </is>
      </c>
      <c r="D101" t="inlineStr">
        <is>
          <t>Automobile and Auto Components</t>
        </is>
      </c>
    </row>
    <row r="102">
      <c r="A102" t="n">
        <v>97</v>
      </c>
      <c r="B102" t="inlineStr">
        <is>
          <t>Gallantt Ispat Ltd.</t>
        </is>
      </c>
      <c r="C102" t="inlineStr">
        <is>
          <t>GALLANTT</t>
        </is>
      </c>
      <c r="D102" t="inlineStr">
        <is>
          <t>Capital Goods</t>
        </is>
      </c>
    </row>
    <row r="103">
      <c r="A103" t="n">
        <v>98</v>
      </c>
      <c r="B103" t="inlineStr">
        <is>
          <t>Garden Reach Shipbuilders &amp; Engineers Ltd.</t>
        </is>
      </c>
      <c r="C103" t="inlineStr">
        <is>
          <t>GRSE</t>
        </is>
      </c>
      <c r="D103" t="inlineStr">
        <is>
          <t>Capital Goods</t>
        </is>
      </c>
    </row>
    <row r="104">
      <c r="A104" t="n">
        <v>99</v>
      </c>
      <c r="B104" t="inlineStr">
        <is>
          <t>Gillette India Ltd.</t>
        </is>
      </c>
      <c r="C104" t="inlineStr">
        <is>
          <t>GILLETTE</t>
        </is>
      </c>
      <c r="D104" t="inlineStr">
        <is>
          <t>Fast Moving Consumer Goods</t>
        </is>
      </c>
    </row>
    <row r="105">
      <c r="A105" t="n">
        <v>100</v>
      </c>
      <c r="B105" t="inlineStr">
        <is>
          <t>Gland Pharma Ltd.</t>
        </is>
      </c>
      <c r="C105" t="inlineStr">
        <is>
          <t>GLAND</t>
        </is>
      </c>
      <c r="D105" t="inlineStr">
        <is>
          <t>Healthcare</t>
        </is>
      </c>
    </row>
    <row r="106">
      <c r="A106" t="n">
        <v>101</v>
      </c>
      <c r="B106" t="inlineStr">
        <is>
          <t>Godawari Power &amp; Ispat Ltd.</t>
        </is>
      </c>
      <c r="C106" t="inlineStr">
        <is>
          <t>GPIL</t>
        </is>
      </c>
      <c r="D106" t="inlineStr">
        <is>
          <t>Capital Goods</t>
        </is>
      </c>
    </row>
    <row r="107">
      <c r="A107" t="n">
        <v>102</v>
      </c>
      <c r="B107" t="inlineStr">
        <is>
          <t>Granules India Ltd.</t>
        </is>
      </c>
      <c r="C107" t="inlineStr">
        <is>
          <t>GRANULES</t>
        </is>
      </c>
      <c r="D107" t="inlineStr">
        <is>
          <t>Healthcare</t>
        </is>
      </c>
    </row>
    <row r="108">
      <c r="A108" t="n">
        <v>103</v>
      </c>
      <c r="B108" t="inlineStr">
        <is>
          <t>Graphite India Ltd.</t>
        </is>
      </c>
      <c r="C108" t="inlineStr">
        <is>
          <t>GRAPHITE</t>
        </is>
      </c>
      <c r="D108" t="inlineStr">
        <is>
          <t>Capital Goods</t>
        </is>
      </c>
    </row>
    <row r="109">
      <c r="A109" t="n">
        <v>104</v>
      </c>
      <c r="B109" t="inlineStr">
        <is>
          <t>Gravita India Ltd.</t>
        </is>
      </c>
      <c r="C109" t="inlineStr">
        <is>
          <t>GRAVITA</t>
        </is>
      </c>
      <c r="D109" t="inlineStr">
        <is>
          <t>Metals &amp; Mining</t>
        </is>
      </c>
    </row>
    <row r="110">
      <c r="A110" t="n">
        <v>105</v>
      </c>
      <c r="B110" t="inlineStr">
        <is>
          <t>Great Eastern Shipping Co. Ltd.</t>
        </is>
      </c>
      <c r="C110" t="inlineStr">
        <is>
          <t>GESHIP</t>
        </is>
      </c>
      <c r="D110" t="inlineStr">
        <is>
          <t>Services</t>
        </is>
      </c>
    </row>
    <row r="111">
      <c r="A111" t="n">
        <v>106</v>
      </c>
      <c r="B111" t="inlineStr">
        <is>
          <t>Gujarat Mineral Development Corporation Ltd.</t>
        </is>
      </c>
      <c r="C111" t="inlineStr">
        <is>
          <t>GMDCLTD</t>
        </is>
      </c>
      <c r="D111" t="inlineStr">
        <is>
          <t>Metals &amp; Mining</t>
        </is>
      </c>
    </row>
    <row r="112">
      <c r="A112" t="n">
        <v>107</v>
      </c>
      <c r="B112" t="inlineStr">
        <is>
          <t>HBL Engineering Ltd.</t>
        </is>
      </c>
      <c r="C112" t="inlineStr">
        <is>
          <t>HBLENGINE</t>
        </is>
      </c>
      <c r="D112" t="inlineStr">
        <is>
          <t>Capital Goods</t>
        </is>
      </c>
    </row>
    <row r="113">
      <c r="A113" t="n">
        <v>108</v>
      </c>
      <c r="B113" t="inlineStr">
        <is>
          <t>HEG Advanced Materials Ltd.</t>
        </is>
      </c>
      <c r="C113" t="inlineStr">
        <is>
          <t>HEGAM</t>
        </is>
      </c>
      <c r="D113" t="inlineStr">
        <is>
          <t>Capital Goods</t>
        </is>
      </c>
    </row>
    <row r="114">
      <c r="A114" t="n">
        <v>109</v>
      </c>
      <c r="B114" t="inlineStr">
        <is>
          <t>HFCL Ltd.</t>
        </is>
      </c>
      <c r="C114" t="inlineStr">
        <is>
          <t>HFCL</t>
        </is>
      </c>
      <c r="D114" t="inlineStr">
        <is>
          <t>Telecommunication</t>
        </is>
      </c>
    </row>
    <row r="115">
      <c r="A115" t="n">
        <v>110</v>
      </c>
      <c r="B115" t="inlineStr">
        <is>
          <t>Himadri Speciality Chemical Ltd.</t>
        </is>
      </c>
      <c r="C115" t="inlineStr">
        <is>
          <t>HSCL</t>
        </is>
      </c>
      <c r="D115" t="inlineStr">
        <is>
          <t>Chemicals</t>
        </is>
      </c>
    </row>
    <row r="116">
      <c r="A116" t="n">
        <v>111</v>
      </c>
      <c r="B116" t="inlineStr">
        <is>
          <t>Home First Finance Company India Ltd.</t>
        </is>
      </c>
      <c r="C116" t="inlineStr">
        <is>
          <t>HOMEFIRST</t>
        </is>
      </c>
      <c r="D116" t="inlineStr">
        <is>
          <t>Financial Services</t>
        </is>
      </c>
    </row>
    <row r="117">
      <c r="A117" t="n">
        <v>112</v>
      </c>
      <c r="B117" t="inlineStr">
        <is>
          <t>Honasa Consumer Ltd.</t>
        </is>
      </c>
      <c r="C117" t="inlineStr">
        <is>
          <t>HONASA</t>
        </is>
      </c>
      <c r="D117" t="inlineStr">
        <is>
          <t>Fast Moving Consumer Goods</t>
        </is>
      </c>
    </row>
    <row r="118">
      <c r="A118" t="n">
        <v>113</v>
      </c>
      <c r="B118" t="inlineStr">
        <is>
          <t>Honeywell Automation India Ltd.</t>
        </is>
      </c>
      <c r="C118" t="inlineStr">
        <is>
          <t>HONAUT</t>
        </is>
      </c>
      <c r="D118" t="inlineStr">
        <is>
          <t>Capital Goods</t>
        </is>
      </c>
    </row>
    <row r="119">
      <c r="A119" t="n">
        <v>114</v>
      </c>
      <c r="B119" t="inlineStr">
        <is>
          <t>IDBI Bank Ltd.</t>
        </is>
      </c>
      <c r="C119" t="inlineStr">
        <is>
          <t>IDBI</t>
        </is>
      </c>
      <c r="D119" t="inlineStr">
        <is>
          <t>Financial Services</t>
        </is>
      </c>
    </row>
    <row r="120">
      <c r="A120" t="n">
        <v>115</v>
      </c>
      <c r="B120" t="inlineStr">
        <is>
          <t>IFCI Ltd.</t>
        </is>
      </c>
      <c r="C120" t="inlineStr">
        <is>
          <t>IFCI</t>
        </is>
      </c>
      <c r="D120" t="inlineStr">
        <is>
          <t>Financial Services</t>
        </is>
      </c>
    </row>
    <row r="121">
      <c r="A121" t="n">
        <v>116</v>
      </c>
      <c r="B121" t="inlineStr">
        <is>
          <t>IIFL Finance Ltd.</t>
        </is>
      </c>
      <c r="C121" t="inlineStr">
        <is>
          <t>IIFL</t>
        </is>
      </c>
      <c r="D121" t="inlineStr">
        <is>
          <t>Financial Services</t>
        </is>
      </c>
    </row>
    <row r="122">
      <c r="A122" t="n">
        <v>117</v>
      </c>
      <c r="B122" t="inlineStr">
        <is>
          <t>India Cements Ltd.</t>
        </is>
      </c>
      <c r="C122" t="inlineStr">
        <is>
          <t>INDIACEM</t>
        </is>
      </c>
      <c r="D122" t="inlineStr">
        <is>
          <t>Construction Materials</t>
        </is>
      </c>
    </row>
    <row r="123">
      <c r="A123" t="n">
        <v>118</v>
      </c>
      <c r="B123" t="inlineStr">
        <is>
          <t>Indiamart Intermesh Ltd.</t>
        </is>
      </c>
      <c r="C123" t="inlineStr">
        <is>
          <t>INDIAMART</t>
        </is>
      </c>
      <c r="D123" t="inlineStr">
        <is>
          <t>Consumer Services</t>
        </is>
      </c>
    </row>
    <row r="124">
      <c r="A124" t="n">
        <v>119</v>
      </c>
      <c r="B124" t="inlineStr">
        <is>
          <t>Indian Energy Exchange Ltd.</t>
        </is>
      </c>
      <c r="C124" t="inlineStr">
        <is>
          <t>IEX</t>
        </is>
      </c>
      <c r="D124" t="inlineStr">
        <is>
          <t>Financial Services</t>
        </is>
      </c>
    </row>
    <row r="125">
      <c r="A125" t="n">
        <v>120</v>
      </c>
      <c r="B125" t="inlineStr">
        <is>
          <t>Indraprastha Gas Ltd.</t>
        </is>
      </c>
      <c r="C125" t="inlineStr">
        <is>
          <t>IGL</t>
        </is>
      </c>
      <c r="D125" t="inlineStr">
        <is>
          <t>Oil Gas &amp; Consumable Fuels</t>
        </is>
      </c>
    </row>
    <row r="126">
      <c r="A126" t="n">
        <v>121</v>
      </c>
      <c r="B126" t="inlineStr">
        <is>
          <t>INOX India Ltd.</t>
        </is>
      </c>
      <c r="C126" t="inlineStr">
        <is>
          <t>INOXINDIA</t>
        </is>
      </c>
      <c r="D126" t="inlineStr">
        <is>
          <t>Capital Goods</t>
        </is>
      </c>
    </row>
    <row r="127">
      <c r="A127" t="n">
        <v>122</v>
      </c>
      <c r="B127" t="inlineStr">
        <is>
          <t>Inox Wind Ltd.</t>
        </is>
      </c>
      <c r="C127" t="inlineStr">
        <is>
          <t>INOXWIND</t>
        </is>
      </c>
      <c r="D127" t="inlineStr">
        <is>
          <t>Capital Goods</t>
        </is>
      </c>
    </row>
    <row r="128">
      <c r="A128" t="n">
        <v>123</v>
      </c>
      <c r="B128" t="inlineStr">
        <is>
          <t>Intellect Design Arena Ltd.</t>
        </is>
      </c>
      <c r="C128" t="inlineStr">
        <is>
          <t>INTELLECT</t>
        </is>
      </c>
      <c r="D128" t="inlineStr">
        <is>
          <t>Information Technology</t>
        </is>
      </c>
    </row>
    <row r="129">
      <c r="A129" t="n">
        <v>124</v>
      </c>
      <c r="B129" t="inlineStr">
        <is>
          <t>International Gemological Institute Ltd.</t>
        </is>
      </c>
      <c r="C129" t="inlineStr">
        <is>
          <t>IGIL</t>
        </is>
      </c>
      <c r="D129" t="inlineStr">
        <is>
          <t>Services</t>
        </is>
      </c>
    </row>
    <row r="130">
      <c r="A130" t="n">
        <v>125</v>
      </c>
      <c r="B130" t="inlineStr">
        <is>
          <t>Inventurus Knowledge Solutions Ltd.</t>
        </is>
      </c>
      <c r="C130" t="inlineStr">
        <is>
          <t>IKS</t>
        </is>
      </c>
      <c r="D130" t="inlineStr">
        <is>
          <t>Information Technology</t>
        </is>
      </c>
    </row>
    <row r="131">
      <c r="A131" t="n">
        <v>126</v>
      </c>
      <c r="B131" t="inlineStr">
        <is>
          <t>IRB Infrastructure Developers Ltd.</t>
        </is>
      </c>
      <c r="C131" t="inlineStr">
        <is>
          <t>IRB</t>
        </is>
      </c>
      <c r="D131" t="inlineStr">
        <is>
          <t>Construction</t>
        </is>
      </c>
    </row>
    <row r="132">
      <c r="A132" t="n">
        <v>127</v>
      </c>
      <c r="B132" t="inlineStr">
        <is>
          <t>IRCON International Ltd.</t>
        </is>
      </c>
      <c r="C132" t="inlineStr">
        <is>
          <t>IRCON</t>
        </is>
      </c>
      <c r="D132" t="inlineStr">
        <is>
          <t>Construction</t>
        </is>
      </c>
    </row>
    <row r="133">
      <c r="A133" t="n">
        <v>128</v>
      </c>
      <c r="B133" t="inlineStr">
        <is>
          <t>ITI Ltd.</t>
        </is>
      </c>
      <c r="C133" t="inlineStr">
        <is>
          <t>ITI</t>
        </is>
      </c>
      <c r="D133" t="inlineStr">
        <is>
          <t>Telecommunication</t>
        </is>
      </c>
    </row>
    <row r="134">
      <c r="A134" t="n">
        <v>129</v>
      </c>
      <c r="B134" t="inlineStr">
        <is>
          <t>Jain Resource Recycling Ltd.</t>
        </is>
      </c>
      <c r="C134" t="inlineStr">
        <is>
          <t>JAINREC</t>
        </is>
      </c>
      <c r="D134" t="inlineStr">
        <is>
          <t>Metals &amp; Mining</t>
        </is>
      </c>
    </row>
    <row r="135">
      <c r="A135" t="n">
        <v>130</v>
      </c>
      <c r="B135" t="inlineStr">
        <is>
          <t>Jaiprakash Power Ventures Ltd.</t>
        </is>
      </c>
      <c r="C135" t="inlineStr">
        <is>
          <t>JPPOWER</t>
        </is>
      </c>
      <c r="D135" t="inlineStr">
        <is>
          <t>Power</t>
        </is>
      </c>
    </row>
    <row r="136">
      <c r="A136" t="n">
        <v>131</v>
      </c>
      <c r="B136" t="inlineStr">
        <is>
          <t>Jammu &amp; Kashmir Bank Ltd.</t>
        </is>
      </c>
      <c r="C136" t="inlineStr">
        <is>
          <t>J&amp;KBANK</t>
        </is>
      </c>
      <c r="D136" t="inlineStr">
        <is>
          <t>Financial Services</t>
        </is>
      </c>
    </row>
    <row r="137">
      <c r="A137" t="n">
        <v>132</v>
      </c>
      <c r="B137" t="inlineStr">
        <is>
          <t>JBM Auto Ltd.</t>
        </is>
      </c>
      <c r="C137" t="inlineStr">
        <is>
          <t>JBMA</t>
        </is>
      </c>
      <c r="D137" t="inlineStr">
        <is>
          <t>Automobile and Auto Components</t>
        </is>
      </c>
    </row>
    <row r="138">
      <c r="A138" t="n">
        <v>133</v>
      </c>
      <c r="B138" t="inlineStr">
        <is>
          <t>Jindal Saw Ltd.</t>
        </is>
      </c>
      <c r="C138" t="inlineStr">
        <is>
          <t>JINDALSAW</t>
        </is>
      </c>
      <c r="D138" t="inlineStr">
        <is>
          <t>Capital Goods</t>
        </is>
      </c>
    </row>
    <row r="139">
      <c r="A139" t="n">
        <v>134</v>
      </c>
      <c r="B139" t="inlineStr">
        <is>
          <t>JK Tyre &amp; Industries Ltd.</t>
        </is>
      </c>
      <c r="C139" t="inlineStr">
        <is>
          <t>JKTYRE</t>
        </is>
      </c>
      <c r="D139" t="inlineStr">
        <is>
          <t>Automobile and Auto Components</t>
        </is>
      </c>
    </row>
    <row r="140">
      <c r="A140" t="n">
        <v>135</v>
      </c>
      <c r="B140" t="inlineStr">
        <is>
          <t>JM Financial Ltd.</t>
        </is>
      </c>
      <c r="C140" t="inlineStr">
        <is>
          <t>JMFINANCIL</t>
        </is>
      </c>
      <c r="D140" t="inlineStr">
        <is>
          <t>Financial Services</t>
        </is>
      </c>
    </row>
    <row r="141">
      <c r="A141" t="n">
        <v>136</v>
      </c>
      <c r="B141" t="inlineStr">
        <is>
          <t>JSW Cement Ltd.</t>
        </is>
      </c>
      <c r="C141" t="inlineStr">
        <is>
          <t>JSWCEMENT</t>
        </is>
      </c>
      <c r="D141" t="inlineStr">
        <is>
          <t>Construction Materials</t>
        </is>
      </c>
    </row>
    <row r="142">
      <c r="A142" t="n">
        <v>137</v>
      </c>
      <c r="B142" t="inlineStr">
        <is>
          <t>Jubilant Ingrevia Ltd.</t>
        </is>
      </c>
      <c r="C142" t="inlineStr">
        <is>
          <t>JUBLINGREA</t>
        </is>
      </c>
      <c r="D142" t="inlineStr">
        <is>
          <t>Chemicals</t>
        </is>
      </c>
    </row>
    <row r="143">
      <c r="A143" t="n">
        <v>138</v>
      </c>
      <c r="B143" t="inlineStr">
        <is>
          <t>Jupiter Wagons Ltd.</t>
        </is>
      </c>
      <c r="C143" t="inlineStr">
        <is>
          <t>JWL</t>
        </is>
      </c>
      <c r="D143" t="inlineStr">
        <is>
          <t>Capital Goods</t>
        </is>
      </c>
    </row>
    <row r="144">
      <c r="A144" t="n">
        <v>139</v>
      </c>
      <c r="B144" t="inlineStr">
        <is>
          <t>Jyoti CNC Automation Ltd.</t>
        </is>
      </c>
      <c r="C144" t="inlineStr">
        <is>
          <t>JYOTICNC</t>
        </is>
      </c>
      <c r="D144" t="inlineStr">
        <is>
          <t>Capital Goods</t>
        </is>
      </c>
    </row>
    <row r="145">
      <c r="A145" t="n">
        <v>140</v>
      </c>
      <c r="B145" t="inlineStr">
        <is>
          <t>Kajaria Ceramics Ltd.</t>
        </is>
      </c>
      <c r="C145" t="inlineStr">
        <is>
          <t>KAJARIACER</t>
        </is>
      </c>
      <c r="D145" t="inlineStr">
        <is>
          <t>Consumer Durables</t>
        </is>
      </c>
    </row>
    <row r="146">
      <c r="A146" t="n">
        <v>141</v>
      </c>
      <c r="B146" t="inlineStr">
        <is>
          <t>Kalpataru Projects International Ltd.</t>
        </is>
      </c>
      <c r="C146" t="inlineStr">
        <is>
          <t>KPIL</t>
        </is>
      </c>
      <c r="D146" t="inlineStr">
        <is>
          <t>Construction</t>
        </is>
      </c>
    </row>
    <row r="147">
      <c r="A147" t="n">
        <v>142</v>
      </c>
      <c r="B147" t="inlineStr">
        <is>
          <t>Karur Vysya Bank Ltd.</t>
        </is>
      </c>
      <c r="C147" t="inlineStr">
        <is>
          <t>KARURVYSYA</t>
        </is>
      </c>
      <c r="D147" t="inlineStr">
        <is>
          <t>Financial Services</t>
        </is>
      </c>
    </row>
    <row r="148">
      <c r="A148" t="n">
        <v>143</v>
      </c>
      <c r="B148" t="inlineStr">
        <is>
          <t>Kaynes Technology India Ltd.</t>
        </is>
      </c>
      <c r="C148" t="inlineStr">
        <is>
          <t>KAYNES</t>
        </is>
      </c>
      <c r="D148" t="inlineStr">
        <is>
          <t>Capital Goods</t>
        </is>
      </c>
    </row>
    <row r="149">
      <c r="A149" t="n">
        <v>144</v>
      </c>
      <c r="B149" t="inlineStr">
        <is>
          <t>Kec International Ltd.</t>
        </is>
      </c>
      <c r="C149" t="inlineStr">
        <is>
          <t>KEC</t>
        </is>
      </c>
      <c r="D149" t="inlineStr">
        <is>
          <t>Construction</t>
        </is>
      </c>
    </row>
    <row r="150">
      <c r="A150" t="n">
        <v>145</v>
      </c>
      <c r="B150" t="inlineStr">
        <is>
          <t>Kfin Technologies Ltd.</t>
        </is>
      </c>
      <c r="C150" t="inlineStr">
        <is>
          <t>KFINTECH</t>
        </is>
      </c>
      <c r="D150" t="inlineStr">
        <is>
          <t>Financial Services</t>
        </is>
      </c>
    </row>
    <row r="151">
      <c r="A151" t="n">
        <v>146</v>
      </c>
      <c r="B151" t="inlineStr">
        <is>
          <t>Kirloskar Brothers Ltd.</t>
        </is>
      </c>
      <c r="C151" t="inlineStr">
        <is>
          <t>KIRLOSBROS</t>
        </is>
      </c>
      <c r="D151" t="inlineStr">
        <is>
          <t>Capital Goods</t>
        </is>
      </c>
    </row>
    <row r="152">
      <c r="A152" t="n">
        <v>147</v>
      </c>
      <c r="B152" t="inlineStr">
        <is>
          <t>Kirloskar Oil Eng Ltd.</t>
        </is>
      </c>
      <c r="C152" t="inlineStr">
        <is>
          <t>KIRLOSENG</t>
        </is>
      </c>
      <c r="D152" t="inlineStr">
        <is>
          <t>Capital Goods</t>
        </is>
      </c>
    </row>
    <row r="153">
      <c r="A153" t="n">
        <v>148</v>
      </c>
      <c r="B153" t="inlineStr">
        <is>
          <t>KPIT Technologies Ltd.</t>
        </is>
      </c>
      <c r="C153" t="inlineStr">
        <is>
          <t>KPITTECH</t>
        </is>
      </c>
      <c r="D153" t="inlineStr">
        <is>
          <t>Information Technology</t>
        </is>
      </c>
    </row>
    <row r="154">
      <c r="A154" t="n">
        <v>149</v>
      </c>
      <c r="B154" t="inlineStr">
        <is>
          <t>Krishna Institute of Medical Sciences Ltd.</t>
        </is>
      </c>
      <c r="C154" t="inlineStr">
        <is>
          <t>KIMS</t>
        </is>
      </c>
      <c r="D154" t="inlineStr">
        <is>
          <t>Healthcare</t>
        </is>
      </c>
    </row>
    <row r="155">
      <c r="A155" t="n">
        <v>150</v>
      </c>
      <c r="B155" t="inlineStr">
        <is>
          <t>KSB Ltd.</t>
        </is>
      </c>
      <c r="C155" t="inlineStr">
        <is>
          <t>KSB</t>
        </is>
      </c>
      <c r="D155" t="inlineStr">
        <is>
          <t>Capital Goods</t>
        </is>
      </c>
    </row>
    <row r="156">
      <c r="A156" t="n">
        <v>151</v>
      </c>
      <c r="B156" t="inlineStr">
        <is>
          <t>Lemon Tree Hotels Ltd.</t>
        </is>
      </c>
      <c r="C156" t="inlineStr">
        <is>
          <t>LEMONTREE</t>
        </is>
      </c>
      <c r="D156" t="inlineStr">
        <is>
          <t>Consumer Services</t>
        </is>
      </c>
    </row>
    <row r="157">
      <c r="A157" t="n">
        <v>152</v>
      </c>
      <c r="B157" t="inlineStr">
        <is>
          <t>LT Foods Ltd.</t>
        </is>
      </c>
      <c r="C157" t="inlineStr">
        <is>
          <t>LTFOODS</t>
        </is>
      </c>
      <c r="D157" t="inlineStr">
        <is>
          <t>Fast Moving Consumer Goods</t>
        </is>
      </c>
    </row>
    <row r="158">
      <c r="A158" t="n">
        <v>153</v>
      </c>
      <c r="B158" t="inlineStr">
        <is>
          <t>Mahanagar Gas Ltd.</t>
        </is>
      </c>
      <c r="C158" t="inlineStr">
        <is>
          <t>MGL</t>
        </is>
      </c>
      <c r="D158" t="inlineStr">
        <is>
          <t>Oil Gas &amp; Consumable Fuels</t>
        </is>
      </c>
    </row>
    <row r="159">
      <c r="A159" t="n">
        <v>154</v>
      </c>
      <c r="B159" t="inlineStr">
        <is>
          <t>Manappuram Finance Ltd.</t>
        </is>
      </c>
      <c r="C159" t="inlineStr">
        <is>
          <t>MANAPPURAM</t>
        </is>
      </c>
      <c r="D159" t="inlineStr">
        <is>
          <t>Financial Services</t>
        </is>
      </c>
    </row>
    <row r="160">
      <c r="A160" t="n">
        <v>155</v>
      </c>
      <c r="B160" t="inlineStr">
        <is>
          <t>Mangalore Refinery &amp; Petrochemicals Ltd.</t>
        </is>
      </c>
      <c r="C160" t="inlineStr">
        <is>
          <t>MRPL</t>
        </is>
      </c>
      <c r="D160" t="inlineStr">
        <is>
          <t>Oil Gas &amp; Consumable Fuels</t>
        </is>
      </c>
    </row>
    <row r="161">
      <c r="A161" t="n">
        <v>156</v>
      </c>
      <c r="B161" t="inlineStr">
        <is>
          <t>Minda Corporation Ltd.</t>
        </is>
      </c>
      <c r="C161" t="inlineStr">
        <is>
          <t>MINDACORP</t>
        </is>
      </c>
      <c r="D161" t="inlineStr">
        <is>
          <t>Automobile and Auto Components</t>
        </is>
      </c>
    </row>
    <row r="162">
      <c r="A162" t="n">
        <v>157</v>
      </c>
      <c r="B162" t="inlineStr">
        <is>
          <t>MMTC Ltd.</t>
        </is>
      </c>
      <c r="C162" t="inlineStr">
        <is>
          <t>MMTC</t>
        </is>
      </c>
      <c r="D162" t="inlineStr">
        <is>
          <t>Services</t>
        </is>
      </c>
    </row>
    <row r="163">
      <c r="A163" t="n">
        <v>158</v>
      </c>
      <c r="B163" t="inlineStr">
        <is>
          <t>Motherson Sumi Wiring India Ltd.</t>
        </is>
      </c>
      <c r="C163" t="inlineStr">
        <is>
          <t>MSUMI</t>
        </is>
      </c>
      <c r="D163" t="inlineStr">
        <is>
          <t>Automobile and Auto Components</t>
        </is>
      </c>
    </row>
    <row r="164">
      <c r="A164" t="n">
        <v>159</v>
      </c>
      <c r="B164" t="inlineStr">
        <is>
          <t>MTAR Technologies Ltd.</t>
        </is>
      </c>
      <c r="C164" t="inlineStr">
        <is>
          <t>MTARTECH</t>
        </is>
      </c>
      <c r="D164" t="inlineStr">
        <is>
          <t>Capital Goods</t>
        </is>
      </c>
    </row>
    <row r="165">
      <c r="A165" t="n">
        <v>160</v>
      </c>
      <c r="B165" t="inlineStr">
        <is>
          <t>NATCO Pharma Ltd.</t>
        </is>
      </c>
      <c r="C165" t="inlineStr">
        <is>
          <t>NATCOPHARM</t>
        </is>
      </c>
      <c r="D165" t="inlineStr">
        <is>
          <t>Healthcare</t>
        </is>
      </c>
    </row>
    <row r="166">
      <c r="A166" t="n">
        <v>161</v>
      </c>
      <c r="B166" t="inlineStr">
        <is>
          <t>Nava Ltd.</t>
        </is>
      </c>
      <c r="C166" t="inlineStr">
        <is>
          <t>NAVA</t>
        </is>
      </c>
      <c r="D166" t="inlineStr">
        <is>
          <t>Power</t>
        </is>
      </c>
    </row>
    <row r="167">
      <c r="A167" t="n">
        <v>162</v>
      </c>
      <c r="B167" t="inlineStr">
        <is>
          <t>Navin Fluorine International Ltd.</t>
        </is>
      </c>
      <c r="C167" t="inlineStr">
        <is>
          <t>NAVINFLUOR</t>
        </is>
      </c>
      <c r="D167" t="inlineStr">
        <is>
          <t>Chemicals</t>
        </is>
      </c>
    </row>
    <row r="168">
      <c r="A168" t="n">
        <v>163</v>
      </c>
      <c r="B168" t="inlineStr">
        <is>
          <t>NBCC (India) Ltd.</t>
        </is>
      </c>
      <c r="C168" t="inlineStr">
        <is>
          <t>NBCC</t>
        </is>
      </c>
      <c r="D168" t="inlineStr">
        <is>
          <t>Construction</t>
        </is>
      </c>
    </row>
    <row r="169">
      <c r="A169" t="n">
        <v>164</v>
      </c>
      <c r="B169" t="inlineStr">
        <is>
          <t>NCC Ltd.</t>
        </is>
      </c>
      <c r="C169" t="inlineStr">
        <is>
          <t>NCC</t>
        </is>
      </c>
      <c r="D169" t="inlineStr">
        <is>
          <t>Construction</t>
        </is>
      </c>
    </row>
    <row r="170">
      <c r="A170" t="n">
        <v>165</v>
      </c>
      <c r="B170" t="inlineStr">
        <is>
          <t>Netweb Technologies India Ltd.</t>
        </is>
      </c>
      <c r="C170" t="inlineStr">
        <is>
          <t>NETWEB</t>
        </is>
      </c>
      <c r="D170" t="inlineStr">
        <is>
          <t>Information Technology</t>
        </is>
      </c>
    </row>
    <row r="171">
      <c r="A171" t="n">
        <v>166</v>
      </c>
      <c r="B171" t="inlineStr">
        <is>
          <t>Neuland Laboratories Ltd.</t>
        </is>
      </c>
      <c r="C171" t="inlineStr">
        <is>
          <t>NEULANDLAB</t>
        </is>
      </c>
      <c r="D171" t="inlineStr">
        <is>
          <t>Healthcare</t>
        </is>
      </c>
    </row>
    <row r="172">
      <c r="A172" t="n">
        <v>167</v>
      </c>
      <c r="B172" t="inlineStr">
        <is>
          <t>NMDC Steel Ltd.</t>
        </is>
      </c>
      <c r="C172" t="inlineStr">
        <is>
          <t>NSLNISP</t>
        </is>
      </c>
      <c r="D172" t="inlineStr">
        <is>
          <t>Metals &amp; Mining</t>
        </is>
      </c>
    </row>
    <row r="173">
      <c r="A173" t="n">
        <v>168</v>
      </c>
      <c r="B173" t="inlineStr">
        <is>
          <t>Nuvama Wealth Management Ltd.</t>
        </is>
      </c>
      <c r="C173" t="inlineStr">
        <is>
          <t>NUVAMA</t>
        </is>
      </c>
      <c r="D173" t="inlineStr">
        <is>
          <t>Financial Services</t>
        </is>
      </c>
    </row>
    <row r="174">
      <c r="A174" t="n">
        <v>169</v>
      </c>
      <c r="B174" t="inlineStr">
        <is>
          <t>Nuvoco Vistas Corporation Ltd.</t>
        </is>
      </c>
      <c r="C174" t="inlineStr">
        <is>
          <t>NUVOCO</t>
        </is>
      </c>
      <c r="D174" t="inlineStr">
        <is>
          <t>Construction Materials</t>
        </is>
      </c>
    </row>
    <row r="175">
      <c r="A175" t="n">
        <v>170</v>
      </c>
      <c r="B175" t="inlineStr">
        <is>
          <t>Ola Electric Mobility Ltd.</t>
        </is>
      </c>
      <c r="C175" t="inlineStr">
        <is>
          <t>OLAELEC</t>
        </is>
      </c>
      <c r="D175" t="inlineStr">
        <is>
          <t>Automobile and Auto Components</t>
        </is>
      </c>
    </row>
    <row r="176">
      <c r="A176" t="n">
        <v>171</v>
      </c>
      <c r="B176" t="inlineStr">
        <is>
          <t>Olectra Greentech Ltd.</t>
        </is>
      </c>
      <c r="C176" t="inlineStr">
        <is>
          <t>OLECTRA</t>
        </is>
      </c>
      <c r="D176" t="inlineStr">
        <is>
          <t>Automobile and Auto Components</t>
        </is>
      </c>
    </row>
    <row r="177">
      <c r="A177" t="n">
        <v>172</v>
      </c>
      <c r="B177" t="inlineStr">
        <is>
          <t>Onesource Specialty Pharma Ltd.</t>
        </is>
      </c>
      <c r="C177" t="inlineStr">
        <is>
          <t>ONESOURCE</t>
        </is>
      </c>
      <c r="D177" t="inlineStr">
        <is>
          <t>Healthcare</t>
        </is>
      </c>
    </row>
    <row r="178">
      <c r="A178" t="n">
        <v>173</v>
      </c>
      <c r="B178" t="inlineStr">
        <is>
          <t>Paradeep Phosphates Ltd.</t>
        </is>
      </c>
      <c r="C178" t="inlineStr">
        <is>
          <t>PARADEEP</t>
        </is>
      </c>
      <c r="D178" t="inlineStr">
        <is>
          <t>Chemicals</t>
        </is>
      </c>
    </row>
    <row r="179">
      <c r="A179" t="n">
        <v>174</v>
      </c>
      <c r="B179" t="inlineStr">
        <is>
          <t>PCBL Chemical Ltd.</t>
        </is>
      </c>
      <c r="C179" t="inlineStr">
        <is>
          <t>PCBL</t>
        </is>
      </c>
      <c r="D179" t="inlineStr">
        <is>
          <t>Chemicals</t>
        </is>
      </c>
    </row>
    <row r="180">
      <c r="A180" t="n">
        <v>175</v>
      </c>
      <c r="B180" t="inlineStr">
        <is>
          <t>PG Electroplast Ltd.</t>
        </is>
      </c>
      <c r="C180" t="inlineStr">
        <is>
          <t>PGEL</t>
        </is>
      </c>
      <c r="D180" t="inlineStr">
        <is>
          <t>Consumer Durables</t>
        </is>
      </c>
    </row>
    <row r="181">
      <c r="A181" t="n">
        <v>176</v>
      </c>
      <c r="B181" t="inlineStr">
        <is>
          <t>Physicswallah Ltd.</t>
        </is>
      </c>
      <c r="C181" t="inlineStr">
        <is>
          <t>PWL</t>
        </is>
      </c>
      <c r="D181" t="inlineStr">
        <is>
          <t>Consumer Services</t>
        </is>
      </c>
    </row>
    <row r="182">
      <c r="A182" t="n">
        <v>177</v>
      </c>
      <c r="B182" t="inlineStr">
        <is>
          <t>Pine Labs Ltd.</t>
        </is>
      </c>
      <c r="C182" t="inlineStr">
        <is>
          <t>PINELABS</t>
        </is>
      </c>
      <c r="D182" t="inlineStr">
        <is>
          <t>Financial Services</t>
        </is>
      </c>
    </row>
    <row r="183">
      <c r="A183" t="n">
        <v>178</v>
      </c>
      <c r="B183" t="inlineStr">
        <is>
          <t>Piramal Pharma Ltd.</t>
        </is>
      </c>
      <c r="C183" t="inlineStr">
        <is>
          <t>PPLPHARMA</t>
        </is>
      </c>
      <c r="D183" t="inlineStr">
        <is>
          <t>Healthcare</t>
        </is>
      </c>
    </row>
    <row r="184">
      <c r="A184" t="n">
        <v>179</v>
      </c>
      <c r="B184" t="inlineStr">
        <is>
          <t>PNB Housing Finance Ltd.</t>
        </is>
      </c>
      <c r="C184" t="inlineStr">
        <is>
          <t>PNBHOUSING</t>
        </is>
      </c>
      <c r="D184" t="inlineStr">
        <is>
          <t>Financial Services</t>
        </is>
      </c>
    </row>
    <row r="185">
      <c r="A185" t="n">
        <v>180</v>
      </c>
      <c r="B185" t="inlineStr">
        <is>
          <t>Poly Medicure Ltd.</t>
        </is>
      </c>
      <c r="C185" t="inlineStr">
        <is>
          <t>POLYMED</t>
        </is>
      </c>
      <c r="D185" t="inlineStr">
        <is>
          <t>Healthcare</t>
        </is>
      </c>
    </row>
    <row r="186">
      <c r="A186" t="n">
        <v>181</v>
      </c>
      <c r="B186" t="inlineStr">
        <is>
          <t>Poonawalla Fincorp Ltd.</t>
        </is>
      </c>
      <c r="C186" t="inlineStr">
        <is>
          <t>POONAWALLA</t>
        </is>
      </c>
      <c r="D186" t="inlineStr">
        <is>
          <t>Financial Services</t>
        </is>
      </c>
    </row>
    <row r="187">
      <c r="A187" t="n">
        <v>182</v>
      </c>
      <c r="B187" t="inlineStr">
        <is>
          <t>Prime Focus Ltd.</t>
        </is>
      </c>
      <c r="C187" t="inlineStr">
        <is>
          <t>PFOCUS</t>
        </is>
      </c>
      <c r="D187" t="inlineStr">
        <is>
          <t>Media Entertainment &amp; Publication</t>
        </is>
      </c>
    </row>
    <row r="188">
      <c r="A188" t="n">
        <v>183</v>
      </c>
      <c r="B188" t="inlineStr">
        <is>
          <t>Privi Speciality Chemicals Ltd.</t>
        </is>
      </c>
      <c r="C188" t="inlineStr">
        <is>
          <t>PRIVISCL</t>
        </is>
      </c>
      <c r="D188" t="inlineStr">
        <is>
          <t>Chemicals</t>
        </is>
      </c>
    </row>
    <row r="189">
      <c r="A189" t="n">
        <v>184</v>
      </c>
      <c r="B189" t="inlineStr">
        <is>
          <t>PTC Industries Ltd.</t>
        </is>
      </c>
      <c r="C189" t="inlineStr">
        <is>
          <t>PTCIL</t>
        </is>
      </c>
      <c r="D189" t="inlineStr">
        <is>
          <t>Capital Goods</t>
        </is>
      </c>
    </row>
    <row r="190">
      <c r="A190" t="n">
        <v>185</v>
      </c>
      <c r="B190" t="inlineStr">
        <is>
          <t>PVR INOX Ltd.</t>
        </is>
      </c>
      <c r="C190" t="inlineStr">
        <is>
          <t>PVRINOX</t>
        </is>
      </c>
      <c r="D190" t="inlineStr">
        <is>
          <t>Media Entertainment &amp; Publication</t>
        </is>
      </c>
    </row>
    <row r="191">
      <c r="A191" t="n">
        <v>186</v>
      </c>
      <c r="B191" t="inlineStr">
        <is>
          <t>R R Kabel Ltd.</t>
        </is>
      </c>
      <c r="C191" t="inlineStr">
        <is>
          <t>RRKABEL</t>
        </is>
      </c>
      <c r="D191" t="inlineStr">
        <is>
          <t>Capital Goods</t>
        </is>
      </c>
    </row>
    <row r="192">
      <c r="A192" t="n">
        <v>187</v>
      </c>
      <c r="B192" t="inlineStr">
        <is>
          <t>Railtel Corporation Of India Ltd.</t>
        </is>
      </c>
      <c r="C192" t="inlineStr">
        <is>
          <t>RAILTEL</t>
        </is>
      </c>
      <c r="D192" t="inlineStr">
        <is>
          <t>Telecommunication</t>
        </is>
      </c>
    </row>
    <row r="193">
      <c r="A193" t="n">
        <v>188</v>
      </c>
      <c r="B193" t="inlineStr">
        <is>
          <t>Rainbow Childrens Medicare Ltd.</t>
        </is>
      </c>
      <c r="C193" t="inlineStr">
        <is>
          <t>RAINBOW</t>
        </is>
      </c>
      <c r="D193" t="inlineStr">
        <is>
          <t>Healthcare</t>
        </is>
      </c>
    </row>
    <row r="194">
      <c r="A194" t="n">
        <v>189</v>
      </c>
      <c r="B194" t="inlineStr">
        <is>
          <t>Ramkrishna Forgings Ltd.</t>
        </is>
      </c>
      <c r="C194" t="inlineStr">
        <is>
          <t>RKFORGE</t>
        </is>
      </c>
      <c r="D194" t="inlineStr">
        <is>
          <t>Automobile and Auto Components</t>
        </is>
      </c>
    </row>
    <row r="195">
      <c r="A195" t="n">
        <v>190</v>
      </c>
      <c r="B195" t="inlineStr">
        <is>
          <t>RBL Bank Ltd.</t>
        </is>
      </c>
      <c r="C195" t="inlineStr">
        <is>
          <t>RBLBANK</t>
        </is>
      </c>
      <c r="D195" t="inlineStr">
        <is>
          <t>Financial Services</t>
        </is>
      </c>
    </row>
    <row r="196">
      <c r="A196" t="n">
        <v>191</v>
      </c>
      <c r="B196" t="inlineStr">
        <is>
          <t>Redington Ltd.</t>
        </is>
      </c>
      <c r="C196" t="inlineStr">
        <is>
          <t>REDINGTON</t>
        </is>
      </c>
      <c r="D196" t="inlineStr">
        <is>
          <t>Services</t>
        </is>
      </c>
    </row>
    <row r="197">
      <c r="A197" t="n">
        <v>192</v>
      </c>
      <c r="B197" t="inlineStr">
        <is>
          <t>Reliance Power Ltd.</t>
        </is>
      </c>
      <c r="C197" t="inlineStr">
        <is>
          <t>RPOWER</t>
        </is>
      </c>
      <c r="D197" t="inlineStr">
        <is>
          <t>Power</t>
        </is>
      </c>
    </row>
    <row r="198">
      <c r="A198" t="n">
        <v>193</v>
      </c>
      <c r="B198" t="inlineStr">
        <is>
          <t>RHI MAGNESITA INDIA LTD.</t>
        </is>
      </c>
      <c r="C198" t="inlineStr">
        <is>
          <t>RHIM</t>
        </is>
      </c>
      <c r="D198" t="inlineStr">
        <is>
          <t>Capital Goods</t>
        </is>
      </c>
    </row>
    <row r="199">
      <c r="A199" t="n">
        <v>194</v>
      </c>
      <c r="B199" t="inlineStr">
        <is>
          <t>RITES Ltd.</t>
        </is>
      </c>
      <c r="C199" t="inlineStr">
        <is>
          <t>RITES</t>
        </is>
      </c>
      <c r="D199" t="inlineStr">
        <is>
          <t>Construction</t>
        </is>
      </c>
    </row>
    <row r="200">
      <c r="A200" t="n">
        <v>195</v>
      </c>
      <c r="B200" t="inlineStr">
        <is>
          <t>Rubicon Research Ltd.</t>
        </is>
      </c>
      <c r="C200" t="inlineStr">
        <is>
          <t>RUBICON</t>
        </is>
      </c>
      <c r="D200" t="inlineStr">
        <is>
          <t>Healthcare</t>
        </is>
      </c>
    </row>
    <row r="201">
      <c r="A201" t="n">
        <v>196</v>
      </c>
      <c r="B201" t="inlineStr">
        <is>
          <t>Sagility Ltd.</t>
        </is>
      </c>
      <c r="C201" t="inlineStr">
        <is>
          <t>SAGILITY</t>
        </is>
      </c>
      <c r="D201" t="inlineStr">
        <is>
          <t>Information Technology</t>
        </is>
      </c>
    </row>
    <row r="202">
      <c r="A202" t="n">
        <v>197</v>
      </c>
      <c r="B202" t="inlineStr">
        <is>
          <t>Sai Life Sciences Ltd.</t>
        </is>
      </c>
      <c r="C202" t="inlineStr">
        <is>
          <t>SAILIFE</t>
        </is>
      </c>
      <c r="D202" t="inlineStr">
        <is>
          <t>Healthcare</t>
        </is>
      </c>
    </row>
    <row r="203">
      <c r="A203" t="n">
        <v>198</v>
      </c>
      <c r="B203" t="inlineStr">
        <is>
          <t>Sammaan Capital Ltd.</t>
        </is>
      </c>
      <c r="C203" t="inlineStr">
        <is>
          <t>SAMMAANCAP</t>
        </is>
      </c>
      <c r="D203" t="inlineStr">
        <is>
          <t>Financial Services</t>
        </is>
      </c>
    </row>
    <row r="204">
      <c r="A204" t="n">
        <v>199</v>
      </c>
      <c r="B204" t="inlineStr">
        <is>
          <t>Sansera Engineering Ltd.</t>
        </is>
      </c>
      <c r="C204" t="inlineStr">
        <is>
          <t>SANSERA</t>
        </is>
      </c>
      <c r="D204" t="inlineStr">
        <is>
          <t>Automobile and Auto Components</t>
        </is>
      </c>
    </row>
    <row r="205">
      <c r="A205" t="n">
        <v>200</v>
      </c>
      <c r="B205" t="inlineStr">
        <is>
          <t>Sarda Energy and Minerals Ltd.</t>
        </is>
      </c>
      <c r="C205" t="inlineStr">
        <is>
          <t>SARDAEN</t>
        </is>
      </c>
      <c r="D205" t="inlineStr">
        <is>
          <t>Metals &amp; Mining</t>
        </is>
      </c>
    </row>
    <row r="206">
      <c r="A206" t="n">
        <v>201</v>
      </c>
      <c r="B206" t="inlineStr">
        <is>
          <t>Schneider Electric Infrastructure Ltd.</t>
        </is>
      </c>
      <c r="C206" t="inlineStr">
        <is>
          <t>SCHNEIDER</t>
        </is>
      </c>
      <c r="D206" t="inlineStr">
        <is>
          <t>Capital Goods</t>
        </is>
      </c>
    </row>
    <row r="207">
      <c r="A207" t="n">
        <v>202</v>
      </c>
      <c r="B207" t="inlineStr">
        <is>
          <t>Shipping Corporation of India Ltd.</t>
        </is>
      </c>
      <c r="C207" t="inlineStr">
        <is>
          <t>SCI</t>
        </is>
      </c>
      <c r="D207" t="inlineStr">
        <is>
          <t>Services</t>
        </is>
      </c>
    </row>
    <row r="208">
      <c r="A208" t="n">
        <v>203</v>
      </c>
      <c r="B208" t="inlineStr">
        <is>
          <t>Shyam Metalics and Energy Ltd.</t>
        </is>
      </c>
      <c r="C208" t="inlineStr">
        <is>
          <t>SHYAMMETL</t>
        </is>
      </c>
      <c r="D208" t="inlineStr">
        <is>
          <t>Capital Goods</t>
        </is>
      </c>
    </row>
    <row r="209">
      <c r="A209" t="n">
        <v>204</v>
      </c>
      <c r="B209" t="inlineStr">
        <is>
          <t>Signatureglobal (India) Ltd.</t>
        </is>
      </c>
      <c r="C209" t="inlineStr">
        <is>
          <t>SIGNATURE</t>
        </is>
      </c>
      <c r="D209" t="inlineStr">
        <is>
          <t>Realty</t>
        </is>
      </c>
    </row>
    <row r="210">
      <c r="A210" t="n">
        <v>205</v>
      </c>
      <c r="B210" t="inlineStr">
        <is>
          <t>SJVN Ltd.</t>
        </is>
      </c>
      <c r="C210" t="inlineStr">
        <is>
          <t>SJVN</t>
        </is>
      </c>
      <c r="D210" t="inlineStr">
        <is>
          <t>Power</t>
        </is>
      </c>
    </row>
    <row r="211">
      <c r="A211" t="n">
        <v>206</v>
      </c>
      <c r="B211" t="inlineStr">
        <is>
          <t>Sobha Ltd.</t>
        </is>
      </c>
      <c r="C211" t="inlineStr">
        <is>
          <t>SOBHA</t>
        </is>
      </c>
      <c r="D211" t="inlineStr">
        <is>
          <t>Realty</t>
        </is>
      </c>
    </row>
    <row r="212">
      <c r="A212" t="n">
        <v>207</v>
      </c>
      <c r="B212" t="inlineStr">
        <is>
          <t>Sona BLW Precision Forgings Ltd.</t>
        </is>
      </c>
      <c r="C212" t="inlineStr">
        <is>
          <t>SONACOMS</t>
        </is>
      </c>
      <c r="D212" t="inlineStr">
        <is>
          <t>Automobile and Auto Components</t>
        </is>
      </c>
    </row>
    <row r="213">
      <c r="A213" t="n">
        <v>208</v>
      </c>
      <c r="B213" t="inlineStr">
        <is>
          <t>SPR Auto Technologies Ltd.</t>
        </is>
      </c>
      <c r="C213" t="inlineStr">
        <is>
          <t>SHRIPISTON</t>
        </is>
      </c>
      <c r="D213" t="inlineStr">
        <is>
          <t>Automobile and Auto Components</t>
        </is>
      </c>
    </row>
    <row r="214">
      <c r="A214" t="n">
        <v>209</v>
      </c>
      <c r="B214" t="inlineStr">
        <is>
          <t>Star Health and Allied Insurance Company Ltd.</t>
        </is>
      </c>
      <c r="C214" t="inlineStr">
        <is>
          <t>STARHEALTH</t>
        </is>
      </c>
      <c r="D214" t="inlineStr">
        <is>
          <t>Financial Services</t>
        </is>
      </c>
    </row>
    <row r="215">
      <c r="A215" t="n">
        <v>210</v>
      </c>
      <c r="B215" t="inlineStr">
        <is>
          <t>Sterlite Technologies Ltd.</t>
        </is>
      </c>
      <c r="C215" t="inlineStr">
        <is>
          <t>STLTECH</t>
        </is>
      </c>
      <c r="D215" t="inlineStr">
        <is>
          <t>Telecommunication</t>
        </is>
      </c>
    </row>
    <row r="216">
      <c r="A216" t="n">
        <v>211</v>
      </c>
      <c r="B216" t="inlineStr">
        <is>
          <t>Sumitomo Chemical India Ltd.</t>
        </is>
      </c>
      <c r="C216" t="inlineStr">
        <is>
          <t>SUMICHEM</t>
        </is>
      </c>
      <c r="D216" t="inlineStr">
        <is>
          <t>Chemicals</t>
        </is>
      </c>
    </row>
    <row r="217">
      <c r="A217" t="n">
        <v>212</v>
      </c>
      <c r="B217" t="inlineStr">
        <is>
          <t>Sun TV Network Ltd.</t>
        </is>
      </c>
      <c r="C217" t="inlineStr">
        <is>
          <t>SUNTV</t>
        </is>
      </c>
      <c r="D217" t="inlineStr">
        <is>
          <t>Media Entertainment &amp; Publication</t>
        </is>
      </c>
    </row>
    <row r="218">
      <c r="A218" t="n">
        <v>213</v>
      </c>
      <c r="B218" t="inlineStr">
        <is>
          <t>Swan Corp Ltd.</t>
        </is>
      </c>
      <c r="C218" t="inlineStr">
        <is>
          <t>SWANCORP</t>
        </is>
      </c>
      <c r="D218" t="inlineStr">
        <is>
          <t>Chemicals</t>
        </is>
      </c>
    </row>
    <row r="219">
      <c r="A219" t="n">
        <v>214</v>
      </c>
      <c r="B219" t="inlineStr">
        <is>
          <t>Syngene International Ltd.</t>
        </is>
      </c>
      <c r="C219" t="inlineStr">
        <is>
          <t>SYNGENE</t>
        </is>
      </c>
      <c r="D219" t="inlineStr">
        <is>
          <t>Healthcare</t>
        </is>
      </c>
    </row>
    <row r="220">
      <c r="A220" t="n">
        <v>215</v>
      </c>
      <c r="B220" t="inlineStr">
        <is>
          <t>Syrma SGS Technology Ltd.</t>
        </is>
      </c>
      <c r="C220" t="inlineStr">
        <is>
          <t>SYRMA</t>
        </is>
      </c>
      <c r="D220" t="inlineStr">
        <is>
          <t>Capital Goods</t>
        </is>
      </c>
    </row>
    <row r="221">
      <c r="A221" t="n">
        <v>216</v>
      </c>
      <c r="B221" t="inlineStr">
        <is>
          <t>Tata Chemicals Ltd.</t>
        </is>
      </c>
      <c r="C221" t="inlineStr">
        <is>
          <t>TATACHEM</t>
        </is>
      </c>
      <c r="D221" t="inlineStr">
        <is>
          <t>Chemicals</t>
        </is>
      </c>
    </row>
    <row r="222">
      <c r="A222" t="n">
        <v>217</v>
      </c>
      <c r="B222" t="inlineStr">
        <is>
          <t>Tata Elxsi Ltd.</t>
        </is>
      </c>
      <c r="C222" t="inlineStr">
        <is>
          <t>TATAELXSI</t>
        </is>
      </c>
      <c r="D222" t="inlineStr">
        <is>
          <t>Information Technology</t>
        </is>
      </c>
    </row>
    <row r="223">
      <c r="A223" t="n">
        <v>218</v>
      </c>
      <c r="B223" t="inlineStr">
        <is>
          <t>Tata Technologies Ltd.</t>
        </is>
      </c>
      <c r="C223" t="inlineStr">
        <is>
          <t>TATATECH</t>
        </is>
      </c>
      <c r="D223" t="inlineStr">
        <is>
          <t>Information Technology</t>
        </is>
      </c>
    </row>
    <row r="224">
      <c r="A224" t="n">
        <v>219</v>
      </c>
      <c r="B224" t="inlineStr">
        <is>
          <t>Tata Teleservices (Maharashtra) Ltd.</t>
        </is>
      </c>
      <c r="C224" t="inlineStr">
        <is>
          <t>TTML</t>
        </is>
      </c>
      <c r="D224" t="inlineStr">
        <is>
          <t>Telecommunication</t>
        </is>
      </c>
    </row>
    <row r="225">
      <c r="A225" t="n">
        <v>220</v>
      </c>
      <c r="B225" t="inlineStr">
        <is>
          <t>TBO Tek Ltd.</t>
        </is>
      </c>
      <c r="C225" t="inlineStr">
        <is>
          <t>TBOTEK</t>
        </is>
      </c>
      <c r="D225" t="inlineStr">
        <is>
          <t>Consumer Services</t>
        </is>
      </c>
    </row>
    <row r="226">
      <c r="A226" t="n">
        <v>221</v>
      </c>
      <c r="B226" t="inlineStr">
        <is>
          <t>TD Power Systems Ltd.</t>
        </is>
      </c>
      <c r="C226" t="inlineStr">
        <is>
          <t>TDPOWERSYS</t>
        </is>
      </c>
      <c r="D226" t="inlineStr">
        <is>
          <t>Capital Goods</t>
        </is>
      </c>
    </row>
    <row r="227">
      <c r="A227" t="n">
        <v>222</v>
      </c>
      <c r="B227" t="inlineStr">
        <is>
          <t>Techno Electric &amp; Engineering Company Ltd.</t>
        </is>
      </c>
      <c r="C227" t="inlineStr">
        <is>
          <t>TECHNOE</t>
        </is>
      </c>
      <c r="D227" t="inlineStr">
        <is>
          <t>Construction</t>
        </is>
      </c>
    </row>
    <row r="228">
      <c r="A228" t="n">
        <v>223</v>
      </c>
      <c r="B228" t="inlineStr">
        <is>
          <t>Tega Industries Ltd.</t>
        </is>
      </c>
      <c r="C228" t="inlineStr">
        <is>
          <t>TEGA</t>
        </is>
      </c>
      <c r="D228" t="inlineStr">
        <is>
          <t>Capital Goods</t>
        </is>
      </c>
    </row>
    <row r="229">
      <c r="A229" t="n">
        <v>224</v>
      </c>
      <c r="B229" t="inlineStr">
        <is>
          <t>Tejas Networks Ltd.</t>
        </is>
      </c>
      <c r="C229" t="inlineStr">
        <is>
          <t>TEJASNET</t>
        </is>
      </c>
      <c r="D229" t="inlineStr">
        <is>
          <t>Telecommunication</t>
        </is>
      </c>
    </row>
    <row r="230">
      <c r="A230" t="n">
        <v>225</v>
      </c>
      <c r="B230" t="inlineStr">
        <is>
          <t>Tenneco Clean Air India Ltd.</t>
        </is>
      </c>
      <c r="C230" t="inlineStr">
        <is>
          <t>TENNIND</t>
        </is>
      </c>
      <c r="D230" t="inlineStr">
        <is>
          <t>Automobile and Auto Components</t>
        </is>
      </c>
    </row>
    <row r="231">
      <c r="A231" t="n">
        <v>226</v>
      </c>
      <c r="B231" t="inlineStr">
        <is>
          <t>Thangamayil Jewellery Ltd.</t>
        </is>
      </c>
      <c r="C231" t="inlineStr">
        <is>
          <t>THANGAMAYL</t>
        </is>
      </c>
      <c r="D231" t="inlineStr">
        <is>
          <t>Consumer Durables</t>
        </is>
      </c>
    </row>
    <row r="232">
      <c r="A232" t="n">
        <v>227</v>
      </c>
      <c r="B232" t="inlineStr">
        <is>
          <t>The New India Assurance Company Ltd.</t>
        </is>
      </c>
      <c r="C232" t="inlineStr">
        <is>
          <t>NIACL</t>
        </is>
      </c>
      <c r="D232" t="inlineStr">
        <is>
          <t>Financial Services</t>
        </is>
      </c>
    </row>
    <row r="233">
      <c r="A233" t="n">
        <v>228</v>
      </c>
      <c r="B233" t="inlineStr">
        <is>
          <t>The Ramco Cements Ltd.</t>
        </is>
      </c>
      <c r="C233" t="inlineStr">
        <is>
          <t>RAMCOCEM</t>
        </is>
      </c>
      <c r="D233" t="inlineStr">
        <is>
          <t>Construction Materials</t>
        </is>
      </c>
    </row>
    <row r="234">
      <c r="A234" t="n">
        <v>229</v>
      </c>
      <c r="B234" t="inlineStr">
        <is>
          <t>Timken India Ltd.</t>
        </is>
      </c>
      <c r="C234" t="inlineStr">
        <is>
          <t>TIMKEN</t>
        </is>
      </c>
      <c r="D234" t="inlineStr">
        <is>
          <t>Capital Goods</t>
        </is>
      </c>
    </row>
    <row r="235">
      <c r="A235" t="n">
        <v>230</v>
      </c>
      <c r="B235" t="inlineStr">
        <is>
          <t>Titagarh Rail Systems Ltd.</t>
        </is>
      </c>
      <c r="C235" t="inlineStr">
        <is>
          <t>TITAGARH</t>
        </is>
      </c>
      <c r="D235" t="inlineStr">
        <is>
          <t>Capital Goods</t>
        </is>
      </c>
    </row>
    <row r="236">
      <c r="A236" t="n">
        <v>231</v>
      </c>
      <c r="B236" t="inlineStr">
        <is>
          <t>Transformers And Rectifiers (India) Ltd.</t>
        </is>
      </c>
      <c r="C236" t="inlineStr">
        <is>
          <t>TARIL</t>
        </is>
      </c>
      <c r="D236" t="inlineStr">
        <is>
          <t>Capital Goods</t>
        </is>
      </c>
    </row>
    <row r="237">
      <c r="A237" t="n">
        <v>232</v>
      </c>
      <c r="B237" t="inlineStr">
        <is>
          <t>Trident Ltd.</t>
        </is>
      </c>
      <c r="C237" t="inlineStr">
        <is>
          <t>TRIDENT</t>
        </is>
      </c>
      <c r="D237" t="inlineStr">
        <is>
          <t>Textiles</t>
        </is>
      </c>
    </row>
    <row r="238">
      <c r="A238" t="n">
        <v>233</v>
      </c>
      <c r="B238" t="inlineStr">
        <is>
          <t>Triveni Turbine Ltd.</t>
        </is>
      </c>
      <c r="C238" t="inlineStr">
        <is>
          <t>TRITURBINE</t>
        </is>
      </c>
      <c r="D238" t="inlineStr">
        <is>
          <t>Capital Goods</t>
        </is>
      </c>
    </row>
    <row r="239">
      <c r="A239" t="n">
        <v>234</v>
      </c>
      <c r="B239" t="inlineStr">
        <is>
          <t>UCO Bank</t>
        </is>
      </c>
      <c r="C239" t="inlineStr">
        <is>
          <t>UCOBANK</t>
        </is>
      </c>
      <c r="D239" t="inlineStr">
        <is>
          <t>Financial Services</t>
        </is>
      </c>
    </row>
    <row r="240">
      <c r="A240" t="n">
        <v>235</v>
      </c>
      <c r="B240" t="inlineStr">
        <is>
          <t>Urban Company Ltd.</t>
        </is>
      </c>
      <c r="C240" t="inlineStr">
        <is>
          <t>URBANCO</t>
        </is>
      </c>
      <c r="D240" t="inlineStr">
        <is>
          <t>Consumer Services</t>
        </is>
      </c>
    </row>
    <row r="241">
      <c r="A241" t="n">
        <v>236</v>
      </c>
      <c r="B241" t="inlineStr">
        <is>
          <t>Usha Martin Ltd.</t>
        </is>
      </c>
      <c r="C241" t="inlineStr">
        <is>
          <t>USHAMART</t>
        </is>
      </c>
      <c r="D241" t="inlineStr">
        <is>
          <t>Capital Goods</t>
        </is>
      </c>
    </row>
    <row r="242">
      <c r="A242" t="n">
        <v>237</v>
      </c>
      <c r="B242" t="inlineStr">
        <is>
          <t>UTI Asset Management Company Ltd.</t>
        </is>
      </c>
      <c r="C242" t="inlineStr">
        <is>
          <t>UTIAMC</t>
        </is>
      </c>
      <c r="D242" t="inlineStr">
        <is>
          <t>Financial Services</t>
        </is>
      </c>
    </row>
    <row r="243">
      <c r="A243" t="n">
        <v>238</v>
      </c>
      <c r="B243" t="inlineStr">
        <is>
          <t>Vardhman Textiles Ltd.</t>
        </is>
      </c>
      <c r="C243" t="inlineStr">
        <is>
          <t>VTL</t>
        </is>
      </c>
      <c r="D243" t="inlineStr">
        <is>
          <t>Textiles</t>
        </is>
      </c>
    </row>
    <row r="244">
      <c r="A244" t="n">
        <v>239</v>
      </c>
      <c r="B244" t="inlineStr">
        <is>
          <t>Vedanta Iron and Steel Ltd.</t>
        </is>
      </c>
      <c r="C244" t="inlineStr">
        <is>
          <t>VISL</t>
        </is>
      </c>
      <c r="D244" t="inlineStr">
        <is>
          <t>Metals &amp; Mining</t>
        </is>
      </c>
    </row>
    <row r="245">
      <c r="A245" t="n">
        <v>240</v>
      </c>
      <c r="B245" t="inlineStr">
        <is>
          <t>Vedanta Oil and Gas Ltd.</t>
        </is>
      </c>
      <c r="C245" t="inlineStr">
        <is>
          <t>VOGL</t>
        </is>
      </c>
      <c r="D245" t="inlineStr">
        <is>
          <t>Oil Gas &amp; Consumable Fuels</t>
        </is>
      </c>
    </row>
    <row r="246">
      <c r="A246" t="n">
        <v>241</v>
      </c>
      <c r="B246" t="inlineStr">
        <is>
          <t>Vedanta Power Ltd.</t>
        </is>
      </c>
      <c r="C246" t="inlineStr">
        <is>
          <t>VEDPOWER</t>
        </is>
      </c>
      <c r="D246" t="inlineStr">
        <is>
          <t>Power</t>
        </is>
      </c>
    </row>
    <row r="247">
      <c r="A247" t="n">
        <v>242</v>
      </c>
      <c r="B247" t="inlineStr">
        <is>
          <t>Vijaya Diagnostic Centre Ltd.</t>
        </is>
      </c>
      <c r="C247" t="inlineStr">
        <is>
          <t>VIJAYA</t>
        </is>
      </c>
      <c r="D247" t="inlineStr">
        <is>
          <t>Healthcare</t>
        </is>
      </c>
    </row>
    <row r="248">
      <c r="A248" t="n">
        <v>243</v>
      </c>
      <c r="B248" t="inlineStr">
        <is>
          <t>Welspun Corp Ltd.</t>
        </is>
      </c>
      <c r="C248" t="inlineStr">
        <is>
          <t>WELCORP</t>
        </is>
      </c>
      <c r="D248" t="inlineStr">
        <is>
          <t>Capital Goods</t>
        </is>
      </c>
    </row>
    <row r="249">
      <c r="A249" t="n">
        <v>244</v>
      </c>
      <c r="B249" t="inlineStr">
        <is>
          <t>Welspun Living Ltd.</t>
        </is>
      </c>
      <c r="C249" t="inlineStr">
        <is>
          <t>WELSPUNLIV</t>
        </is>
      </c>
      <c r="D249" t="inlineStr">
        <is>
          <t>Textiles</t>
        </is>
      </c>
    </row>
    <row r="250">
      <c r="A250" t="n">
        <v>245</v>
      </c>
      <c r="B250" t="inlineStr">
        <is>
          <t>Whirlpool of India Ltd.</t>
        </is>
      </c>
      <c r="C250" t="inlineStr">
        <is>
          <t>WHIRLPOOL</t>
        </is>
      </c>
      <c r="D250" t="inlineStr">
        <is>
          <t>Consumer Durables</t>
        </is>
      </c>
    </row>
    <row r="251">
      <c r="A251" t="n">
        <v>246</v>
      </c>
      <c r="B251" t="inlineStr">
        <is>
          <t>Wockhardt Ltd.</t>
        </is>
      </c>
      <c r="C251" t="inlineStr">
        <is>
          <t>WOCKPHARMA</t>
        </is>
      </c>
      <c r="D251" t="inlineStr">
        <is>
          <t>Healthcare</t>
        </is>
      </c>
    </row>
    <row r="252">
      <c r="A252" t="n">
        <v>247</v>
      </c>
      <c r="B252" t="inlineStr">
        <is>
          <t>Zee Entertainment Enterprises Ltd.</t>
        </is>
      </c>
      <c r="C252" t="inlineStr">
        <is>
          <t>ZEEL</t>
        </is>
      </c>
      <c r="D252" t="inlineStr">
        <is>
          <t>Media Entertainment &amp; Publication</t>
        </is>
      </c>
    </row>
    <row r="253">
      <c r="A253" t="n">
        <v>248</v>
      </c>
      <c r="B253" t="inlineStr">
        <is>
          <t>Zen Technologies Ltd.</t>
        </is>
      </c>
      <c r="C253" t="inlineStr">
        <is>
          <t>ZENTEC</t>
        </is>
      </c>
      <c r="D253" t="inlineStr">
        <is>
          <t>Capital Goods</t>
        </is>
      </c>
    </row>
    <row r="254">
      <c r="A254" t="n">
        <v>249</v>
      </c>
      <c r="B254" t="inlineStr">
        <is>
          <t>Zensar Technolgies Ltd.</t>
        </is>
      </c>
      <c r="C254" t="inlineStr">
        <is>
          <t>ZENSARTECH</t>
        </is>
      </c>
      <c r="D254" t="inlineStr">
        <is>
          <t>Information Technology</t>
        </is>
      </c>
    </row>
    <row r="255">
      <c r="A255" t="n">
        <v>250</v>
      </c>
      <c r="B255" t="inlineStr">
        <is>
          <t>ZF Commercial Vehicle Control Systems India Ltd.</t>
        </is>
      </c>
      <c r="C255" t="inlineStr">
        <is>
          <t>ZFCVINDIA</t>
        </is>
      </c>
      <c r="D255" t="inlineStr">
        <is>
          <t>Automobile and Auto Components</t>
        </is>
      </c>
    </row>
    <row r="256">
      <c r="A256" t="n">
        <v>251</v>
      </c>
      <c r="B256" t="inlineStr">
        <is>
          <t>Zydus Wellness Ltd.</t>
        </is>
      </c>
      <c r="C256" t="inlineStr">
        <is>
          <t>ZYDUSWELL</t>
        </is>
      </c>
      <c r="D256" t="inlineStr">
        <is>
          <t>Fast Moving Consumer Goods</t>
        </is>
      </c>
    </row>
  </sheetData>
  <mergeCells count="1">
    <mergeCell ref="A1:E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2026-10-15T17:22:35Z</dcterms:created>
  <dcterms:modified xsi:type="dcterms:W3CDTF">2026-10-15T17:23:02Z</dcterms:modified>
</cp:coreProperties>
</file>