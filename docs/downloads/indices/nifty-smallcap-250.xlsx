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  <sheet name="Composi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20" customWidth="1" min="7" max="7"/>
  </cols>
  <sheetData>
    <row r="1" ht="26" customHeight="1">
      <c r="A1" s="1" t="inlineStr">
        <is>
          <t>NIFTY Smallcap 250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18260.6</v>
      </c>
      <c r="D5" s="2" t="inlineStr">
        <is>
          <t>P/E</t>
        </is>
      </c>
      <c r="E5" s="25" t="n">
        <v>33.69</v>
      </c>
    </row>
    <row r="6">
      <c r="A6" s="2" t="inlineStr">
        <is>
          <t>P/E percentile</t>
        </is>
      </c>
      <c r="B6" s="26" t="n">
        <v>0.8560606060606061</v>
      </c>
      <c r="D6" s="2" t="inlineStr">
        <is>
          <t>Implied EPS</t>
        </is>
      </c>
      <c r="E6" s="27" t="n">
        <v>542.0184030869694</v>
      </c>
    </row>
    <row r="7">
      <c r="A7" s="2" t="inlineStr">
        <is>
          <t>YoY implied EPS growth</t>
        </is>
      </c>
      <c r="B7" s="26" t="n">
        <v>0.03460929246735867</v>
      </c>
      <c r="D7" s="2" t="inlineStr">
        <is>
          <t>Earnings yield</t>
        </is>
      </c>
      <c r="E7" s="10" t="n">
        <v>0.02968239833778569</v>
      </c>
    </row>
    <row r="8">
      <c r="A8" s="2" t="inlineStr">
        <is>
          <t>Valuation score</t>
        </is>
      </c>
      <c r="B8" s="28" t="n">
        <v>14.39393939393939</v>
      </c>
      <c r="D8" s="2" t="inlineStr">
        <is>
          <t>Growth score</t>
        </is>
      </c>
      <c r="E8" s="28" t="n">
        <v>33.84371698694346</v>
      </c>
    </row>
    <row r="9">
      <c r="A9" s="2" t="inlineStr">
        <is>
          <t>Composite score</t>
        </is>
      </c>
      <c r="B9" s="28" t="n">
        <v>20.22887267184061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19.5556260365986</v>
      </c>
      <c r="C13" s="15" t="n">
        <v>10599.50919572313</v>
      </c>
      <c r="D13" s="30" t="n">
        <v>-0.4195421182369071</v>
      </c>
    </row>
    <row r="14">
      <c r="A14" t="inlineStr">
        <is>
          <t>HOLD → SELL</t>
        </is>
      </c>
      <c r="B14" s="29" t="n">
        <v>29.42855106339088</v>
      </c>
      <c r="C14" s="15" t="n">
        <v>15950.81625254246</v>
      </c>
      <c r="D14" s="30" t="n">
        <v>-0.126490024832565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0.3295719527109662</v>
      </c>
      <c r="D18" s="30" t="n">
        <v>0.2073078798271832</v>
      </c>
      <c r="E18" s="30" t="n">
        <v>0.2720003028762281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0.3781194650837491</v>
      </c>
      <c r="D19" s="30" t="n">
        <v>0.2294095680841077</v>
      </c>
      <c r="E19" s="30" t="n">
        <v>0.2238763106553674</v>
      </c>
      <c r="F19" s="30" t="n"/>
      <c r="G19" s="30" t="n">
        <v>0</v>
      </c>
    </row>
    <row r="20">
      <c r="A20" t="inlineStr">
        <is>
          <t>Q3</t>
        </is>
      </c>
      <c r="B20" t="n">
        <v>9</v>
      </c>
      <c r="C20" s="30" t="n">
        <v>0.06154943566495508</v>
      </c>
      <c r="D20" s="30" t="n">
        <v>0.2528760332774094</v>
      </c>
      <c r="E20" s="30" t="n">
        <v>0.2939433270132285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-0.1026436006331097</v>
      </c>
      <c r="D21" s="30" t="n">
        <v>0.03906522624124564</v>
      </c>
      <c r="E21" s="30" t="n">
        <v>0.08584358183106056</v>
      </c>
      <c r="F21" s="30" t="n"/>
      <c r="G21" s="30" t="n">
        <v>0.5</v>
      </c>
    </row>
    <row r="22">
      <c r="A22" t="inlineStr">
        <is>
          <t>Q5 Most Expensive</t>
        </is>
      </c>
      <c r="B22" t="n">
        <v>9</v>
      </c>
      <c r="C22" s="30" t="n">
        <v>-0.01855918273507068</v>
      </c>
      <c r="D22" s="30" t="n">
        <v>0.03679800091898966</v>
      </c>
      <c r="E22" s="30" t="n">
        <v>0.1201445287607807</v>
      </c>
      <c r="F22" s="30" t="n">
        <v>0.1447144581788469</v>
      </c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39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7271.15</v>
      </c>
      <c r="C2" s="25" t="n">
        <v>48.01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8004.75</v>
      </c>
      <c r="C3" s="25" t="n">
        <v>41.78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8452.25</v>
      </c>
      <c r="C4" s="25" t="n">
        <v>36.81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9131.299999999999</v>
      </c>
      <c r="C5" s="25" t="n">
        <v>32.21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8854.85</v>
      </c>
      <c r="C6" s="25" t="n">
        <v>29.45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9364.5</v>
      </c>
      <c r="C7" s="25" t="n">
        <v>28.86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9376.85</v>
      </c>
      <c r="C8" s="25" t="n">
        <v>29.11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9336.200000000001</v>
      </c>
      <c r="C9" s="25" t="n">
        <v>29.34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9840</v>
      </c>
      <c r="C10" s="25" t="n">
        <v>31.04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9813.1</v>
      </c>
      <c r="C11" s="25" t="n">
        <v>30.31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8887.65</v>
      </c>
      <c r="C12" s="25" t="n">
        <v>26.16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9441.450000000001</v>
      </c>
      <c r="C13" s="25" t="n">
        <v>24.41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9493.299999999999</v>
      </c>
      <c r="C14" s="25" t="n">
        <v>24.46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8673.1</v>
      </c>
      <c r="C15" s="25" t="n">
        <v>20.91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8088.6</v>
      </c>
      <c r="C16" s="25" t="n">
        <v>19.63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8790.549999999999</v>
      </c>
      <c r="C17" s="25" t="n">
        <v>20.58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9285.799999999999</v>
      </c>
      <c r="C18" s="25" t="n">
        <v>19.35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9198.75</v>
      </c>
      <c r="C19" s="25" t="n">
        <v>18.82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9372</v>
      </c>
      <c r="C20" s="25" t="n">
        <v>19.05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9651.049999999999</v>
      </c>
      <c r="C21" s="25" t="n">
        <v>19.07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9481.25</v>
      </c>
      <c r="C22" s="25" t="n">
        <v>19.04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9261.700000000001</v>
      </c>
      <c r="C23" s="25" t="n">
        <v>18.48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8924.15</v>
      </c>
      <c r="C24" s="25" t="n">
        <v>17.77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8787.9</v>
      </c>
      <c r="C25" s="25" t="n">
        <v>16.94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9392.6</v>
      </c>
      <c r="C26" s="25" t="n">
        <v>18.23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9913.4</v>
      </c>
      <c r="C27" s="25" t="n">
        <v>19.5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10544.2</v>
      </c>
      <c r="C28" s="25" t="n">
        <v>20.79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11355</v>
      </c>
      <c r="C29" s="25" t="n">
        <v>22.67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11931.2</v>
      </c>
      <c r="C30" s="25" t="n">
        <v>24.05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12230.4</v>
      </c>
      <c r="C31" s="25" t="n">
        <v>24.54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12023.75</v>
      </c>
      <c r="C32" s="25" t="n">
        <v>23.46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13252</v>
      </c>
      <c r="C33" s="25" t="n">
        <v>25.63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14041.3</v>
      </c>
      <c r="C34" s="25" t="n">
        <v>27.37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15063.5</v>
      </c>
      <c r="C35" s="25" t="n">
        <v>28.76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14965.05</v>
      </c>
      <c r="C36" s="25" t="n">
        <v>28.85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14330.5</v>
      </c>
      <c r="C37" s="25" t="n">
        <v>26.6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15833.4</v>
      </c>
      <c r="C38" s="25" t="n">
        <v>28.98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15626.65</v>
      </c>
      <c r="C39" s="25" t="n">
        <v>27.72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17111.05</v>
      </c>
      <c r="C40" s="25" t="n">
        <v>30.7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17948</v>
      </c>
      <c r="C41" s="25" t="n">
        <v>31.81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18170.25</v>
      </c>
      <c r="C42" s="25" t="n">
        <v>31.58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18410.7</v>
      </c>
      <c r="C43" s="25" t="n">
        <v>33.49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17751.2</v>
      </c>
      <c r="C44" s="25" t="n">
        <v>32.37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17716.45</v>
      </c>
      <c r="C45" s="25" t="n">
        <v>34.11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17752.25</v>
      </c>
      <c r="C46" s="25" t="n">
        <v>34.39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15851.05</v>
      </c>
      <c r="C47" s="25" t="n">
        <v>30.18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13844.55</v>
      </c>
      <c r="C48" s="25" t="n">
        <v>26.09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15104.05</v>
      </c>
      <c r="C49" s="25" t="n">
        <v>29.42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15359.45</v>
      </c>
      <c r="C50" s="25" t="n">
        <v>30.04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16833.05</v>
      </c>
      <c r="C51" s="25" t="n">
        <v>32.19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17797.8</v>
      </c>
      <c r="C52" s="25" t="n">
        <v>33.87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17144.25</v>
      </c>
      <c r="C53" s="25" t="n">
        <v>32.55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16506.15</v>
      </c>
      <c r="C54" s="25" t="n">
        <v>31.51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16692.75</v>
      </c>
      <c r="C55" s="25" t="n">
        <v>29.96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17313.9</v>
      </c>
      <c r="C56" s="25" t="n">
        <v>30.76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16732.6</v>
      </c>
      <c r="C57" s="25" t="n">
        <v>29.18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16684.75</v>
      </c>
      <c r="C58" s="25" t="n">
        <v>29.38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15763.45</v>
      </c>
      <c r="C59" s="25" t="n">
        <v>27.14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15881.05</v>
      </c>
      <c r="C60" s="25" t="n">
        <v>26.13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14288.45</v>
      </c>
      <c r="C61" s="25" t="n">
        <v>25.86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16731.2</v>
      </c>
      <c r="C62" s="25" t="n">
        <v>30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16992.1</v>
      </c>
      <c r="C63" s="25" t="n">
        <v>33.67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17720.3</v>
      </c>
      <c r="C64" s="25" t="n">
        <v>35.52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17919.9</v>
      </c>
      <c r="C65" s="25" t="n">
        <v>34.25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18372.1</v>
      </c>
      <c r="C66" s="25" t="n">
        <v>33.9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4586.69</v>
      </c>
      <c r="C2" s="25" t="n">
        <v>1979.15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IF(C2="","",(COUNTIFS($D$2:$D$42,D2,$C$2:$C$42,"&gt;0",$C$2:$C$42,"&lt;"&amp;C2)+(COUNTIFS($D$2:$D$42,D2,$C$2:$C$42,C2)+1)/2)/COUNTIFS($D$2:$D$42,D2,$C$2:$C$42,"&gt;0"))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4923.76</v>
      </c>
      <c r="C3" s="25" t="n"/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IF(C3="","",(COUNTIFS($D$2:$D$42,D3,$C$2:$C$42,"&gt;0",$C$2:$C$42,"&lt;"&amp;C3)+(COUNTIFS($D$2:$D$42,D3,$C$2:$C$42,C3)+1)/2)/COUNTIFS($D$2:$D$42,D3,$C$2:$C$42,"&gt;0"))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42735</v>
      </c>
      <c r="B4" s="24" t="n">
        <v>4599.77</v>
      </c>
      <c r="C4" s="25" t="n"/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IF(C4="","",(COUNTIFS($D$2:$D$42,D4,$C$2:$C$42,"&gt;0",$C$2:$C$42,"&lt;"&amp;C4)+(COUNTIFS($D$2:$D$42,D4,$C$2:$C$42,C4)+1)/2)/COUNTIFS($D$2:$D$42,D4,$C$2:$C$42,"&gt;0"))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5596.81</v>
      </c>
      <c r="C5" s="25" t="n">
        <v>99.48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IF(C5="","",(COUNTIFS($D$2:$D$42,D5,$C$2:$C$42,"&gt;0",$C$2:$C$42,"&lt;"&amp;C5)+(COUNTIFS($D$2:$D$42,D5,$C$2:$C$42,C5)+1)/2)/COUNTIFS($D$2:$D$42,D5,$C$2:$C$42,"&gt;0"))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5982.5</v>
      </c>
      <c r="C6" s="25" t="n">
        <v>107.21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IF(C6="","",(COUNTIFS($D$2:$D$42,D6,$C$2:$C$42,"&gt;0",$C$2:$C$42,"&lt;"&amp;C6)+(COUNTIFS($D$2:$D$42,D6,$C$2:$C$42,C6)+1)/2)/COUNTIFS($D$2:$D$42,D6,$C$2:$C$42,"&gt;0"))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6093.86</v>
      </c>
      <c r="C7" s="25" t="n">
        <v>68.97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IF(C7="","",(COUNTIFS($D$2:$D$42,D7,$C$2:$C$42,"&gt;0",$C$2:$C$42,"&lt;"&amp;C7)+(COUNTIFS($D$2:$D$42,D7,$C$2:$C$42,C7)+1)/2)/COUNTIFS($D$2:$D$42,D7,$C$2:$C$42,"&gt;0"))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7234.34</v>
      </c>
      <c r="C8" s="25" t="n">
        <v>92.89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IF(C8="","",(COUNTIFS($D$2:$D$42,D8,$C$2:$C$42,"&gt;0",$C$2:$C$42,"&lt;"&amp;C8)+(COUNTIFS($D$2:$D$42,D8,$C$2:$C$42,C8)+1)/2)/COUNTIFS($D$2:$D$42,D8,$C$2:$C$42,"&gt;0"))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6270.82</v>
      </c>
      <c r="C9" s="25" t="n">
        <v>98.94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IF(C9="","",(COUNTIFS($D$2:$D$42,D9,$C$2:$C$42,"&gt;0",$C$2:$C$42,"&lt;"&amp;C9)+(COUNTIFS($D$2:$D$42,D9,$C$2:$C$42,C9)+1)/2)/COUNTIFS($D$2:$D$42,D9,$C$2:$C$42,"&gt;0"))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5786.49</v>
      </c>
      <c r="C10" s="25" t="n">
        <v>87.88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IF(C10="","",(COUNTIFS($D$2:$D$42,D10,$C$2:$C$42,"&gt;0",$C$2:$C$42,"&lt;"&amp;C10)+(COUNTIFS($D$2:$D$42,D10,$C$2:$C$42,C10)+1)/2)/COUNTIFS($D$2:$D$42,D10,$C$2:$C$42,"&gt;0"))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5130.04</v>
      </c>
      <c r="C11" s="25" t="n">
        <v>63.81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IF(C11="","",(COUNTIFS($D$2:$D$42,D11,$C$2:$C$42,"&gt;0",$C$2:$C$42,"&lt;"&amp;C11)+(COUNTIFS($D$2:$D$42,D11,$C$2:$C$42,C11)+1)/2)/COUNTIFS($D$2:$D$42,D11,$C$2:$C$42,"&gt;0"))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5295.48</v>
      </c>
      <c r="C12" s="25" t="n">
        <v>43.17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IF(C12="","",(COUNTIFS($D$2:$D$42,D12,$C$2:$C$42,"&gt;0",$C$2:$C$42,"&lt;"&amp;C12)+(COUNTIFS($D$2:$D$42,D12,$C$2:$C$42,C12)+1)/2)/COUNTIFS($D$2:$D$42,D12,$C$2:$C$42,"&gt;0"))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5438.8</v>
      </c>
      <c r="C13" s="25" t="n">
        <v>34.27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IF(C13="","",(COUNTIFS($D$2:$D$42,D13,$C$2:$C$42,"&gt;0",$C$2:$C$42,"&lt;"&amp;C13)+(COUNTIFS($D$2:$D$42,D13,$C$2:$C$42,C13)+1)/2)/COUNTIFS($D$2:$D$42,D13,$C$2:$C$42,"&gt;0"))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5138.55</v>
      </c>
      <c r="C14" s="25" t="n">
        <v>34.66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IF(C14="","",(COUNTIFS($D$2:$D$42,D14,$C$2:$C$42,"&gt;0",$C$2:$C$42,"&lt;"&amp;C14)+(COUNTIFS($D$2:$D$42,D14,$C$2:$C$42,C14)+1)/2)/COUNTIFS($D$2:$D$42,D14,$C$2:$C$42,"&gt;0"))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4677.4</v>
      </c>
      <c r="C15" s="25" t="n">
        <v>51.16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IF(C15="","",(COUNTIFS($D$2:$D$42,D15,$C$2:$C$42,"&gt;0",$C$2:$C$42,"&lt;"&amp;C15)+(COUNTIFS($D$2:$D$42,D15,$C$2:$C$42,C15)+1)/2)/COUNTIFS($D$2:$D$42,D15,$C$2:$C$42,"&gt;0"))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4857.4</v>
      </c>
      <c r="C16" s="25" t="n">
        <v>49.53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IF(C16="","",(COUNTIFS($D$2:$D$42,D16,$C$2:$C$42,"&gt;0",$C$2:$C$42,"&lt;"&amp;C16)+(COUNTIFS($D$2:$D$42,D16,$C$2:$C$42,C16)+1)/2)/COUNTIFS($D$2:$D$42,D16,$C$2:$C$42,"&gt;0"))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3201.6</v>
      </c>
      <c r="C17" s="25" t="n">
        <v>54.62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IF(C17="","",(COUNTIFS($D$2:$D$42,D17,$C$2:$C$42,"&gt;0",$C$2:$C$42,"&lt;"&amp;C17)+(COUNTIFS($D$2:$D$42,D17,$C$2:$C$42,C17)+1)/2)/COUNTIFS($D$2:$D$42,D17,$C$2:$C$42,"&gt;0"))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4067.25</v>
      </c>
      <c r="C18" s="25" t="n">
        <v>28.24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IF(C18="","",(COUNTIFS($D$2:$D$42,D18,$C$2:$C$42,"&gt;0",$C$2:$C$42,"&lt;"&amp;C18)+(COUNTIFS($D$2:$D$42,D18,$C$2:$C$42,C18)+1)/2)/COUNTIFS($D$2:$D$42,D18,$C$2:$C$42,"&gt;0"))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5000.7</v>
      </c>
      <c r="C19" s="25" t="n">
        <v>57.29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IF(C19="","",(COUNTIFS($D$2:$D$42,D19,$C$2:$C$42,"&gt;0",$C$2:$C$42,"&lt;"&amp;C19)+(COUNTIFS($D$2:$D$42,D19,$C$2:$C$42,C19)+1)/2)/COUNTIFS($D$2:$D$42,D19,$C$2:$C$42,"&gt;0"))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6076.2</v>
      </c>
      <c r="C20" s="25" t="n">
        <v>41.1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IF(C20="","",(COUNTIFS($D$2:$D$42,D20,$C$2:$C$42,"&gt;0",$C$2:$C$42,"&lt;"&amp;C20)+(COUNTIFS($D$2:$D$42,D20,$C$2:$C$42,C20)+1)/2)/COUNTIFS($D$2:$D$42,D20,$C$2:$C$42,"&gt;0"))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6952.55</v>
      </c>
      <c r="C21" s="25" t="n">
        <v>43.3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IF(C21="","",(COUNTIFS($D$2:$D$42,D21,$C$2:$C$42,"&gt;0",$C$2:$C$42,"&lt;"&amp;C21)+(COUNTIFS($D$2:$D$42,D21,$C$2:$C$42,C21)+1)/2)/COUNTIFS($D$2:$D$42,D21,$C$2:$C$42,"&gt;0"))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8452.25</v>
      </c>
      <c r="C22" s="25" t="n">
        <v>36.81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IF(C22="","",(COUNTIFS($D$2:$D$42,D22,$C$2:$C$42,"&gt;0",$C$2:$C$42,"&lt;"&amp;C22)+(COUNTIFS($D$2:$D$42,D22,$C$2:$C$42,C22)+1)/2)/COUNTIFS($D$2:$D$42,D22,$C$2:$C$42,"&gt;0"))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9364.5</v>
      </c>
      <c r="C23" s="25" t="n">
        <v>28.86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IF(C23="","",(COUNTIFS($D$2:$D$42,D23,$C$2:$C$42,"&gt;0",$C$2:$C$42,"&lt;"&amp;C23)+(COUNTIFS($D$2:$D$42,D23,$C$2:$C$42,C23)+1)/2)/COUNTIFS($D$2:$D$42,D23,$C$2:$C$42,"&gt;0"))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44561</v>
      </c>
      <c r="B24" s="24" t="n">
        <v>9840</v>
      </c>
      <c r="C24" s="25" t="n">
        <v>31.04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IF(C24="","",(COUNTIFS($D$2:$D$42,D24,$C$2:$C$42,"&gt;0",$C$2:$C$42,"&lt;"&amp;C24)+(COUNTIFS($D$2:$D$42,D24,$C$2:$C$42,C24)+1)/2)/COUNTIFS($D$2:$D$42,D24,$C$2:$C$42,"&gt;0"))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9441.450000000001</v>
      </c>
      <c r="C25" s="25" t="n">
        <v>24.41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IF(C25="","",(COUNTIFS($D$2:$D$42,D25,$C$2:$C$42,"&gt;0",$C$2:$C$42,"&lt;"&amp;C25)+(COUNTIFS($D$2:$D$42,D25,$C$2:$C$42,C25)+1)/2)/COUNTIFS($D$2:$D$42,D25,$C$2:$C$42,"&gt;0"))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8088.6</v>
      </c>
      <c r="C26" s="25" t="n">
        <v>19.63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IF(C26="","",(COUNTIFS($D$2:$D$42,D26,$C$2:$C$42,"&gt;0",$C$2:$C$42,"&lt;"&amp;C26)+(COUNTIFS($D$2:$D$42,D26,$C$2:$C$42,C26)+1)/2)/COUNTIFS($D$2:$D$42,D26,$C$2:$C$42,"&gt;0"))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9198.75</v>
      </c>
      <c r="C27" s="25" t="n">
        <v>18.82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IF(C27="","",(COUNTIFS($D$2:$D$42,D27,$C$2:$C$42,"&gt;0",$C$2:$C$42,"&lt;"&amp;C27)+(COUNTIFS($D$2:$D$42,D27,$C$2:$C$42,C27)+1)/2)/COUNTIFS($D$2:$D$42,D27,$C$2:$C$42,"&gt;0"))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9481.25</v>
      </c>
      <c r="C28" s="25" t="n">
        <v>19.04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IF(C28="","",(COUNTIFS($D$2:$D$42,D28,$C$2:$C$42,"&gt;0",$C$2:$C$42,"&lt;"&amp;C28)+(COUNTIFS($D$2:$D$42,D28,$C$2:$C$42,C28)+1)/2)/COUNTIFS($D$2:$D$42,D28,$C$2:$C$42,"&gt;0"))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8787.9</v>
      </c>
      <c r="C29" s="25" t="n">
        <v>16.94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IF(C29="","",(COUNTIFS($D$2:$D$42,D29,$C$2:$C$42,"&gt;0",$C$2:$C$42,"&lt;"&amp;C29)+(COUNTIFS($D$2:$D$42,D29,$C$2:$C$42,C29)+1)/2)/COUNTIFS($D$2:$D$42,D29,$C$2:$C$42,"&gt;0"))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10544.2</v>
      </c>
      <c r="C30" s="25" t="n">
        <v>20.79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IF(C30="","",(COUNTIFS($D$2:$D$42,D30,$C$2:$C$42,"&gt;0",$C$2:$C$42,"&lt;"&amp;C30)+(COUNTIFS($D$2:$D$42,D30,$C$2:$C$42,C30)+1)/2)/COUNTIFS($D$2:$D$42,D30,$C$2:$C$42,"&gt;0"))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12230.4</v>
      </c>
      <c r="C31" s="25" t="n">
        <v>24.54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IF(C31="","",(COUNTIFS($D$2:$D$42,D31,$C$2:$C$42,"&gt;0",$C$2:$C$42,"&lt;"&amp;C31)+(COUNTIFS($D$2:$D$42,D31,$C$2:$C$42,C31)+1)/2)/COUNTIFS($D$2:$D$42,D31,$C$2:$C$42,"&gt;0"))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45291</v>
      </c>
      <c r="B32" s="24" t="n">
        <v>14041.3</v>
      </c>
      <c r="C32" s="25" t="n">
        <v>27.37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IF(C32="","",(COUNTIFS($D$2:$D$42,D32,$C$2:$C$42,"&gt;0",$C$2:$C$42,"&lt;"&amp;C32)+(COUNTIFS($D$2:$D$42,D32,$C$2:$C$42,C32)+1)/2)/COUNTIFS($D$2:$D$42,D32,$C$2:$C$42,"&gt;0"))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14330.5</v>
      </c>
      <c r="C33" s="25" t="n">
        <v>26.6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IF(C33="","",(COUNTIFS($D$2:$D$42,D33,$C$2:$C$42,"&gt;0",$C$2:$C$42,"&lt;"&amp;C33)+(COUNTIFS($D$2:$D$42,D33,$C$2:$C$42,C33)+1)/2)/COUNTIFS($D$2:$D$42,D33,$C$2:$C$42,"&gt;0"))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17111.05</v>
      </c>
      <c r="C34" s="25" t="n">
        <v>30.7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IF(C34="","",(COUNTIFS($D$2:$D$42,D34,$C$2:$C$42,"&gt;0",$C$2:$C$42,"&lt;"&amp;C34)+(COUNTIFS($D$2:$D$42,D34,$C$2:$C$42,C34)+1)/2)/COUNTIFS($D$2:$D$42,D34,$C$2:$C$42,"&gt;0"))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18410.7</v>
      </c>
      <c r="C35" s="25" t="n">
        <v>33.49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IF(C35="","",(COUNTIFS($D$2:$D$42,D35,$C$2:$C$42,"&gt;0",$C$2:$C$42,"&lt;"&amp;C35)+(COUNTIFS($D$2:$D$42,D35,$C$2:$C$42,C35)+1)/2)/COUNTIFS($D$2:$D$42,D35,$C$2:$C$42,"&gt;0"))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17752.25</v>
      </c>
      <c r="C36" s="25" t="n">
        <v>34.39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IF(C36="","",(COUNTIFS($D$2:$D$42,D36,$C$2:$C$42,"&gt;0",$C$2:$C$42,"&lt;"&amp;C36)+(COUNTIFS($D$2:$D$42,D36,$C$2:$C$42,C36)+1)/2)/COUNTIFS($D$2:$D$42,D36,$C$2:$C$42,"&gt;0"))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15104.05</v>
      </c>
      <c r="C37" s="25" t="n">
        <v>29.42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IF(C37="","",(COUNTIFS($D$2:$D$42,D37,$C$2:$C$42,"&gt;0",$C$2:$C$42,"&lt;"&amp;C37)+(COUNTIFS($D$2:$D$42,D37,$C$2:$C$42,C37)+1)/2)/COUNTIFS($D$2:$D$42,D37,$C$2:$C$42,"&gt;0"))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17797.8</v>
      </c>
      <c r="C38" s="25" t="n">
        <v>33.87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IF(C38="","",(COUNTIFS($D$2:$D$42,D38,$C$2:$C$42,"&gt;0",$C$2:$C$42,"&lt;"&amp;C38)+(COUNTIFS($D$2:$D$42,D38,$C$2:$C$42,C38)+1)/2)/COUNTIFS($D$2:$D$42,D38,$C$2:$C$42,"&gt;0"))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16692.75</v>
      </c>
      <c r="C39" s="25" t="n">
        <v>29.96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IF(C39="","",(COUNTIFS($D$2:$D$42,D39,$C$2:$C$42,"&gt;0",$C$2:$C$42,"&lt;"&amp;C39)+(COUNTIFS($D$2:$D$42,D39,$C$2:$C$42,C39)+1)/2)/COUNTIFS($D$2:$D$42,D39,$C$2:$C$42,"&gt;0"))</f>
        <v/>
      </c>
      <c r="H39">
        <f>IF(G39="","",IF(G39&lt;=20%,"Q1 Cheapest",IF(G39&lt;=40%,"Q2",IF(G39&lt;=60%,"Q3",IF(G39&lt;=80%,"Q4","Q5 Most Expensive")))))</f>
        <v/>
      </c>
      <c r="I39" s="30" t="n"/>
      <c r="J39" s="30" t="n"/>
      <c r="K39" s="30" t="n"/>
      <c r="L39" s="30" t="n"/>
    </row>
    <row r="40">
      <c r="A40" s="31" t="n">
        <v>46022</v>
      </c>
      <c r="B40" s="24" t="n">
        <v>16684.75</v>
      </c>
      <c r="C40" s="25" t="n">
        <v>29.38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IF(C40="","",(COUNTIFS($D$2:$D$42,D40,$C$2:$C$42,"&gt;0",$C$2:$C$42,"&lt;"&amp;C40)+(COUNTIFS($D$2:$D$42,D40,$C$2:$C$42,C40)+1)/2)/COUNTIFS($D$2:$D$42,D40,$C$2:$C$42,"&gt;0"))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14288.45</v>
      </c>
      <c r="C41" s="25" t="n">
        <v>25.86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IF(C41="","",(COUNTIFS($D$2:$D$42,D41,$C$2:$C$42,"&gt;0",$C$2:$C$42,"&lt;"&amp;C41)+(COUNTIFS($D$2:$D$42,D41,$C$2:$C$42,C41)+1)/2)/COUNTIFS($D$2:$D$42,D41,$C$2:$C$42,"&gt;0"))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17720.3</v>
      </c>
      <c r="C42" s="25" t="n">
        <v>35.52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IF(C42="","",(COUNTIFS($D$2:$D$42,D42,$C$2:$C$42,"&gt;0",$C$2:$C$42,"&lt;"&amp;C42)+(COUNTIFS($D$2:$D$42,D42,$C$2:$C$42,C42)+1)/2)/COUNTIFS($D$2:$D$42,D42,$C$2:$C$42,"&gt;0"))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18287.4</v>
      </c>
      <c r="C2" s="25" t="n">
        <v>33.74</v>
      </c>
      <c r="D2" s="26" t="n">
        <v>0.856060606061</v>
      </c>
      <c r="E2" s="26" t="n">
        <v>0.0346195290955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18279.05</v>
      </c>
      <c r="C3" s="25" t="n">
        <v>33.73</v>
      </c>
      <c r="D3" s="26" t="n">
        <v>0.856060606061</v>
      </c>
      <c r="E3" s="26" t="n">
        <v>0.0342590076112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18260.6</v>
      </c>
      <c r="C4" s="25" t="n">
        <v>33.69</v>
      </c>
      <c r="D4" s="26" t="n">
        <v>0.856060606061</v>
      </c>
      <c r="E4" s="26" t="n">
        <v>0.0346092924674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35" t="inlineStr">
        <is>
          <t>Nifty Smallcap 250 Composition</t>
        </is>
      </c>
    </row>
    <row r="2"/>
    <row r="3">
      <c r="A3" s="2" t="inlineStr">
        <is>
          <t>Official composition data is not currently available for this index.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2026-09-23T03:28:09Z</dcterms:created>
  <dcterms:modified xsi:type="dcterms:W3CDTF">2026-09-23T03:28:19Z</dcterms:modified>
</cp:coreProperties>
</file>