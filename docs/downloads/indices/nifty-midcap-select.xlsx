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onthly PE History" sheetId="2" state="visible" r:id="rId2"/>
    <sheet name="Quarterly Backtest" sheetId="3" state="visible" r:id="rId3"/>
    <sheet name="Score History" sheetId="4" state="visible" r:id="rId4"/>
    <sheet name="Sources &amp; Methodolog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dd-mmm-yyyy"/>
    <numFmt numFmtId="166" formatCode="#,##0.00;[Red](#,##0.00);-"/>
    <numFmt numFmtId="167" formatCode="0.00x;[Red](0.00x);-"/>
    <numFmt numFmtId="168" formatCode="0.0%"/>
    <numFmt numFmtId="169" formatCode="#,##0.0;[Red](#,##0.0);-"/>
    <numFmt numFmtId="170" formatCode="0.0"/>
    <numFmt numFmtId="171" formatCode="0.00x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color rgb="00666666"/>
    </font>
    <font>
      <color rgb="00008000"/>
    </font>
    <font>
      <b val="1"/>
      <color rgb="00FFFFFF"/>
      <sz val="11"/>
    </font>
    <font>
      <color rgb="00000000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071A2D"/>
      </patternFill>
    </fill>
    <fill>
      <patternFill patternType="solid">
        <fgColor rgb="000B1F36"/>
      </patternFill>
    </fill>
    <fill>
      <patternFill patternType="solid">
        <fgColor rgb="000F274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165" fontId="3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left"/>
    </xf>
    <xf numFmtId="166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69" fontId="3" fillId="0" borderId="0" pivotButton="0" quotePrefix="0" xfId="0"/>
    <xf numFmtId="10" fontId="3" fillId="0" borderId="0" pivotButton="0" quotePrefix="0" xfId="0"/>
    <xf numFmtId="170" fontId="3" fillId="0" borderId="0" pivotButton="0" quotePrefix="0" xfId="0"/>
    <xf numFmtId="49" fontId="5" fillId="0" borderId="0" pivotButton="0" quotePrefix="0" xfId="0"/>
    <xf numFmtId="0" fontId="6" fillId="4" borderId="0" applyAlignment="1" pivotButton="0" quotePrefix="0" xfId="0">
      <alignment horizontal="center" vertical="center"/>
    </xf>
    <xf numFmtId="171" fontId="0" fillId="0" borderId="0" pivotButton="0" quotePrefix="0" xfId="0"/>
    <xf numFmtId="3" fontId="0" fillId="0" borderId="0" pivotButton="0" quotePrefix="0" xfId="0"/>
    <xf numFmtId="168" fontId="0" fillId="0" borderId="0" pivotButton="0" quotePrefix="0" xfId="0"/>
    <xf numFmtId="0" fontId="7" fillId="0" borderId="0" pivotButton="0" quotePrefix="0" xfId="1"/>
    <xf numFmtId="165" fontId="0" fillId="0" borderId="0" pivotButton="0" quotePrefix="0" xfId="0"/>
    <xf numFmtId="166" fontId="5" fillId="0" borderId="0" pivotButton="0" quotePrefix="0" xfId="0"/>
    <xf numFmtId="10" fontId="5" fillId="0" borderId="0" pivotButton="0" quotePrefix="0" xfId="0"/>
    <xf numFmtId="166" fontId="0" fillId="0" borderId="0" pivotButton="0" quotePrefix="0" xfId="0"/>
    <xf numFmtId="170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comments/comment2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seindia.com/all-reports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nseindia.com/all-reports" TargetMode="External" Id="rId1" /><Relationship Type="http://schemas.openxmlformats.org/officeDocument/2006/relationships/hyperlink" Target="https://nsearchives.nseindia.com/content/indices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23" customWidth="1" min="4" max="4"/>
    <col width="22" customWidth="1" min="5" max="5"/>
    <col width="17" customWidth="1" min="6" max="6"/>
    <col width="19" customWidth="1" min="7" max="7"/>
  </cols>
  <sheetData>
    <row r="1" ht="26" customHeight="1">
      <c r="A1" s="1" t="inlineStr">
        <is>
          <t>NIFTY Midcap Select Valuation Tracker</t>
        </is>
      </c>
    </row>
    <row r="2">
      <c r="A2" s="2" t="inlineStr">
        <is>
          <t>As of</t>
        </is>
      </c>
      <c r="B2" s="3" t="n">
        <v>46283</v>
      </c>
      <c r="D2" s="2" t="inlineStr">
        <is>
          <t>Group</t>
        </is>
      </c>
      <c r="E2" s="4" t="inlineStr">
        <is>
          <t>Broad Market</t>
        </is>
      </c>
    </row>
    <row r="3"/>
    <row r="4">
      <c r="A4" s="5" t="inlineStr">
        <is>
          <t>Current valuation and score</t>
        </is>
      </c>
    </row>
    <row r="5">
      <c r="A5" s="2" t="inlineStr">
        <is>
          <t>Index level</t>
        </is>
      </c>
      <c r="B5" s="6" t="n">
        <v>14500.75</v>
      </c>
      <c r="D5" s="2" t="inlineStr">
        <is>
          <t>P/E</t>
        </is>
      </c>
      <c r="E5" s="7" t="n">
        <v>31.65</v>
      </c>
    </row>
    <row r="6">
      <c r="A6" s="2" t="inlineStr">
        <is>
          <t>P/E percentile</t>
        </is>
      </c>
      <c r="B6" s="8" t="n">
        <v>0.4672131147540984</v>
      </c>
      <c r="D6" s="2" t="inlineStr">
        <is>
          <t>Implied EPS</t>
        </is>
      </c>
      <c r="E6" s="9" t="n">
        <v>458.1595576619274</v>
      </c>
    </row>
    <row r="7">
      <c r="A7" s="2" t="inlineStr">
        <is>
          <t>YoY implied EPS growth</t>
        </is>
      </c>
      <c r="B7" s="8" t="n">
        <v>0.6638002411343469</v>
      </c>
      <c r="D7" s="2" t="inlineStr">
        <is>
          <t>Earnings yield</t>
        </is>
      </c>
      <c r="E7" s="10" t="n">
        <v>0.03159557661927331</v>
      </c>
    </row>
    <row r="8">
      <c r="A8" s="2" t="inlineStr">
        <is>
          <t>Valuation score</t>
        </is>
      </c>
      <c r="B8" s="11" t="n">
        <v>53.27868852459017</v>
      </c>
      <c r="D8" s="2" t="inlineStr">
        <is>
          <t>Growth score</t>
        </is>
      </c>
      <c r="E8" s="11" t="n">
        <v>100</v>
      </c>
    </row>
    <row r="9">
      <c r="A9" s="2" t="inlineStr">
        <is>
          <t>Composite score</t>
        </is>
      </c>
      <c r="B9" s="11" t="n">
        <v>67.29508196721312</v>
      </c>
      <c r="D9" s="2" t="inlineStr">
        <is>
          <t>Signal</t>
        </is>
      </c>
      <c r="E9" s="12" t="inlineStr">
        <is>
          <t>HOLD</t>
        </is>
      </c>
    </row>
    <row r="10"/>
    <row r="11">
      <c r="A11" s="5" t="inlineStr">
        <is>
          <t>Signal thresholds</t>
        </is>
      </c>
    </row>
    <row r="12">
      <c r="A12" s="13" t="inlineStr">
        <is>
          <t>Boundary</t>
        </is>
      </c>
      <c r="B12" s="13" t="inlineStr">
        <is>
          <t>P/E</t>
        </is>
      </c>
      <c r="C12" s="13" t="inlineStr">
        <is>
          <t>Equivalent index level</t>
        </is>
      </c>
      <c r="D12" s="13" t="inlineStr">
        <is>
          <t>% move from current</t>
        </is>
      </c>
    </row>
    <row r="13">
      <c r="A13" t="inlineStr">
        <is>
          <t>BUY → HOLD</t>
        </is>
      </c>
      <c r="B13" s="14" t="n">
        <v>31.30571428571428</v>
      </c>
      <c r="C13" s="15" t="n">
        <v>14343.01220943354</v>
      </c>
      <c r="D13" s="16" t="n">
        <v>-0.01087790566463553</v>
      </c>
    </row>
    <row r="14">
      <c r="A14" t="inlineStr">
        <is>
          <t>HOLD → SELL</t>
        </is>
      </c>
      <c r="B14" s="14" t="n">
        <v>52.75285714285714</v>
      </c>
      <c r="C14" s="15" t="n">
        <v>24169.22569397427</v>
      </c>
      <c r="D14" s="16" t="n">
        <v>0.6667569397427218</v>
      </c>
    </row>
    <row r="15"/>
    <row r="16">
      <c r="A16" s="5" t="inlineStr">
        <is>
          <t>Forward returns by starting valuation</t>
        </is>
      </c>
    </row>
    <row r="17">
      <c r="A17" s="13" t="inlineStr">
        <is>
          <t>Starting valuation</t>
        </is>
      </c>
      <c r="B17" s="13" t="inlineStr">
        <is>
          <t>Observations</t>
        </is>
      </c>
      <c r="C17" s="13" t="inlineStr">
        <is>
          <t>1Y median</t>
        </is>
      </c>
      <c r="D17" s="13" t="inlineStr">
        <is>
          <t>3Y median CAGR</t>
        </is>
      </c>
      <c r="E17" s="13" t="inlineStr">
        <is>
          <t>5Y median CAGR</t>
        </is>
      </c>
      <c r="F17" s="13" t="inlineStr">
        <is>
          <t>10Y median CAGR</t>
        </is>
      </c>
      <c r="G17" s="13" t="inlineStr">
        <is>
          <t>3Y loss frequency</t>
        </is>
      </c>
    </row>
    <row r="18">
      <c r="A18" t="inlineStr">
        <is>
          <t>Q1 Cheapest</t>
        </is>
      </c>
      <c r="B18" t="n">
        <v>4</v>
      </c>
      <c r="C18" s="16" t="n">
        <v>0.2675642928470523</v>
      </c>
      <c r="D18" s="16" t="n">
        <v>0.2445075678366281</v>
      </c>
      <c r="E18" s="16" t="n"/>
      <c r="F18" s="16" t="n"/>
      <c r="G18" s="16" t="n">
        <v>0</v>
      </c>
    </row>
    <row r="19">
      <c r="A19" t="inlineStr">
        <is>
          <t>Q2</t>
        </is>
      </c>
      <c r="B19" t="n">
        <v>4</v>
      </c>
      <c r="C19" s="16" t="n">
        <v>-0.02654699868541754</v>
      </c>
      <c r="D19" s="16" t="n">
        <v>0.2134041881311832</v>
      </c>
      <c r="E19" s="16" t="n"/>
      <c r="F19" s="16" t="n"/>
      <c r="G19" s="16" t="n">
        <v>0</v>
      </c>
    </row>
    <row r="20">
      <c r="A20" t="inlineStr">
        <is>
          <t>Q3</t>
        </is>
      </c>
      <c r="B20" t="n">
        <v>4</v>
      </c>
      <c r="C20" s="16" t="n">
        <v>0.09697585817031351</v>
      </c>
      <c r="D20" s="16" t="n">
        <v>0.189008186169086</v>
      </c>
      <c r="E20" s="16" t="n"/>
      <c r="F20" s="16" t="n"/>
      <c r="G20" s="16" t="n">
        <v>0</v>
      </c>
    </row>
    <row r="21">
      <c r="A21" t="inlineStr">
        <is>
          <t>Q4</t>
        </is>
      </c>
      <c r="B21" t="n">
        <v>4</v>
      </c>
      <c r="C21" s="16" t="n">
        <v>0.355835979664199</v>
      </c>
      <c r="D21" s="16" t="n">
        <v>0.2057457166124177</v>
      </c>
      <c r="E21" s="16" t="n"/>
      <c r="F21" s="16" t="n"/>
      <c r="G21" s="16" t="n">
        <v>0</v>
      </c>
    </row>
    <row r="22">
      <c r="A22" t="inlineStr">
        <is>
          <t>Q5 Most Expensive</t>
        </is>
      </c>
      <c r="B22" t="n">
        <v>4</v>
      </c>
      <c r="C22" s="16" t="n">
        <v>0.06023508544276146</v>
      </c>
      <c r="D22" s="16" t="n"/>
      <c r="E22" s="16" t="n"/>
      <c r="F22" s="16" t="n"/>
      <c r="G22" s="16" t="n"/>
    </row>
    <row r="23"/>
    <row r="24">
      <c r="A24" s="5" t="inlineStr">
        <is>
          <t>Coverage and methodology</t>
        </is>
      </c>
    </row>
    <row r="25">
      <c r="A25" s="2" t="inlineStr">
        <is>
          <t>Monthly P/E observations</t>
        </is>
      </c>
      <c r="B25" t="n">
        <v>60</v>
      </c>
    </row>
    <row r="26">
      <c r="A26" s="2" t="inlineStr">
        <is>
          <t>Quarter-end P/E observations</t>
        </is>
      </c>
      <c r="B26" t="n">
        <v>20</v>
      </c>
    </row>
    <row r="27">
      <c r="A27" s="2" t="inlineStr">
        <is>
          <t>Backtest start</t>
        </is>
      </c>
      <c r="B27" t="inlineStr">
        <is>
          <t>2021-09-30</t>
        </is>
      </c>
    </row>
    <row r="28">
      <c r="A28" s="2" t="inlineStr">
        <is>
          <t>Backtest end</t>
        </is>
      </c>
      <c r="B28" t="inlineStr">
        <is>
          <t>2026-06-30</t>
        </is>
      </c>
    </row>
    <row r="29">
      <c r="A29" s="2" t="inlineStr">
        <is>
          <t>Model</t>
        </is>
      </c>
      <c r="B29" t="inlineStr">
        <is>
          <t>70% own-index P/E valuation percentile + 30% own-index YoY implied EPS growth</t>
        </is>
      </c>
    </row>
    <row r="30">
      <c r="A30" s="2" t="inlineStr">
        <is>
          <t>P/E source</t>
        </is>
      </c>
      <c r="B30" s="17" t="inlineStr">
        <is>
          <t>NSE Indices daily archive</t>
        </is>
      </c>
    </row>
  </sheetData>
  <mergeCells count="5">
    <mergeCell ref="A24:F24"/>
    <mergeCell ref="A11:F11"/>
    <mergeCell ref="A1:F1"/>
    <mergeCell ref="A16:G16"/>
    <mergeCell ref="A4:F4"/>
  </mergeCells>
  <hyperlinks>
    <hyperlink xmlns:r="http://schemas.openxmlformats.org/officeDocument/2006/relationships" ref="B30" r:id="rId1"/>
  </hyperlinks>
  <pageMargins left="0.3" right="0.3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22" customWidth="1" min="4" max="4"/>
    <col width="20" customWidth="1" min="5" max="5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Implied EPS</t>
        </is>
      </c>
      <c r="E1" s="13" t="inlineStr">
        <is>
          <t>Earnings Yield</t>
        </is>
      </c>
    </row>
    <row r="2">
      <c r="A2" s="18" t="n">
        <v>44469</v>
      </c>
      <c r="B2" s="6" t="n">
        <v>7401.59</v>
      </c>
      <c r="C2" s="7" t="n">
        <v>28.72</v>
      </c>
      <c r="D2" s="19">
        <f>IFERROR(B2/C2,"")</f>
        <v/>
      </c>
      <c r="E2" s="20">
        <f>IFERROR(1/C2,"")</f>
        <v/>
      </c>
    </row>
    <row r="3">
      <c r="A3" s="18" t="n">
        <v>44500</v>
      </c>
      <c r="B3" s="6" t="n">
        <v>7638.7</v>
      </c>
      <c r="C3" s="7" t="n">
        <v>29.47</v>
      </c>
      <c r="D3" s="19">
        <f>IFERROR(B3/C3,"")</f>
        <v/>
      </c>
      <c r="E3" s="20">
        <f>IFERROR(1/C3,"")</f>
        <v/>
      </c>
    </row>
    <row r="4">
      <c r="A4" s="18" t="n">
        <v>44530</v>
      </c>
      <c r="B4" s="6" t="n">
        <v>7299.68</v>
      </c>
      <c r="C4" s="7" t="n">
        <v>26.55</v>
      </c>
      <c r="D4" s="19">
        <f>IFERROR(B4/C4,"")</f>
        <v/>
      </c>
      <c r="E4" s="20">
        <f>IFERROR(1/C4,"")</f>
        <v/>
      </c>
    </row>
    <row r="5">
      <c r="A5" s="18" t="n">
        <v>44561</v>
      </c>
      <c r="B5" s="6" t="n">
        <v>7357.96</v>
      </c>
      <c r="C5" s="7" t="n">
        <v>26.8</v>
      </c>
      <c r="D5" s="19">
        <f>IFERROR(B5/C5,"")</f>
        <v/>
      </c>
      <c r="E5" s="20">
        <f>IFERROR(1/C5,"")</f>
        <v/>
      </c>
    </row>
    <row r="6">
      <c r="A6" s="18" t="n">
        <v>44592</v>
      </c>
      <c r="B6" s="6" t="n">
        <v>7514.85</v>
      </c>
      <c r="C6" s="7" t="n">
        <v>27.15</v>
      </c>
      <c r="D6" s="19">
        <f>IFERROR(B6/C6,"")</f>
        <v/>
      </c>
      <c r="E6" s="20">
        <f>IFERROR(1/C6,"")</f>
        <v/>
      </c>
    </row>
    <row r="7">
      <c r="A7" s="18" t="n">
        <v>44620</v>
      </c>
      <c r="B7" s="6" t="n">
        <v>7009.7</v>
      </c>
      <c r="C7" s="7" t="n">
        <v>23.92</v>
      </c>
      <c r="D7" s="19">
        <f>IFERROR(B7/C7,"")</f>
        <v/>
      </c>
      <c r="E7" s="20">
        <f>IFERROR(1/C7,"")</f>
        <v/>
      </c>
    </row>
    <row r="8">
      <c r="A8" s="18" t="n">
        <v>44651</v>
      </c>
      <c r="B8" s="6" t="n">
        <v>7297.6</v>
      </c>
      <c r="C8" s="7" t="n">
        <v>31.89</v>
      </c>
      <c r="D8" s="19">
        <f>IFERROR(B8/C8,"")</f>
        <v/>
      </c>
      <c r="E8" s="20">
        <f>IFERROR(1/C8,"")</f>
        <v/>
      </c>
    </row>
    <row r="9">
      <c r="A9" s="18" t="n">
        <v>44681</v>
      </c>
      <c r="B9" s="6" t="n">
        <v>7237.95</v>
      </c>
      <c r="C9" s="7" t="n">
        <v>31.34</v>
      </c>
      <c r="D9" s="19">
        <f>IFERROR(B9/C9,"")</f>
        <v/>
      </c>
      <c r="E9" s="20">
        <f>IFERROR(1/C9,"")</f>
        <v/>
      </c>
    </row>
    <row r="10">
      <c r="A10" s="18" t="n">
        <v>44712</v>
      </c>
      <c r="B10" s="6" t="n">
        <v>6843.2</v>
      </c>
      <c r="C10" s="7" t="n">
        <v>30.48</v>
      </c>
      <c r="D10" s="19">
        <f>IFERROR(B10/C10,"")</f>
        <v/>
      </c>
      <c r="E10" s="20">
        <f>IFERROR(1/C10,"")</f>
        <v/>
      </c>
    </row>
    <row r="11">
      <c r="A11" s="18" t="n">
        <v>44742</v>
      </c>
      <c r="B11" s="6" t="n">
        <v>6361.2</v>
      </c>
      <c r="C11" s="7" t="n">
        <v>28.46</v>
      </c>
      <c r="D11" s="19">
        <f>IFERROR(B11/C11,"")</f>
        <v/>
      </c>
      <c r="E11" s="20">
        <f>IFERROR(1/C11,"")</f>
        <v/>
      </c>
    </row>
    <row r="12">
      <c r="A12" s="18" t="n">
        <v>44773</v>
      </c>
      <c r="B12" s="6" t="n">
        <v>7055.6</v>
      </c>
      <c r="C12" s="7" t="n">
        <v>30.59</v>
      </c>
      <c r="D12" s="19">
        <f>IFERROR(B12/C12,"")</f>
        <v/>
      </c>
      <c r="E12" s="20">
        <f>IFERROR(1/C12,"")</f>
        <v/>
      </c>
    </row>
    <row r="13">
      <c r="A13" s="18" t="n">
        <v>44804</v>
      </c>
      <c r="B13" s="6" t="n">
        <v>7406.8</v>
      </c>
      <c r="C13" s="7" t="n">
        <v>38.62</v>
      </c>
      <c r="D13" s="19">
        <f>IFERROR(B13/C13,"")</f>
        <v/>
      </c>
      <c r="E13" s="20">
        <f>IFERROR(1/C13,"")</f>
        <v/>
      </c>
    </row>
    <row r="14">
      <c r="A14" s="18" t="n">
        <v>44834</v>
      </c>
      <c r="B14" s="6" t="n">
        <v>7205.1</v>
      </c>
      <c r="C14" s="7" t="n">
        <v>37.71</v>
      </c>
      <c r="D14" s="19">
        <f>IFERROR(B14/C14,"")</f>
        <v/>
      </c>
      <c r="E14" s="20">
        <f>IFERROR(1/C14,"")</f>
        <v/>
      </c>
    </row>
    <row r="15">
      <c r="A15" s="18" t="n">
        <v>44865</v>
      </c>
      <c r="B15" s="6" t="n">
        <v>7416.1</v>
      </c>
      <c r="C15" s="7" t="n">
        <v>37.23</v>
      </c>
      <c r="D15" s="19">
        <f>IFERROR(B15/C15,"")</f>
        <v/>
      </c>
      <c r="E15" s="20">
        <f>IFERROR(1/C15,"")</f>
        <v/>
      </c>
    </row>
    <row r="16">
      <c r="A16" s="18" t="n">
        <v>44895</v>
      </c>
      <c r="B16" s="6" t="n">
        <v>7396.5</v>
      </c>
      <c r="C16" s="7" t="n">
        <v>47.36</v>
      </c>
      <c r="D16" s="19">
        <f>IFERROR(B16/C16,"")</f>
        <v/>
      </c>
      <c r="E16" s="20">
        <f>IFERROR(1/C16,"")</f>
        <v/>
      </c>
    </row>
    <row r="17">
      <c r="A17" s="18" t="n">
        <v>44926</v>
      </c>
      <c r="B17" s="6" t="n">
        <v>7180.95</v>
      </c>
      <c r="C17" s="7" t="n">
        <v>45.83</v>
      </c>
      <c r="D17" s="19">
        <f>IFERROR(B17/C17,"")</f>
        <v/>
      </c>
      <c r="E17" s="20">
        <f>IFERROR(1/C17,"")</f>
        <v/>
      </c>
    </row>
    <row r="18">
      <c r="A18" s="18" t="n">
        <v>44957</v>
      </c>
      <c r="B18" s="6" t="n">
        <v>6932.7</v>
      </c>
      <c r="C18" s="7" t="n">
        <v>42.85</v>
      </c>
      <c r="D18" s="19">
        <f>IFERROR(B18/C18,"")</f>
        <v/>
      </c>
      <c r="E18" s="20">
        <f>IFERROR(1/C18,"")</f>
        <v/>
      </c>
    </row>
    <row r="19">
      <c r="A19" s="18" t="n">
        <v>44985</v>
      </c>
      <c r="B19" s="6" t="n">
        <v>6789.85</v>
      </c>
      <c r="C19" s="7" t="n">
        <v>44.3</v>
      </c>
      <c r="D19" s="19">
        <f>IFERROR(B19/C19,"")</f>
        <v/>
      </c>
      <c r="E19" s="20">
        <f>IFERROR(1/C19,"")</f>
        <v/>
      </c>
    </row>
    <row r="20">
      <c r="A20" s="18" t="n">
        <v>45016</v>
      </c>
      <c r="B20" s="6" t="n">
        <v>6816.35</v>
      </c>
      <c r="C20" s="7" t="n">
        <v>31.59</v>
      </c>
      <c r="D20" s="19">
        <f>IFERROR(B20/C20,"")</f>
        <v/>
      </c>
      <c r="E20" s="20">
        <f>IFERROR(1/C20,"")</f>
        <v/>
      </c>
    </row>
    <row r="21">
      <c r="A21" s="18" t="n">
        <v>45046</v>
      </c>
      <c r="B21" s="6" t="n">
        <v>7232.55</v>
      </c>
      <c r="C21" s="7" t="n">
        <v>33.46</v>
      </c>
      <c r="D21" s="19">
        <f>IFERROR(B21/C21,"")</f>
        <v/>
      </c>
      <c r="E21" s="20">
        <f>IFERROR(1/C21,"")</f>
        <v/>
      </c>
    </row>
    <row r="22">
      <c r="A22" s="18" t="n">
        <v>45077</v>
      </c>
      <c r="B22" s="6" t="n">
        <v>7804.7</v>
      </c>
      <c r="C22" s="7" t="n">
        <v>32.95</v>
      </c>
      <c r="D22" s="19">
        <f>IFERROR(B22/C22,"")</f>
        <v/>
      </c>
      <c r="E22" s="20">
        <f>IFERROR(1/C22,"")</f>
        <v/>
      </c>
    </row>
    <row r="23">
      <c r="A23" s="18" t="n">
        <v>45107</v>
      </c>
      <c r="B23" s="6" t="n">
        <v>8229.799999999999</v>
      </c>
      <c r="C23" s="7" t="n">
        <v>34.97</v>
      </c>
      <c r="D23" s="19">
        <f>IFERROR(B23/C23,"")</f>
        <v/>
      </c>
      <c r="E23" s="20">
        <f>IFERROR(1/C23,"")</f>
        <v/>
      </c>
    </row>
    <row r="24">
      <c r="A24" s="18" t="n">
        <v>45138</v>
      </c>
      <c r="B24" s="6" t="n">
        <v>8608.1</v>
      </c>
      <c r="C24" s="7" t="n">
        <v>34.95</v>
      </c>
      <c r="D24" s="19">
        <f>IFERROR(B24/C24,"")</f>
        <v/>
      </c>
      <c r="E24" s="20">
        <f>IFERROR(1/C24,"")</f>
        <v/>
      </c>
    </row>
    <row r="25">
      <c r="A25" s="18" t="n">
        <v>45169</v>
      </c>
      <c r="B25" s="6" t="n">
        <v>8887.200000000001</v>
      </c>
      <c r="C25" s="7" t="n">
        <v>25.23</v>
      </c>
      <c r="D25" s="19">
        <f>IFERROR(B25/C25,"")</f>
        <v/>
      </c>
      <c r="E25" s="20">
        <f>IFERROR(1/C25,"")</f>
        <v/>
      </c>
    </row>
    <row r="26">
      <c r="A26" s="18" t="n">
        <v>45199</v>
      </c>
      <c r="B26" s="6" t="n">
        <v>9105.35</v>
      </c>
      <c r="C26" s="7" t="n">
        <v>20.5</v>
      </c>
      <c r="D26" s="19">
        <f>IFERROR(B26/C26,"")</f>
        <v/>
      </c>
      <c r="E26" s="20">
        <f>IFERROR(1/C26,"")</f>
        <v/>
      </c>
    </row>
    <row r="27">
      <c r="A27" s="18" t="n">
        <v>45230</v>
      </c>
      <c r="B27" s="6" t="n">
        <v>8743.65</v>
      </c>
      <c r="C27" s="7" t="n">
        <v>19.21</v>
      </c>
      <c r="D27" s="19">
        <f>IFERROR(B27/C27,"")</f>
        <v/>
      </c>
      <c r="E27" s="20">
        <f>IFERROR(1/C27,"")</f>
        <v/>
      </c>
    </row>
    <row r="28">
      <c r="A28" s="18" t="n">
        <v>45260</v>
      </c>
      <c r="B28" s="6" t="n">
        <v>9684</v>
      </c>
      <c r="C28" s="7" t="n">
        <v>18.3</v>
      </c>
      <c r="D28" s="19">
        <f>IFERROR(B28/C28,"")</f>
        <v/>
      </c>
      <c r="E28" s="20">
        <f>IFERROR(1/C28,"")</f>
        <v/>
      </c>
    </row>
    <row r="29">
      <c r="A29" s="18" t="n">
        <v>45291</v>
      </c>
      <c r="B29" s="6" t="n">
        <v>10397.55</v>
      </c>
      <c r="C29" s="7" t="n">
        <v>19.84</v>
      </c>
      <c r="D29" s="19">
        <f>IFERROR(B29/C29,"")</f>
        <v/>
      </c>
      <c r="E29" s="20">
        <f>IFERROR(1/C29,"")</f>
        <v/>
      </c>
    </row>
    <row r="30">
      <c r="A30" s="18" t="n">
        <v>45322</v>
      </c>
      <c r="B30" s="6" t="n">
        <v>10701.95</v>
      </c>
      <c r="C30" s="7" t="n">
        <v>20.1</v>
      </c>
      <c r="D30" s="19">
        <f>IFERROR(B30/C30,"")</f>
        <v/>
      </c>
      <c r="E30" s="20">
        <f>IFERROR(1/C30,"")</f>
        <v/>
      </c>
    </row>
    <row r="31">
      <c r="A31" s="18" t="n">
        <v>45351</v>
      </c>
      <c r="B31" s="6" t="n">
        <v>10826.55</v>
      </c>
      <c r="C31" s="7" t="n">
        <v>19.54</v>
      </c>
      <c r="D31" s="19">
        <f>IFERROR(B31/C31,"")</f>
        <v/>
      </c>
      <c r="E31" s="20">
        <f>IFERROR(1/C31,"")</f>
        <v/>
      </c>
    </row>
    <row r="32">
      <c r="A32" s="18" t="n">
        <v>45382</v>
      </c>
      <c r="B32" s="6" t="n">
        <v>10525.3</v>
      </c>
      <c r="C32" s="7" t="n">
        <v>33.96</v>
      </c>
      <c r="D32" s="19">
        <f>IFERROR(B32/C32,"")</f>
        <v/>
      </c>
      <c r="E32" s="20">
        <f>IFERROR(1/C32,"")</f>
        <v/>
      </c>
    </row>
    <row r="33">
      <c r="A33" s="18" t="n">
        <v>45412</v>
      </c>
      <c r="B33" s="6" t="n">
        <v>11059.75</v>
      </c>
      <c r="C33" s="7" t="n">
        <v>35.5</v>
      </c>
      <c r="D33" s="19">
        <f>IFERROR(B33/C33,"")</f>
        <v/>
      </c>
      <c r="E33" s="20">
        <f>IFERROR(1/C33,"")</f>
        <v/>
      </c>
    </row>
    <row r="34">
      <c r="A34" s="18" t="n">
        <v>45443</v>
      </c>
      <c r="B34" s="6" t="n">
        <v>11358.1</v>
      </c>
      <c r="C34" s="7" t="n">
        <v>50.09</v>
      </c>
      <c r="D34" s="19">
        <f>IFERROR(B34/C34,"")</f>
        <v/>
      </c>
      <c r="E34" s="20">
        <f>IFERROR(1/C34,"")</f>
        <v/>
      </c>
    </row>
    <row r="35">
      <c r="A35" s="18" t="n">
        <v>45473</v>
      </c>
      <c r="B35" s="6" t="n">
        <v>12250.8</v>
      </c>
      <c r="C35" s="7" t="n">
        <v>53.21</v>
      </c>
      <c r="D35" s="19">
        <f>IFERROR(B35/C35,"")</f>
        <v/>
      </c>
      <c r="E35" s="20">
        <f>IFERROR(1/C35,"")</f>
        <v/>
      </c>
    </row>
    <row r="36">
      <c r="A36" s="18" t="n">
        <v>45504</v>
      </c>
      <c r="B36" s="6" t="n">
        <v>12942.75</v>
      </c>
      <c r="C36" s="7" t="n">
        <v>66.02</v>
      </c>
      <c r="D36" s="19">
        <f>IFERROR(B36/C36,"")</f>
        <v/>
      </c>
      <c r="E36" s="20">
        <f>IFERROR(1/C36,"")</f>
        <v/>
      </c>
    </row>
    <row r="37">
      <c r="A37" s="18" t="n">
        <v>45535</v>
      </c>
      <c r="B37" s="6" t="n">
        <v>13161.85</v>
      </c>
      <c r="C37" s="7" t="n">
        <v>63.63</v>
      </c>
      <c r="D37" s="19">
        <f>IFERROR(B37/C37,"")</f>
        <v/>
      </c>
      <c r="E37" s="20">
        <f>IFERROR(1/C37,"")</f>
        <v/>
      </c>
    </row>
    <row r="38">
      <c r="A38" s="18" t="n">
        <v>45565</v>
      </c>
      <c r="B38" s="6" t="n">
        <v>13223.35</v>
      </c>
      <c r="C38" s="7" t="n">
        <v>67.02</v>
      </c>
      <c r="D38" s="19">
        <f>IFERROR(B38/C38,"")</f>
        <v/>
      </c>
      <c r="E38" s="20">
        <f>IFERROR(1/C38,"")</f>
        <v/>
      </c>
    </row>
    <row r="39">
      <c r="A39" s="18" t="n">
        <v>45596</v>
      </c>
      <c r="B39" s="6" t="n">
        <v>12343.15</v>
      </c>
      <c r="C39" s="7" t="n">
        <v>52.41</v>
      </c>
      <c r="D39" s="19">
        <f>IFERROR(B39/C39,"")</f>
        <v/>
      </c>
      <c r="E39" s="20">
        <f>IFERROR(1/C39,"")</f>
        <v/>
      </c>
    </row>
    <row r="40">
      <c r="A40" s="18" t="n">
        <v>45626</v>
      </c>
      <c r="B40" s="6" t="n">
        <v>12619.5</v>
      </c>
      <c r="C40" s="7" t="n">
        <v>50.38</v>
      </c>
      <c r="D40" s="19">
        <f>IFERROR(B40/C40,"")</f>
        <v/>
      </c>
      <c r="E40" s="20">
        <f>IFERROR(1/C40,"")</f>
        <v/>
      </c>
    </row>
    <row r="41">
      <c r="A41" s="18" t="n">
        <v>45657</v>
      </c>
      <c r="B41" s="6" t="n">
        <v>12907.3</v>
      </c>
      <c r="C41" s="7" t="n">
        <v>54.73</v>
      </c>
      <c r="D41" s="19">
        <f>IFERROR(B41/C41,"")</f>
        <v/>
      </c>
      <c r="E41" s="20">
        <f>IFERROR(1/C41,"")</f>
        <v/>
      </c>
    </row>
    <row r="42">
      <c r="A42" s="18" t="n">
        <v>45688</v>
      </c>
      <c r="B42" s="6" t="n">
        <v>11930.85</v>
      </c>
      <c r="C42" s="7" t="n">
        <v>44.8</v>
      </c>
      <c r="D42" s="19">
        <f>IFERROR(B42/C42,"")</f>
        <v/>
      </c>
      <c r="E42" s="20">
        <f>IFERROR(1/C42,"")</f>
        <v/>
      </c>
    </row>
    <row r="43">
      <c r="A43" s="18" t="n">
        <v>45716</v>
      </c>
      <c r="B43" s="6" t="n">
        <v>10770.75</v>
      </c>
      <c r="C43" s="7" t="n">
        <v>40.57</v>
      </c>
      <c r="D43" s="19">
        <f>IFERROR(B43/C43,"")</f>
        <v/>
      </c>
      <c r="E43" s="20">
        <f>IFERROR(1/C43,"")</f>
        <v/>
      </c>
    </row>
    <row r="44">
      <c r="A44" s="18" t="n">
        <v>45747</v>
      </c>
      <c r="B44" s="6" t="n">
        <v>11546</v>
      </c>
      <c r="C44" s="7" t="n">
        <v>62.5</v>
      </c>
      <c r="D44" s="19">
        <f>IFERROR(B44/C44,"")</f>
        <v/>
      </c>
      <c r="E44" s="20">
        <f>IFERROR(1/C44,"")</f>
        <v/>
      </c>
    </row>
    <row r="45">
      <c r="A45" s="18" t="n">
        <v>45777</v>
      </c>
      <c r="B45" s="6" t="n">
        <v>12075.3</v>
      </c>
      <c r="C45" s="7" t="n">
        <v>54.19</v>
      </c>
      <c r="D45" s="19">
        <f>IFERROR(B45/C45,"")</f>
        <v/>
      </c>
      <c r="E45" s="20">
        <f>IFERROR(1/C45,"")</f>
        <v/>
      </c>
    </row>
    <row r="46">
      <c r="A46" s="18" t="n">
        <v>45808</v>
      </c>
      <c r="B46" s="6" t="n">
        <v>12712.2</v>
      </c>
      <c r="C46" s="7" t="n">
        <v>53.62</v>
      </c>
      <c r="D46" s="19">
        <f>IFERROR(B46/C46,"")</f>
        <v/>
      </c>
      <c r="E46" s="20">
        <f>IFERROR(1/C46,"")</f>
        <v/>
      </c>
    </row>
    <row r="47">
      <c r="A47" s="18" t="n">
        <v>45838</v>
      </c>
      <c r="B47" s="6" t="n">
        <v>13433.85</v>
      </c>
      <c r="C47" s="7" t="n">
        <v>55.05</v>
      </c>
      <c r="D47" s="19">
        <f>IFERROR(B47/C47,"")</f>
        <v/>
      </c>
      <c r="E47" s="20">
        <f>IFERROR(1/C47,"")</f>
        <v/>
      </c>
    </row>
    <row r="48">
      <c r="A48" s="18" t="n">
        <v>45869</v>
      </c>
      <c r="B48" s="6" t="n">
        <v>12867.1</v>
      </c>
      <c r="C48" s="7" t="n">
        <v>50.95</v>
      </c>
      <c r="D48" s="19">
        <f>IFERROR(B48/C48,"")</f>
        <v/>
      </c>
      <c r="E48" s="20">
        <f>IFERROR(1/C48,"")</f>
        <v/>
      </c>
    </row>
    <row r="49">
      <c r="A49" s="18" t="n">
        <v>45900</v>
      </c>
      <c r="B49" s="6" t="n">
        <v>12450.2</v>
      </c>
      <c r="C49" s="7" t="n">
        <v>45.21</v>
      </c>
      <c r="D49" s="19">
        <f>IFERROR(B49/C49,"")</f>
        <v/>
      </c>
      <c r="E49" s="20">
        <f>IFERROR(1/C49,"")</f>
        <v/>
      </c>
    </row>
    <row r="50">
      <c r="A50" s="18" t="n">
        <v>45930</v>
      </c>
      <c r="B50" s="6" t="n">
        <v>12599.25</v>
      </c>
      <c r="C50" s="7" t="n">
        <v>28.62</v>
      </c>
      <c r="D50" s="19">
        <f>IFERROR(B50/C50,"")</f>
        <v/>
      </c>
      <c r="E50" s="20">
        <f>IFERROR(1/C50,"")</f>
        <v/>
      </c>
    </row>
    <row r="51">
      <c r="A51" s="18" t="n">
        <v>45961</v>
      </c>
      <c r="B51" s="6" t="n">
        <v>13467.85</v>
      </c>
      <c r="C51" s="7" t="n">
        <v>29.87</v>
      </c>
      <c r="D51" s="19">
        <f>IFERROR(B51/C51,"")</f>
        <v/>
      </c>
      <c r="E51" s="20">
        <f>IFERROR(1/C51,"")</f>
        <v/>
      </c>
    </row>
    <row r="52">
      <c r="A52" s="18" t="n">
        <v>45991</v>
      </c>
      <c r="B52" s="6" t="n">
        <v>14043.7</v>
      </c>
      <c r="C52" s="7" t="n">
        <v>29.68</v>
      </c>
      <c r="D52" s="19">
        <f>IFERROR(B52/C52,"")</f>
        <v/>
      </c>
      <c r="E52" s="20">
        <f>IFERROR(1/C52,"")</f>
        <v/>
      </c>
    </row>
    <row r="53">
      <c r="A53" s="18" t="n">
        <v>46022</v>
      </c>
      <c r="B53" s="6" t="n">
        <v>13777.25</v>
      </c>
      <c r="C53" s="7" t="n">
        <v>29.24</v>
      </c>
      <c r="D53" s="19">
        <f>IFERROR(B53/C53,"")</f>
        <v/>
      </c>
      <c r="E53" s="20">
        <f>IFERROR(1/C53,"")</f>
        <v/>
      </c>
    </row>
    <row r="54">
      <c r="A54" s="18" t="n">
        <v>46053</v>
      </c>
      <c r="B54" s="6" t="n">
        <v>13400.05</v>
      </c>
      <c r="C54" s="7" t="n">
        <v>28.25</v>
      </c>
      <c r="D54" s="19">
        <f>IFERROR(B54/C54,"")</f>
        <v/>
      </c>
      <c r="E54" s="20">
        <f>IFERROR(1/C54,"")</f>
        <v/>
      </c>
    </row>
    <row r="55">
      <c r="A55" s="18" t="n">
        <v>46081</v>
      </c>
      <c r="B55" s="6" t="n">
        <v>13491.45</v>
      </c>
      <c r="C55" s="7" t="n">
        <v>28.37</v>
      </c>
      <c r="D55" s="19">
        <f>IFERROR(B55/C55,"")</f>
        <v/>
      </c>
      <c r="E55" s="20">
        <f>IFERROR(1/C55,"")</f>
        <v/>
      </c>
    </row>
    <row r="56">
      <c r="A56" s="18" t="n">
        <v>46112</v>
      </c>
      <c r="B56" s="6" t="n">
        <v>12158.75</v>
      </c>
      <c r="C56" s="7" t="n">
        <v>29.66</v>
      </c>
      <c r="D56" s="19">
        <f>IFERROR(B56/C56,"")</f>
        <v/>
      </c>
      <c r="E56" s="20">
        <f>IFERROR(1/C56,"")</f>
        <v/>
      </c>
    </row>
    <row r="57">
      <c r="A57" s="18" t="n">
        <v>46142</v>
      </c>
      <c r="B57" s="6" t="n">
        <v>13826</v>
      </c>
      <c r="C57" s="7" t="n">
        <v>31.22</v>
      </c>
      <c r="D57" s="19">
        <f>IFERROR(B57/C57,"")</f>
        <v/>
      </c>
      <c r="E57" s="20">
        <f>IFERROR(1/C57,"")</f>
        <v/>
      </c>
    </row>
    <row r="58">
      <c r="A58" s="18" t="n">
        <v>46173</v>
      </c>
      <c r="B58" s="6" t="n">
        <v>14474.9</v>
      </c>
      <c r="C58" s="7" t="n">
        <v>30.19</v>
      </c>
      <c r="D58" s="19">
        <f>IFERROR(B58/C58,"")</f>
        <v/>
      </c>
      <c r="E58" s="20">
        <f>IFERROR(1/C58,"")</f>
        <v/>
      </c>
    </row>
    <row r="59">
      <c r="A59" s="18" t="n">
        <v>46203</v>
      </c>
      <c r="B59" s="6" t="n">
        <v>14426.35</v>
      </c>
      <c r="C59" s="7" t="n">
        <v>30.17</v>
      </c>
      <c r="D59" s="19">
        <f>IFERROR(B59/C59,"")</f>
        <v/>
      </c>
      <c r="E59" s="20">
        <f>IFERROR(1/C59,"")</f>
        <v/>
      </c>
    </row>
    <row r="60">
      <c r="A60" s="18" t="n">
        <v>46234</v>
      </c>
      <c r="B60" s="6" t="n">
        <v>14784.4</v>
      </c>
      <c r="C60" s="7" t="n">
        <v>35.66</v>
      </c>
      <c r="D60" s="19">
        <f>IFERROR(B60/C60,"")</f>
        <v/>
      </c>
      <c r="E60" s="20">
        <f>IFERROR(1/C60,"")</f>
        <v/>
      </c>
    </row>
    <row r="61">
      <c r="A61" s="18" t="n">
        <v>46265</v>
      </c>
      <c r="B61" s="6" t="n">
        <v>15028.6</v>
      </c>
      <c r="C61" s="7" t="n">
        <v>32.8</v>
      </c>
      <c r="D61" s="19">
        <f>IFERROR(B61/C61,"")</f>
        <v/>
      </c>
      <c r="E61" s="20">
        <f>IFERROR(1/C61,"")</f>
        <v/>
      </c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4" customWidth="1" min="4" max="4"/>
    <col width="22" customWidth="1" min="5" max="5"/>
    <col width="34" customWidth="1" min="6" max="6"/>
    <col width="34" customWidth="1" min="7" max="7"/>
    <col width="34" customWidth="1" min="8" max="8"/>
    <col width="24" customWidth="1" min="9" max="9"/>
    <col width="31" customWidth="1" min="10" max="10"/>
    <col width="13" customWidth="1" min="11" max="11"/>
    <col width="14" customWidth="1" min="12" max="12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Regime</t>
        </is>
      </c>
      <c r="E1" s="13" t="inlineStr">
        <is>
          <t>Implied EPS</t>
        </is>
      </c>
      <c r="F1" s="13" t="inlineStr">
        <is>
          <t>YoY EPS Growth</t>
        </is>
      </c>
      <c r="G1" s="13" t="inlineStr">
        <is>
          <t>P/E Percentile</t>
        </is>
      </c>
      <c r="H1" s="13" t="inlineStr">
        <is>
          <t>Valuation Quintile</t>
        </is>
      </c>
      <c r="I1" s="13" t="inlineStr">
        <is>
          <t>Fwd 1Y</t>
        </is>
      </c>
      <c r="J1" s="13" t="inlineStr">
        <is>
          <t>Fwd 3Y CAGR</t>
        </is>
      </c>
      <c r="K1" s="13" t="inlineStr">
        <is>
          <t>Fwd 5Y CAGR</t>
        </is>
      </c>
      <c r="L1" s="13" t="inlineStr">
        <is>
          <t>Fwd 10Y CAGR</t>
        </is>
      </c>
    </row>
    <row r="2">
      <c r="A2" s="18" t="n">
        <v>44469</v>
      </c>
      <c r="B2" s="6" t="n">
        <v>7401.59</v>
      </c>
      <c r="C2" s="7" t="n">
        <v>28.72</v>
      </c>
      <c r="D2" s="2" t="inlineStr">
        <is>
          <t>Consolidated</t>
        </is>
      </c>
      <c r="E2" s="21">
        <f>IFERROR(B2/C2,"")</f>
        <v/>
      </c>
      <c r="F2" s="16" t="n"/>
      <c r="G2" s="16">
        <f>IF(C2="","",(COUNTIFS($D$2:$D$21,D2,$C$2:$C$21,"&gt;0",$C$2:$C$21,"&lt;"&amp;C2)+(COUNTIFS($D$2:$D$21,D2,$C$2:$C$21,C2)+1)/2)/COUNTIFS($D$2:$D$21,D2,$C$2:$C$21,"&gt;0"))</f>
        <v/>
      </c>
      <c r="H2">
        <f>IF(G2="","",IF(G2&lt;=20%,"Q1 Cheapest",IF(G2&lt;=40%,"Q2",IF(G2&lt;=60%,"Q3",IF(G2&lt;=80%,"Q4","Q5 Most Expensive")))))</f>
        <v/>
      </c>
      <c r="I2" s="16">
        <f>IFERROR(B6/B2-1,"")</f>
        <v/>
      </c>
      <c r="J2" s="16">
        <f>IFERROR((B14/B2)^(1/3)-1,"")</f>
        <v/>
      </c>
      <c r="K2" s="16" t="n"/>
      <c r="L2" s="16" t="n"/>
    </row>
    <row r="3">
      <c r="A3" s="18" t="n">
        <v>44561</v>
      </c>
      <c r="B3" s="6" t="n">
        <v>7357.96</v>
      </c>
      <c r="C3" s="7" t="n">
        <v>26.8</v>
      </c>
      <c r="D3" s="2" t="inlineStr">
        <is>
          <t>Consolidated</t>
        </is>
      </c>
      <c r="E3" s="21">
        <f>IFERROR(B3/C3,"")</f>
        <v/>
      </c>
      <c r="F3" s="16" t="n"/>
      <c r="G3" s="16">
        <f>IF(C3="","",(COUNTIFS($D$2:$D$21,D3,$C$2:$C$21,"&gt;0",$C$2:$C$21,"&lt;"&amp;C3)+(COUNTIFS($D$2:$D$21,D3,$C$2:$C$21,C3)+1)/2)/COUNTIFS($D$2:$D$21,D3,$C$2:$C$21,"&gt;0"))</f>
        <v/>
      </c>
      <c r="H3">
        <f>IF(G3="","",IF(G3&lt;=20%,"Q1 Cheapest",IF(G3&lt;=40%,"Q2",IF(G3&lt;=60%,"Q3",IF(G3&lt;=80%,"Q4","Q5 Most Expensive")))))</f>
        <v/>
      </c>
      <c r="I3" s="16">
        <f>IFERROR(B7/B3-1,"")</f>
        <v/>
      </c>
      <c r="J3" s="16">
        <f>IFERROR((B15/B3)^(1/3)-1,"")</f>
        <v/>
      </c>
      <c r="K3" s="16" t="n"/>
      <c r="L3" s="16" t="n"/>
    </row>
    <row r="4">
      <c r="A4" s="18" t="n">
        <v>44651</v>
      </c>
      <c r="B4" s="6" t="n">
        <v>7297.6</v>
      </c>
      <c r="C4" s="7" t="n">
        <v>31.89</v>
      </c>
      <c r="D4" s="2" t="inlineStr">
        <is>
          <t>Consolidated</t>
        </is>
      </c>
      <c r="E4" s="21">
        <f>IFERROR(B4/C4,"")</f>
        <v/>
      </c>
      <c r="F4" s="16" t="n"/>
      <c r="G4" s="16">
        <f>IF(C4="","",(COUNTIFS($D$2:$D$21,D4,$C$2:$C$21,"&gt;0",$C$2:$C$21,"&lt;"&amp;C4)+(COUNTIFS($D$2:$D$21,D4,$C$2:$C$21,C4)+1)/2)/COUNTIFS($D$2:$D$21,D4,$C$2:$C$21,"&gt;0"))</f>
        <v/>
      </c>
      <c r="H4">
        <f>IF(G4="","",IF(G4&lt;=20%,"Q1 Cheapest",IF(G4&lt;=40%,"Q2",IF(G4&lt;=60%,"Q3",IF(G4&lt;=80%,"Q4","Q5 Most Expensive")))))</f>
        <v/>
      </c>
      <c r="I4" s="16">
        <f>IFERROR(B8/B4-1,"")</f>
        <v/>
      </c>
      <c r="J4" s="16">
        <f>IFERROR((B16/B4)^(1/3)-1,"")</f>
        <v/>
      </c>
      <c r="K4" s="16" t="n"/>
      <c r="L4" s="16" t="n"/>
    </row>
    <row r="5">
      <c r="A5" s="18" t="n">
        <v>44742</v>
      </c>
      <c r="B5" s="6" t="n">
        <v>6361.2</v>
      </c>
      <c r="C5" s="7" t="n">
        <v>28.46</v>
      </c>
      <c r="D5" s="2" t="inlineStr">
        <is>
          <t>Consolidated</t>
        </is>
      </c>
      <c r="E5" s="21">
        <f>IFERROR(B5/C5,"")</f>
        <v/>
      </c>
      <c r="F5" s="16" t="n"/>
      <c r="G5" s="16">
        <f>IF(C5="","",(COUNTIFS($D$2:$D$21,D5,$C$2:$C$21,"&gt;0",$C$2:$C$21,"&lt;"&amp;C5)+(COUNTIFS($D$2:$D$21,D5,$C$2:$C$21,C5)+1)/2)/COUNTIFS($D$2:$D$21,D5,$C$2:$C$21,"&gt;0"))</f>
        <v/>
      </c>
      <c r="H5">
        <f>IF(G5="","",IF(G5&lt;=20%,"Q1 Cheapest",IF(G5&lt;=40%,"Q2",IF(G5&lt;=60%,"Q3",IF(G5&lt;=80%,"Q4","Q5 Most Expensive")))))</f>
        <v/>
      </c>
      <c r="I5" s="16">
        <f>IFERROR(B9/B5-1,"")</f>
        <v/>
      </c>
      <c r="J5" s="16">
        <f>IFERROR((B17/B5)^(1/3)-1,"")</f>
        <v/>
      </c>
      <c r="K5" s="16" t="n"/>
      <c r="L5" s="16" t="n"/>
    </row>
    <row r="6">
      <c r="A6" s="18" t="n">
        <v>44834</v>
      </c>
      <c r="B6" s="6" t="n">
        <v>7205.1</v>
      </c>
      <c r="C6" s="7" t="n">
        <v>37.71</v>
      </c>
      <c r="D6" s="2" t="inlineStr">
        <is>
          <t>Consolidated</t>
        </is>
      </c>
      <c r="E6" s="21">
        <f>IFERROR(B6/C6,"")</f>
        <v/>
      </c>
      <c r="F6" s="16">
        <f>IF(AND(D6=D2,E2&lt;&gt;""),E6/E2-1,"")</f>
        <v/>
      </c>
      <c r="G6" s="16">
        <f>IF(C6="","",(COUNTIFS($D$2:$D$21,D6,$C$2:$C$21,"&gt;0",$C$2:$C$21,"&lt;"&amp;C6)+(COUNTIFS($D$2:$D$21,D6,$C$2:$C$21,C6)+1)/2)/COUNTIFS($D$2:$D$21,D6,$C$2:$C$21,"&gt;0"))</f>
        <v/>
      </c>
      <c r="H6">
        <f>IF(G6="","",IF(G6&lt;=20%,"Q1 Cheapest",IF(G6&lt;=40%,"Q2",IF(G6&lt;=60%,"Q3",IF(G6&lt;=80%,"Q4","Q5 Most Expensive")))))</f>
        <v/>
      </c>
      <c r="I6" s="16">
        <f>IFERROR(B10/B6-1,"")</f>
        <v/>
      </c>
      <c r="J6" s="16">
        <f>IFERROR((B18/B6)^(1/3)-1,"")</f>
        <v/>
      </c>
      <c r="K6" s="16" t="n"/>
      <c r="L6" s="16" t="n"/>
    </row>
    <row r="7">
      <c r="A7" s="18" t="n">
        <v>44926</v>
      </c>
      <c r="B7" s="6" t="n">
        <v>7180.95</v>
      </c>
      <c r="C7" s="7" t="n">
        <v>45.83</v>
      </c>
      <c r="D7" s="2" t="inlineStr">
        <is>
          <t>Consolidated</t>
        </is>
      </c>
      <c r="E7" s="21">
        <f>IFERROR(B7/C7,"")</f>
        <v/>
      </c>
      <c r="F7" s="16">
        <f>IF(AND(D7=D3,E3&lt;&gt;""),E7/E3-1,"")</f>
        <v/>
      </c>
      <c r="G7" s="16">
        <f>IF(C7="","",(COUNTIFS($D$2:$D$21,D7,$C$2:$C$21,"&gt;0",$C$2:$C$21,"&lt;"&amp;C7)+(COUNTIFS($D$2:$D$21,D7,$C$2:$C$21,C7)+1)/2)/COUNTIFS($D$2:$D$21,D7,$C$2:$C$21,"&gt;0"))</f>
        <v/>
      </c>
      <c r="H7">
        <f>IF(G7="","",IF(G7&lt;=20%,"Q1 Cheapest",IF(G7&lt;=40%,"Q2",IF(G7&lt;=60%,"Q3",IF(G7&lt;=80%,"Q4","Q5 Most Expensive")))))</f>
        <v/>
      </c>
      <c r="I7" s="16">
        <f>IFERROR(B11/B7-1,"")</f>
        <v/>
      </c>
      <c r="J7" s="16">
        <f>IFERROR((B19/B7)^(1/3)-1,"")</f>
        <v/>
      </c>
      <c r="K7" s="16" t="n"/>
      <c r="L7" s="16" t="n"/>
    </row>
    <row r="8">
      <c r="A8" s="18" t="n">
        <v>45016</v>
      </c>
      <c r="B8" s="6" t="n">
        <v>6816.35</v>
      </c>
      <c r="C8" s="7" t="n">
        <v>31.59</v>
      </c>
      <c r="D8" s="2" t="inlineStr">
        <is>
          <t>Consolidated</t>
        </is>
      </c>
      <c r="E8" s="21">
        <f>IFERROR(B8/C8,"")</f>
        <v/>
      </c>
      <c r="F8" s="16">
        <f>IF(AND(D8=D4,E4&lt;&gt;""),E8/E4-1,"")</f>
        <v/>
      </c>
      <c r="G8" s="16">
        <f>IF(C8="","",(COUNTIFS($D$2:$D$21,D8,$C$2:$C$21,"&gt;0",$C$2:$C$21,"&lt;"&amp;C8)+(COUNTIFS($D$2:$D$21,D8,$C$2:$C$21,C8)+1)/2)/COUNTIFS($D$2:$D$21,D8,$C$2:$C$21,"&gt;0"))</f>
        <v/>
      </c>
      <c r="H8">
        <f>IF(G8="","",IF(G8&lt;=20%,"Q1 Cheapest",IF(G8&lt;=40%,"Q2",IF(G8&lt;=60%,"Q3",IF(G8&lt;=80%,"Q4","Q5 Most Expensive")))))</f>
        <v/>
      </c>
      <c r="I8" s="16">
        <f>IFERROR(B12/B8-1,"")</f>
        <v/>
      </c>
      <c r="J8" s="16">
        <f>IFERROR((B20/B8)^(1/3)-1,"")</f>
        <v/>
      </c>
      <c r="K8" s="16" t="n"/>
      <c r="L8" s="16" t="n"/>
    </row>
    <row r="9">
      <c r="A9" s="18" t="n">
        <v>45107</v>
      </c>
      <c r="B9" s="6" t="n">
        <v>8229.799999999999</v>
      </c>
      <c r="C9" s="7" t="n">
        <v>34.97</v>
      </c>
      <c r="D9" s="2" t="inlineStr">
        <is>
          <t>Consolidated</t>
        </is>
      </c>
      <c r="E9" s="21">
        <f>IFERROR(B9/C9,"")</f>
        <v/>
      </c>
      <c r="F9" s="16">
        <f>IF(AND(D9=D5,E5&lt;&gt;""),E9/E5-1,"")</f>
        <v/>
      </c>
      <c r="G9" s="16">
        <f>IF(C9="","",(COUNTIFS($D$2:$D$21,D9,$C$2:$C$21,"&gt;0",$C$2:$C$21,"&lt;"&amp;C9)+(COUNTIFS($D$2:$D$21,D9,$C$2:$C$21,C9)+1)/2)/COUNTIFS($D$2:$D$21,D9,$C$2:$C$21,"&gt;0"))</f>
        <v/>
      </c>
      <c r="H9">
        <f>IF(G9="","",IF(G9&lt;=20%,"Q1 Cheapest",IF(G9&lt;=40%,"Q2",IF(G9&lt;=60%,"Q3",IF(G9&lt;=80%,"Q4","Q5 Most Expensive")))))</f>
        <v/>
      </c>
      <c r="I9" s="16">
        <f>IFERROR(B13/B9-1,"")</f>
        <v/>
      </c>
      <c r="J9" s="16">
        <f>IFERROR((B21/B9)^(1/3)-1,"")</f>
        <v/>
      </c>
      <c r="K9" s="16" t="n"/>
      <c r="L9" s="16" t="n"/>
    </row>
    <row r="10">
      <c r="A10" s="18" t="n">
        <v>45199</v>
      </c>
      <c r="B10" s="6" t="n">
        <v>9105.35</v>
      </c>
      <c r="C10" s="7" t="n">
        <v>20.5</v>
      </c>
      <c r="D10" s="2" t="inlineStr">
        <is>
          <t>Consolidated</t>
        </is>
      </c>
      <c r="E10" s="21">
        <f>IFERROR(B10/C10,"")</f>
        <v/>
      </c>
      <c r="F10" s="16">
        <f>IF(AND(D10=D6,E6&lt;&gt;""),E10/E6-1,"")</f>
        <v/>
      </c>
      <c r="G10" s="16">
        <f>IF(C10="","",(COUNTIFS($D$2:$D$21,D10,$C$2:$C$21,"&gt;0",$C$2:$C$21,"&lt;"&amp;C10)+(COUNTIFS($D$2:$D$21,D10,$C$2:$C$21,C10)+1)/2)/COUNTIFS($D$2:$D$21,D10,$C$2:$C$21,"&gt;0"))</f>
        <v/>
      </c>
      <c r="H10">
        <f>IF(G10="","",IF(G10&lt;=20%,"Q1 Cheapest",IF(G10&lt;=40%,"Q2",IF(G10&lt;=60%,"Q3",IF(G10&lt;=80%,"Q4","Q5 Most Expensive")))))</f>
        <v/>
      </c>
      <c r="I10" s="16">
        <f>IFERROR(B14/B10-1,"")</f>
        <v/>
      </c>
      <c r="J10" s="16" t="n"/>
      <c r="K10" s="16" t="n"/>
      <c r="L10" s="16" t="n"/>
    </row>
    <row r="11">
      <c r="A11" s="18" t="n">
        <v>45291</v>
      </c>
      <c r="B11" s="6" t="n">
        <v>10397.55</v>
      </c>
      <c r="C11" s="7" t="n">
        <v>19.84</v>
      </c>
      <c r="D11" s="2" t="inlineStr">
        <is>
          <t>Consolidated</t>
        </is>
      </c>
      <c r="E11" s="21">
        <f>IFERROR(B11/C11,"")</f>
        <v/>
      </c>
      <c r="F11" s="16">
        <f>IF(AND(D11=D7,E7&lt;&gt;""),E11/E7-1,"")</f>
        <v/>
      </c>
      <c r="G11" s="16">
        <f>IF(C11="","",(COUNTIFS($D$2:$D$21,D11,$C$2:$C$21,"&gt;0",$C$2:$C$21,"&lt;"&amp;C11)+(COUNTIFS($D$2:$D$21,D11,$C$2:$C$21,C11)+1)/2)/COUNTIFS($D$2:$D$21,D11,$C$2:$C$21,"&gt;0"))</f>
        <v/>
      </c>
      <c r="H11">
        <f>IF(G11="","",IF(G11&lt;=20%,"Q1 Cheapest",IF(G11&lt;=40%,"Q2",IF(G11&lt;=60%,"Q3",IF(G11&lt;=80%,"Q4","Q5 Most Expensive")))))</f>
        <v/>
      </c>
      <c r="I11" s="16">
        <f>IFERROR(B15/B11-1,"")</f>
        <v/>
      </c>
      <c r="J11" s="16" t="n"/>
      <c r="K11" s="16" t="n"/>
      <c r="L11" s="16" t="n"/>
    </row>
    <row r="12">
      <c r="A12" s="18" t="n">
        <v>45382</v>
      </c>
      <c r="B12" s="6" t="n">
        <v>10525.3</v>
      </c>
      <c r="C12" s="7" t="n">
        <v>33.96</v>
      </c>
      <c r="D12" s="2" t="inlineStr">
        <is>
          <t>Consolidated</t>
        </is>
      </c>
      <c r="E12" s="21">
        <f>IFERROR(B12/C12,"")</f>
        <v/>
      </c>
      <c r="F12" s="16">
        <f>IF(AND(D12=D8,E8&lt;&gt;""),E12/E8-1,"")</f>
        <v/>
      </c>
      <c r="G12" s="16">
        <f>IF(C12="","",(COUNTIFS($D$2:$D$21,D12,$C$2:$C$21,"&gt;0",$C$2:$C$21,"&lt;"&amp;C12)+(COUNTIFS($D$2:$D$21,D12,$C$2:$C$21,C12)+1)/2)/COUNTIFS($D$2:$D$21,D12,$C$2:$C$21,"&gt;0"))</f>
        <v/>
      </c>
      <c r="H12">
        <f>IF(G12="","",IF(G12&lt;=20%,"Q1 Cheapest",IF(G12&lt;=40%,"Q2",IF(G12&lt;=60%,"Q3",IF(G12&lt;=80%,"Q4","Q5 Most Expensive")))))</f>
        <v/>
      </c>
      <c r="I12" s="16">
        <f>IFERROR(B16/B12-1,"")</f>
        <v/>
      </c>
      <c r="J12" s="16" t="n"/>
      <c r="K12" s="16" t="n"/>
      <c r="L12" s="16" t="n"/>
    </row>
    <row r="13">
      <c r="A13" s="18" t="n">
        <v>45473</v>
      </c>
      <c r="B13" s="6" t="n">
        <v>12250.8</v>
      </c>
      <c r="C13" s="7" t="n">
        <v>53.21</v>
      </c>
      <c r="D13" s="2" t="inlineStr">
        <is>
          <t>Consolidated</t>
        </is>
      </c>
      <c r="E13" s="21">
        <f>IFERROR(B13/C13,"")</f>
        <v/>
      </c>
      <c r="F13" s="16">
        <f>IF(AND(D13=D9,E9&lt;&gt;""),E13/E9-1,"")</f>
        <v/>
      </c>
      <c r="G13" s="16">
        <f>IF(C13="","",(COUNTIFS($D$2:$D$21,D13,$C$2:$C$21,"&gt;0",$C$2:$C$21,"&lt;"&amp;C13)+(COUNTIFS($D$2:$D$21,D13,$C$2:$C$21,C13)+1)/2)/COUNTIFS($D$2:$D$21,D13,$C$2:$C$21,"&gt;0"))</f>
        <v/>
      </c>
      <c r="H13">
        <f>IF(G13="","",IF(G13&lt;=20%,"Q1 Cheapest",IF(G13&lt;=40%,"Q2",IF(G13&lt;=60%,"Q3",IF(G13&lt;=80%,"Q4","Q5 Most Expensive")))))</f>
        <v/>
      </c>
      <c r="I13" s="16">
        <f>IFERROR(B17/B13-1,"")</f>
        <v/>
      </c>
      <c r="J13" s="16" t="n"/>
      <c r="K13" s="16" t="n"/>
      <c r="L13" s="16" t="n"/>
    </row>
    <row r="14">
      <c r="A14" s="18" t="n">
        <v>45565</v>
      </c>
      <c r="B14" s="6" t="n">
        <v>13223.35</v>
      </c>
      <c r="C14" s="7" t="n">
        <v>67.02</v>
      </c>
      <c r="D14" s="2" t="inlineStr">
        <is>
          <t>Consolidated</t>
        </is>
      </c>
      <c r="E14" s="21">
        <f>IFERROR(B14/C14,"")</f>
        <v/>
      </c>
      <c r="F14" s="16">
        <f>IF(AND(D14=D10,E10&lt;&gt;""),E14/E10-1,"")</f>
        <v/>
      </c>
      <c r="G14" s="16">
        <f>IF(C14="","",(COUNTIFS($D$2:$D$21,D14,$C$2:$C$21,"&gt;0",$C$2:$C$21,"&lt;"&amp;C14)+(COUNTIFS($D$2:$D$21,D14,$C$2:$C$21,C14)+1)/2)/COUNTIFS($D$2:$D$21,D14,$C$2:$C$21,"&gt;0"))</f>
        <v/>
      </c>
      <c r="H14">
        <f>IF(G14="","",IF(G14&lt;=20%,"Q1 Cheapest",IF(G14&lt;=40%,"Q2",IF(G14&lt;=60%,"Q3",IF(G14&lt;=80%,"Q4","Q5 Most Expensive")))))</f>
        <v/>
      </c>
      <c r="I14" s="16">
        <f>IFERROR(B18/B14-1,"")</f>
        <v/>
      </c>
      <c r="J14" s="16" t="n"/>
      <c r="K14" s="16" t="n"/>
      <c r="L14" s="16" t="n"/>
    </row>
    <row r="15">
      <c r="A15" s="18" t="n">
        <v>45657</v>
      </c>
      <c r="B15" s="6" t="n">
        <v>12907.3</v>
      </c>
      <c r="C15" s="7" t="n">
        <v>54.73</v>
      </c>
      <c r="D15" s="2" t="inlineStr">
        <is>
          <t>Consolidated</t>
        </is>
      </c>
      <c r="E15" s="21">
        <f>IFERROR(B15/C15,"")</f>
        <v/>
      </c>
      <c r="F15" s="16">
        <f>IF(AND(D15=D11,E11&lt;&gt;""),E15/E11-1,"")</f>
        <v/>
      </c>
      <c r="G15" s="16">
        <f>IF(C15="","",(COUNTIFS($D$2:$D$21,D15,$C$2:$C$21,"&gt;0",$C$2:$C$21,"&lt;"&amp;C15)+(COUNTIFS($D$2:$D$21,D15,$C$2:$C$21,C15)+1)/2)/COUNTIFS($D$2:$D$21,D15,$C$2:$C$21,"&gt;0"))</f>
        <v/>
      </c>
      <c r="H15">
        <f>IF(G15="","",IF(G15&lt;=20%,"Q1 Cheapest",IF(G15&lt;=40%,"Q2",IF(G15&lt;=60%,"Q3",IF(G15&lt;=80%,"Q4","Q5 Most Expensive")))))</f>
        <v/>
      </c>
      <c r="I15" s="16">
        <f>IFERROR(B19/B15-1,"")</f>
        <v/>
      </c>
      <c r="J15" s="16" t="n"/>
      <c r="K15" s="16" t="n"/>
      <c r="L15" s="16" t="n"/>
    </row>
    <row r="16">
      <c r="A16" s="18" t="n">
        <v>45747</v>
      </c>
      <c r="B16" s="6" t="n">
        <v>11546</v>
      </c>
      <c r="C16" s="7" t="n">
        <v>62.5</v>
      </c>
      <c r="D16" s="2" t="inlineStr">
        <is>
          <t>Consolidated</t>
        </is>
      </c>
      <c r="E16" s="21">
        <f>IFERROR(B16/C16,"")</f>
        <v/>
      </c>
      <c r="F16" s="16">
        <f>IF(AND(D16=D12,E12&lt;&gt;""),E16/E12-1,"")</f>
        <v/>
      </c>
      <c r="G16" s="16">
        <f>IF(C16="","",(COUNTIFS($D$2:$D$21,D16,$C$2:$C$21,"&gt;0",$C$2:$C$21,"&lt;"&amp;C16)+(COUNTIFS($D$2:$D$21,D16,$C$2:$C$21,C16)+1)/2)/COUNTIFS($D$2:$D$21,D16,$C$2:$C$21,"&gt;0"))</f>
        <v/>
      </c>
      <c r="H16">
        <f>IF(G16="","",IF(G16&lt;=20%,"Q1 Cheapest",IF(G16&lt;=40%,"Q2",IF(G16&lt;=60%,"Q3",IF(G16&lt;=80%,"Q4","Q5 Most Expensive")))))</f>
        <v/>
      </c>
      <c r="I16" s="16">
        <f>IFERROR(B20/B16-1,"")</f>
        <v/>
      </c>
      <c r="J16" s="16" t="n"/>
      <c r="K16" s="16" t="n"/>
      <c r="L16" s="16" t="n"/>
    </row>
    <row r="17">
      <c r="A17" s="18" t="n">
        <v>45838</v>
      </c>
      <c r="B17" s="6" t="n">
        <v>13433.85</v>
      </c>
      <c r="C17" s="7" t="n">
        <v>55.05</v>
      </c>
      <c r="D17" s="2" t="inlineStr">
        <is>
          <t>Consolidated</t>
        </is>
      </c>
      <c r="E17" s="21">
        <f>IFERROR(B17/C17,"")</f>
        <v/>
      </c>
      <c r="F17" s="16">
        <f>IF(AND(D17=D13,E13&lt;&gt;""),E17/E13-1,"")</f>
        <v/>
      </c>
      <c r="G17" s="16">
        <f>IF(C17="","",(COUNTIFS($D$2:$D$21,D17,$C$2:$C$21,"&gt;0",$C$2:$C$21,"&lt;"&amp;C17)+(COUNTIFS($D$2:$D$21,D17,$C$2:$C$21,C17)+1)/2)/COUNTIFS($D$2:$D$21,D17,$C$2:$C$21,"&gt;0"))</f>
        <v/>
      </c>
      <c r="H17">
        <f>IF(G17="","",IF(G17&lt;=20%,"Q1 Cheapest",IF(G17&lt;=40%,"Q2",IF(G17&lt;=60%,"Q3",IF(G17&lt;=80%,"Q4","Q5 Most Expensive")))))</f>
        <v/>
      </c>
      <c r="I17" s="16">
        <f>IFERROR(B21/B17-1,"")</f>
        <v/>
      </c>
      <c r="J17" s="16" t="n"/>
      <c r="K17" s="16" t="n"/>
      <c r="L17" s="16" t="n"/>
    </row>
    <row r="18">
      <c r="A18" s="18" t="n">
        <v>45930</v>
      </c>
      <c r="B18" s="6" t="n">
        <v>12599.25</v>
      </c>
      <c r="C18" s="7" t="n">
        <v>28.62</v>
      </c>
      <c r="D18" s="2" t="inlineStr">
        <is>
          <t>Consolidated</t>
        </is>
      </c>
      <c r="E18" s="21">
        <f>IFERROR(B18/C18,"")</f>
        <v/>
      </c>
      <c r="F18" s="16">
        <f>IF(AND(D18=D14,E14&lt;&gt;""),E18/E14-1,"")</f>
        <v/>
      </c>
      <c r="G18" s="16">
        <f>IF(C18="","",(COUNTIFS($D$2:$D$21,D18,$C$2:$C$21,"&gt;0",$C$2:$C$21,"&lt;"&amp;C18)+(COUNTIFS($D$2:$D$21,D18,$C$2:$C$21,C18)+1)/2)/COUNTIFS($D$2:$D$21,D18,$C$2:$C$21,"&gt;0"))</f>
        <v/>
      </c>
      <c r="H18">
        <f>IF(G18="","",IF(G18&lt;=20%,"Q1 Cheapest",IF(G18&lt;=40%,"Q2",IF(G18&lt;=60%,"Q3",IF(G18&lt;=80%,"Q4","Q5 Most Expensive")))))</f>
        <v/>
      </c>
      <c r="I18" s="16" t="n"/>
      <c r="J18" s="16" t="n"/>
      <c r="K18" s="16" t="n"/>
      <c r="L18" s="16" t="n"/>
    </row>
    <row r="19">
      <c r="A19" s="18" t="n">
        <v>46022</v>
      </c>
      <c r="B19" s="6" t="n">
        <v>13777.25</v>
      </c>
      <c r="C19" s="7" t="n">
        <v>29.24</v>
      </c>
      <c r="D19" s="2" t="inlineStr">
        <is>
          <t>Consolidated</t>
        </is>
      </c>
      <c r="E19" s="21">
        <f>IFERROR(B19/C19,"")</f>
        <v/>
      </c>
      <c r="F19" s="16">
        <f>IF(AND(D19=D15,E15&lt;&gt;""),E19/E15-1,"")</f>
        <v/>
      </c>
      <c r="G19" s="16">
        <f>IF(C19="","",(COUNTIFS($D$2:$D$21,D19,$C$2:$C$21,"&gt;0",$C$2:$C$21,"&lt;"&amp;C19)+(COUNTIFS($D$2:$D$21,D19,$C$2:$C$21,C19)+1)/2)/COUNTIFS($D$2:$D$21,D19,$C$2:$C$21,"&gt;0"))</f>
        <v/>
      </c>
      <c r="H19">
        <f>IF(G19="","",IF(G19&lt;=20%,"Q1 Cheapest",IF(G19&lt;=40%,"Q2",IF(G19&lt;=60%,"Q3",IF(G19&lt;=80%,"Q4","Q5 Most Expensive")))))</f>
        <v/>
      </c>
      <c r="I19" s="16" t="n"/>
      <c r="J19" s="16" t="n"/>
      <c r="K19" s="16" t="n"/>
      <c r="L19" s="16" t="n"/>
    </row>
    <row r="20">
      <c r="A20" s="18" t="n">
        <v>46112</v>
      </c>
      <c r="B20" s="6" t="n">
        <v>12158.75</v>
      </c>
      <c r="C20" s="7" t="n">
        <v>29.66</v>
      </c>
      <c r="D20" s="2" t="inlineStr">
        <is>
          <t>Consolidated</t>
        </is>
      </c>
      <c r="E20" s="21">
        <f>IFERROR(B20/C20,"")</f>
        <v/>
      </c>
      <c r="F20" s="16">
        <f>IF(AND(D20=D16,E16&lt;&gt;""),E20/E16-1,"")</f>
        <v/>
      </c>
      <c r="G20" s="16">
        <f>IF(C20="","",(COUNTIFS($D$2:$D$21,D20,$C$2:$C$21,"&gt;0",$C$2:$C$21,"&lt;"&amp;C20)+(COUNTIFS($D$2:$D$21,D20,$C$2:$C$21,C20)+1)/2)/COUNTIFS($D$2:$D$21,D20,$C$2:$C$21,"&gt;0"))</f>
        <v/>
      </c>
      <c r="H20">
        <f>IF(G20="","",IF(G20&lt;=20%,"Q1 Cheapest",IF(G20&lt;=40%,"Q2",IF(G20&lt;=60%,"Q3",IF(G20&lt;=80%,"Q4","Q5 Most Expensive")))))</f>
        <v/>
      </c>
      <c r="I20" s="16" t="n"/>
      <c r="J20" s="16" t="n"/>
      <c r="K20" s="16" t="n"/>
      <c r="L20" s="16" t="n"/>
    </row>
    <row r="21">
      <c r="A21" s="18" t="n">
        <v>46203</v>
      </c>
      <c r="B21" s="6" t="n">
        <v>14426.35</v>
      </c>
      <c r="C21" s="7" t="n">
        <v>30.17</v>
      </c>
      <c r="D21" s="2" t="inlineStr">
        <is>
          <t>Consolidated</t>
        </is>
      </c>
      <c r="E21" s="21">
        <f>IFERROR(B21/C21,"")</f>
        <v/>
      </c>
      <c r="F21" s="16">
        <f>IF(AND(D21=D17,E17&lt;&gt;""),E21/E17-1,"")</f>
        <v/>
      </c>
      <c r="G21" s="16">
        <f>IF(C21="","",(COUNTIFS($D$2:$D$21,D21,$C$2:$C$21,"&gt;0",$C$2:$C$21,"&lt;"&amp;C21)+(COUNTIFS($D$2:$D$21,D21,$C$2:$C$21,C21)+1)/2)/COUNTIFS($D$2:$D$21,D21,$C$2:$C$21,"&gt;0"))</f>
        <v/>
      </c>
      <c r="H21">
        <f>IF(G21="","",IF(G21&lt;=20%,"Q1 Cheapest",IF(G21&lt;=40%,"Q2",IF(G21&lt;=60%,"Q3",IF(G21&lt;=80%,"Q4","Q5 Most Expensive")))))</f>
        <v/>
      </c>
      <c r="I21" s="16" t="n"/>
      <c r="J21" s="16" t="n"/>
      <c r="K21" s="16" t="n"/>
      <c r="L21" s="16" t="n"/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6" customWidth="1" min="4" max="4"/>
    <col width="16" customWidth="1" min="5" max="5"/>
    <col width="26" customWidth="1" min="6" max="6"/>
    <col width="34" customWidth="1" min="7" max="7"/>
    <col width="34" customWidth="1" min="8" max="8"/>
    <col width="34" customWidth="1" min="9" max="9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P/E Percentile</t>
        </is>
      </c>
      <c r="E1" s="13" t="inlineStr">
        <is>
          <t>YoY EPS Growth</t>
        </is>
      </c>
      <c r="F1" s="13" t="inlineStr">
        <is>
          <t>Valuation Score</t>
        </is>
      </c>
      <c r="G1" s="13" t="inlineStr">
        <is>
          <t>Growth Score</t>
        </is>
      </c>
      <c r="H1" s="13" t="inlineStr">
        <is>
          <t>Composite Score</t>
        </is>
      </c>
      <c r="I1" s="13" t="inlineStr">
        <is>
          <t>Signal</t>
        </is>
      </c>
    </row>
    <row r="2">
      <c r="A2" s="18" t="n">
        <v>46283</v>
      </c>
      <c r="B2" s="6" t="n">
        <v>14500.75</v>
      </c>
      <c r="C2" s="7" t="n">
        <v>31.65</v>
      </c>
      <c r="D2" s="8" t="n">
        <v>0.467213114754</v>
      </c>
      <c r="E2" s="8" t="n">
        <v>0.663800241134</v>
      </c>
      <c r="F2" s="22">
        <f>IF(D2="","",100*(1-D2))</f>
        <v/>
      </c>
      <c r="G2" s="22">
        <f>IF(E2="","",IF(E2&lt;=0,20,IF(E2&lt;5%,20+400*E2,IF(E2&lt;10%,40+400*(E2-5%),IF(E2&lt;15%,60+400*(E2-10%),IF(E2&lt;25%,80+200*(E2-15%),100))))))</f>
        <v/>
      </c>
      <c r="H2" s="22">
        <f>IF(OR(F2="",G2=""),"",70%*F2+30%*G2)</f>
        <v/>
      </c>
      <c r="I2">
        <f>IF(H2="","",IF(H2&gt;=70,"BUY",IF(H2&gt;=40,"HOLD","SELL")))</f>
        <v/>
      </c>
    </row>
  </sheetData>
  <pageMargins left="0.3" right="0.3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selection activeCell="A1" sqref="A1"/>
    </sheetView>
  </sheetViews>
  <sheetFormatPr baseColWidth="8" defaultRowHeight="15"/>
  <cols>
    <col width="92" customWidth="1" min="1" max="1"/>
    <col width="55" customWidth="1" min="2" max="2"/>
  </cols>
  <sheetData>
    <row r="1">
      <c r="A1" s="5" t="inlineStr">
        <is>
          <t>Sources</t>
        </is>
      </c>
    </row>
    <row r="2">
      <c r="A2" t="inlineStr">
        <is>
          <t>NSE Indices daily archive</t>
        </is>
      </c>
      <c r="B2" s="17" t="inlineStr">
        <is>
          <t>https://www.nseindia.com/all-reports</t>
        </is>
      </c>
    </row>
    <row r="3">
      <c r="A3" t="inlineStr">
        <is>
          <t>NSE index archive files</t>
        </is>
      </c>
      <c r="B3" s="17" t="inlineStr">
        <is>
          <t>https://nsearchives.nseindia.com/content/indices</t>
        </is>
      </c>
    </row>
    <row r="5">
      <c r="A5" s="5" t="inlineStr">
        <is>
          <t>Methodology</t>
        </is>
      </c>
    </row>
    <row r="6">
      <c r="A6" t="inlineStr">
        <is>
          <t>All P/E, implied EPS and return calculations are specific to the selected index.</t>
        </is>
      </c>
    </row>
    <row r="7">
      <c r="A7" t="inlineStr">
        <is>
          <t>Valuation score = 100 × (1 − own-index P/E percentile).</t>
        </is>
      </c>
    </row>
    <row r="8">
      <c r="A8" t="inlineStr">
        <is>
          <t>Growth score is based on YoY change in own-index implied EPS.</t>
        </is>
      </c>
    </row>
    <row r="9">
      <c r="A9" t="inlineStr">
        <is>
          <t>Composite score = 70% valuation score + 30% growth score.</t>
        </is>
      </c>
    </row>
    <row r="10">
      <c r="A10" t="inlineStr">
        <is>
          <t>BUY ≥ 70; HOLD 40 to &lt;70; SELL &lt;40.</t>
        </is>
      </c>
    </row>
    <row r="11">
      <c r="A11" t="inlineStr">
        <is>
          <t>NIFTY 50 uses the canonical long-history quarter-end backtest where available; other indices use the multi-index archive history.</t>
        </is>
      </c>
    </row>
  </sheetData>
  <mergeCells count="2">
    <mergeCell ref="A1:D1"/>
    <mergeCell ref="A5:D5"/>
  </mergeCells>
  <hyperlinks>
    <hyperlink xmlns:r="http://schemas.openxmlformats.org/officeDocument/2006/relationships" ref="B2" r:id="rId1"/>
    <hyperlink xmlns:r="http://schemas.openxmlformats.org/officeDocument/2006/relationships" ref="B3" r:id="rId2"/>
  </hyperlinks>
  <pageMargins left="0.3" right="0.3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2026-09-21T10:14:31Z</dcterms:created>
  <dcterms:modified xsi:type="dcterms:W3CDTF">2026-09-21T10:14:31Z</dcterms:modified>
</cp:coreProperties>
</file>