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9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46283</v>
      </c>
      <c r="D5" s="6">
        <f>B20</f>
        <v/>
      </c>
    </row>
    <row r="6">
      <c r="A6" s="4" t="inlineStr">
        <is>
          <t>NIFTY 50 Close</t>
        </is>
      </c>
      <c r="B6" s="7" t="n">
        <v>23346.4</v>
      </c>
    </row>
    <row r="7">
      <c r="A7" s="4" t="inlineStr">
        <is>
          <t>Current P/E</t>
        </is>
      </c>
      <c r="B7" s="43" t="n">
        <v>19.74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IFERROR((COUNTIF(PE_History_Post2021!$B$5:$B$500,"&lt;"&amp;B7)+0.5*COUNTIF(PE_History_Post2021!$B$5:$B$500,B7))/COUNT(PE_History_Post2021!$B$5:$B$500),"")</f>
        <v/>
      </c>
    </row>
    <row r="10">
      <c r="A10" s="4" t="inlineStr">
        <is>
          <t>Era Median P/E</t>
        </is>
      </c>
      <c r="B10" s="46">
        <f>MEDIAN(PE_History_Post2021!$B$5:$B$500)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45918</v>
      </c>
    </row>
    <row r="13">
      <c r="A13" s="4" t="inlineStr">
        <is>
          <t>Prior-year NIFTY close</t>
        </is>
      </c>
      <c r="B13" s="14" t="n">
        <v>25423.6</v>
      </c>
    </row>
    <row r="14">
      <c r="A14" s="4" t="inlineStr">
        <is>
          <t>Prior-year P/E</t>
        </is>
      </c>
      <c r="B14" s="47" t="n">
        <v>22.33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3"/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COUNTIFS(Quarterly_Data!$H$5:$H$114,A6,Quarterly_Data!$I$5:$I$114,"&lt;&gt;")</f>
        <v/>
      </c>
      <c r="C6" s="50">
        <f>IFERROR(AVERAGEIFS(Quarterly_Data!$I$5:$I$114,Quarterly_Data!$H$5:$H$114,A6),"")</f>
        <v/>
      </c>
      <c r="D6" s="50">
        <f>IFERROR(AGGREGATE(12,6,Quarterly_Data!$I$5:$I$114/(Quarterly_Data!$H$5:$H$114=A6)),"")</f>
        <v/>
      </c>
      <c r="E6" s="50">
        <f>IFERROR(COUNTIFS(Quarterly_Data!$H$5:$H$114,A6,Quarterly_Data!$I$5:$I$114,"&gt;0")/B6,"")</f>
        <v/>
      </c>
      <c r="F6" s="50">
        <f>IFERROR(COUNTIFS(Quarterly_Data!$H$5:$H$114,A6,Quarterly_Data!$I$5:$I$114,"&lt;0")/B6,"")</f>
        <v/>
      </c>
      <c r="G6" s="50">
        <f>IFERROR(MINIFS(Quarterly_Data!$I$5:$I$114,Quarterly_Data!$H$5:$H$114,A6),"")</f>
        <v/>
      </c>
      <c r="H6" s="50">
        <f>IFERROR(MAXIFS(Quarterly_Data!$I$5:$I$114,Quarterly_Data!$H$5:$H$114,A6),"")</f>
        <v/>
      </c>
    </row>
    <row r="7">
      <c r="A7" t="inlineStr">
        <is>
          <t>Q2</t>
        </is>
      </c>
      <c r="B7">
        <f>COUNTIFS(Quarterly_Data!$H$5:$H$114,A7,Quarterly_Data!$I$5:$I$114,"&lt;&gt;")</f>
        <v/>
      </c>
      <c r="C7" s="50">
        <f>IFERROR(AVERAGEIFS(Quarterly_Data!$I$5:$I$114,Quarterly_Data!$H$5:$H$114,A7),"")</f>
        <v/>
      </c>
      <c r="D7" s="50">
        <f>IFERROR(AGGREGATE(12,6,Quarterly_Data!$I$5:$I$114/(Quarterly_Data!$H$5:$H$114=A7)),"")</f>
        <v/>
      </c>
      <c r="E7" s="50">
        <f>IFERROR(COUNTIFS(Quarterly_Data!$H$5:$H$114,A7,Quarterly_Data!$I$5:$I$114,"&gt;0")/B7,"")</f>
        <v/>
      </c>
      <c r="F7" s="50">
        <f>IFERROR(COUNTIFS(Quarterly_Data!$H$5:$H$114,A7,Quarterly_Data!$I$5:$I$114,"&lt;0")/B7,"")</f>
        <v/>
      </c>
      <c r="G7" s="50">
        <f>IFERROR(MINIFS(Quarterly_Data!$I$5:$I$114,Quarterly_Data!$H$5:$H$114,A7),"")</f>
        <v/>
      </c>
      <c r="H7" s="50">
        <f>IFERROR(MAXIFS(Quarterly_Data!$I$5:$I$114,Quarterly_Data!$H$5:$H$114,A7),"")</f>
        <v/>
      </c>
    </row>
    <row r="8">
      <c r="A8" t="inlineStr">
        <is>
          <t>Q3</t>
        </is>
      </c>
      <c r="B8">
        <f>COUNTIFS(Quarterly_Data!$H$5:$H$114,A8,Quarterly_Data!$I$5:$I$114,"&lt;&gt;")</f>
        <v/>
      </c>
      <c r="C8" s="50">
        <f>IFERROR(AVERAGEIFS(Quarterly_Data!$I$5:$I$114,Quarterly_Data!$H$5:$H$114,A8),"")</f>
        <v/>
      </c>
      <c r="D8" s="50">
        <f>IFERROR(AGGREGATE(12,6,Quarterly_Data!$I$5:$I$114/(Quarterly_Data!$H$5:$H$114=A8)),"")</f>
        <v/>
      </c>
      <c r="E8" s="50">
        <f>IFERROR(COUNTIFS(Quarterly_Data!$H$5:$H$114,A8,Quarterly_Data!$I$5:$I$114,"&gt;0")/B8,"")</f>
        <v/>
      </c>
      <c r="F8" s="50">
        <f>IFERROR(COUNTIFS(Quarterly_Data!$H$5:$H$114,A8,Quarterly_Data!$I$5:$I$114,"&lt;0")/B8,"")</f>
        <v/>
      </c>
      <c r="G8" s="50">
        <f>IFERROR(MINIFS(Quarterly_Data!$I$5:$I$114,Quarterly_Data!$H$5:$H$114,A8),"")</f>
        <v/>
      </c>
      <c r="H8" s="50">
        <f>IFERROR(MAXIFS(Quarterly_Data!$I$5:$I$114,Quarterly_Data!$H$5:$H$114,A8),"")</f>
        <v/>
      </c>
    </row>
    <row r="9">
      <c r="A9" t="inlineStr">
        <is>
          <t>Q4</t>
        </is>
      </c>
      <c r="B9">
        <f>COUNTIFS(Quarterly_Data!$H$5:$H$114,A9,Quarterly_Data!$I$5:$I$114,"&lt;&gt;")</f>
        <v/>
      </c>
      <c r="C9" s="50">
        <f>IFERROR(AVERAGEIFS(Quarterly_Data!$I$5:$I$114,Quarterly_Data!$H$5:$H$114,A9),"")</f>
        <v/>
      </c>
      <c r="D9" s="50">
        <f>IFERROR(AGGREGATE(12,6,Quarterly_Data!$I$5:$I$114/(Quarterly_Data!$H$5:$H$114=A9)),"")</f>
        <v/>
      </c>
      <c r="E9" s="50">
        <f>IFERROR(COUNTIFS(Quarterly_Data!$H$5:$H$114,A9,Quarterly_Data!$I$5:$I$114,"&gt;0")/B9,"")</f>
        <v/>
      </c>
      <c r="F9" s="50">
        <f>IFERROR(COUNTIFS(Quarterly_Data!$H$5:$H$114,A9,Quarterly_Data!$I$5:$I$114,"&lt;0")/B9,"")</f>
        <v/>
      </c>
      <c r="G9" s="50">
        <f>IFERROR(MINIFS(Quarterly_Data!$I$5:$I$114,Quarterly_Data!$H$5:$H$114,A9),"")</f>
        <v/>
      </c>
      <c r="H9" s="50">
        <f>IFERROR(MAXIFS(Quarterly_Data!$I$5:$I$114,Quarterly_Data!$H$5:$H$114,A9),"")</f>
        <v/>
      </c>
    </row>
    <row r="10">
      <c r="A10" t="inlineStr">
        <is>
          <t>Q5 Most Expensive</t>
        </is>
      </c>
      <c r="B10">
        <f>COUNTIFS(Quarterly_Data!$H$5:$H$114,A10,Quarterly_Data!$I$5:$I$114,"&lt;&gt;")</f>
        <v/>
      </c>
      <c r="C10" s="50">
        <f>IFERROR(AVERAGEIFS(Quarterly_Data!$I$5:$I$114,Quarterly_Data!$H$5:$H$114,A10),"")</f>
        <v/>
      </c>
      <c r="D10" s="50">
        <f>IFERROR(AGGREGATE(12,6,Quarterly_Data!$I$5:$I$114/(Quarterly_Data!$H$5:$H$114=A10)),"")</f>
        <v/>
      </c>
      <c r="E10" s="50">
        <f>IFERROR(COUNTIFS(Quarterly_Data!$H$5:$H$114,A10,Quarterly_Data!$I$5:$I$114,"&gt;0")/B10,"")</f>
        <v/>
      </c>
      <c r="F10" s="50">
        <f>IFERROR(COUNTIFS(Quarterly_Data!$H$5:$H$114,A10,Quarterly_Data!$I$5:$I$114,"&lt;0")/B10,"")</f>
        <v/>
      </c>
      <c r="G10" s="50">
        <f>IFERROR(MINIFS(Quarterly_Data!$I$5:$I$114,Quarterly_Data!$H$5:$H$114,A10),"")</f>
        <v/>
      </c>
      <c r="H10" s="50">
        <f>IFERROR(MAXIFS(Quarterly_Data!$I$5:$I$114,Quarterly_Data!$H$5:$H$114,A10),"")</f>
        <v/>
      </c>
    </row>
    <row r="11"/>
    <row r="12"/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COUNTIFS(Quarterly_Data!$H$5:$H$114,A15,Quarterly_Data!$J$5:$J$114,"&lt;&gt;")</f>
        <v/>
      </c>
      <c r="C15" s="50">
        <f>IFERROR(AVERAGEIFS(Quarterly_Data!$J$5:$J$114,Quarterly_Data!$H$5:$H$114,A15),"")</f>
        <v/>
      </c>
      <c r="D15" s="50">
        <f>IFERROR(AGGREGATE(12,6,Quarterly_Data!$J$5:$J$114/(Quarterly_Data!$H$5:$H$114=A15)),"")</f>
        <v/>
      </c>
      <c r="E15" s="50">
        <f>IFERROR(COUNTIFS(Quarterly_Data!$H$5:$H$114,A15,Quarterly_Data!$J$5:$J$114,"&gt;0")/B15,"")</f>
        <v/>
      </c>
      <c r="F15" s="50">
        <f>IFERROR(COUNTIFS(Quarterly_Data!$H$5:$H$114,A15,Quarterly_Data!$J$5:$J$114,"&lt;0")/B15,"")</f>
        <v/>
      </c>
      <c r="G15" s="50">
        <f>IFERROR(MINIFS(Quarterly_Data!$J$5:$J$114,Quarterly_Data!$H$5:$H$114,A15),"")</f>
        <v/>
      </c>
      <c r="H15" s="50">
        <f>IFERROR(MAXIFS(Quarterly_Data!$J$5:$J$114,Quarterly_Data!$H$5:$H$114,A15),"")</f>
        <v/>
      </c>
    </row>
    <row r="16">
      <c r="A16" t="inlineStr">
        <is>
          <t>Q2</t>
        </is>
      </c>
      <c r="B16">
        <f>COUNTIFS(Quarterly_Data!$H$5:$H$114,A16,Quarterly_Data!$J$5:$J$114,"&lt;&gt;")</f>
        <v/>
      </c>
      <c r="C16" s="50">
        <f>IFERROR(AVERAGEIFS(Quarterly_Data!$J$5:$J$114,Quarterly_Data!$H$5:$H$114,A16),"")</f>
        <v/>
      </c>
      <c r="D16" s="50">
        <f>IFERROR(AGGREGATE(12,6,Quarterly_Data!$J$5:$J$114/(Quarterly_Data!$H$5:$H$114=A16)),"")</f>
        <v/>
      </c>
      <c r="E16" s="50">
        <f>IFERROR(COUNTIFS(Quarterly_Data!$H$5:$H$114,A16,Quarterly_Data!$J$5:$J$114,"&gt;0")/B16,"")</f>
        <v/>
      </c>
      <c r="F16" s="50">
        <f>IFERROR(COUNTIFS(Quarterly_Data!$H$5:$H$114,A16,Quarterly_Data!$J$5:$J$114,"&lt;0")/B16,"")</f>
        <v/>
      </c>
      <c r="G16" s="50">
        <f>IFERROR(MINIFS(Quarterly_Data!$J$5:$J$114,Quarterly_Data!$H$5:$H$114,A16),"")</f>
        <v/>
      </c>
      <c r="H16" s="50">
        <f>IFERROR(MAXIFS(Quarterly_Data!$J$5:$J$114,Quarterly_Data!$H$5:$H$114,A16),"")</f>
        <v/>
      </c>
    </row>
    <row r="17">
      <c r="A17" t="inlineStr">
        <is>
          <t>Q3</t>
        </is>
      </c>
      <c r="B17">
        <f>COUNTIFS(Quarterly_Data!$H$5:$H$114,A17,Quarterly_Data!$J$5:$J$114,"&lt;&gt;")</f>
        <v/>
      </c>
      <c r="C17" s="50">
        <f>IFERROR(AVERAGEIFS(Quarterly_Data!$J$5:$J$114,Quarterly_Data!$H$5:$H$114,A17),"")</f>
        <v/>
      </c>
      <c r="D17" s="50">
        <f>IFERROR(AGGREGATE(12,6,Quarterly_Data!$J$5:$J$114/(Quarterly_Data!$H$5:$H$114=A17)),"")</f>
        <v/>
      </c>
      <c r="E17" s="50">
        <f>IFERROR(COUNTIFS(Quarterly_Data!$H$5:$H$114,A17,Quarterly_Data!$J$5:$J$114,"&gt;0")/B17,"")</f>
        <v/>
      </c>
      <c r="F17" s="50">
        <f>IFERROR(COUNTIFS(Quarterly_Data!$H$5:$H$114,A17,Quarterly_Data!$J$5:$J$114,"&lt;0")/B17,"")</f>
        <v/>
      </c>
      <c r="G17" s="50">
        <f>IFERROR(MINIFS(Quarterly_Data!$J$5:$J$114,Quarterly_Data!$H$5:$H$114,A17),"")</f>
        <v/>
      </c>
      <c r="H17" s="50">
        <f>IFERROR(MAXIFS(Quarterly_Data!$J$5:$J$114,Quarterly_Data!$H$5:$H$114,A17),"")</f>
        <v/>
      </c>
    </row>
    <row r="18">
      <c r="A18" t="inlineStr">
        <is>
          <t>Q4</t>
        </is>
      </c>
      <c r="B18">
        <f>COUNTIFS(Quarterly_Data!$H$5:$H$114,A18,Quarterly_Data!$J$5:$J$114,"&lt;&gt;")</f>
        <v/>
      </c>
      <c r="C18" s="50">
        <f>IFERROR(AVERAGEIFS(Quarterly_Data!$J$5:$J$114,Quarterly_Data!$H$5:$H$114,A18),"")</f>
        <v/>
      </c>
      <c r="D18" s="50">
        <f>IFERROR(AGGREGATE(12,6,Quarterly_Data!$J$5:$J$114/(Quarterly_Data!$H$5:$H$114=A18)),"")</f>
        <v/>
      </c>
      <c r="E18" s="50">
        <f>IFERROR(COUNTIFS(Quarterly_Data!$H$5:$H$114,A18,Quarterly_Data!$J$5:$J$114,"&gt;0")/B18,"")</f>
        <v/>
      </c>
      <c r="F18" s="50">
        <f>IFERROR(COUNTIFS(Quarterly_Data!$H$5:$H$114,A18,Quarterly_Data!$J$5:$J$114,"&lt;0")/B18,"")</f>
        <v/>
      </c>
      <c r="G18" s="50">
        <f>IFERROR(MINIFS(Quarterly_Data!$J$5:$J$114,Quarterly_Data!$H$5:$H$114,A18),"")</f>
        <v/>
      </c>
      <c r="H18" s="50">
        <f>IFERROR(MAXIFS(Quarterly_Data!$J$5:$J$114,Quarterly_Data!$H$5:$H$114,A18),"")</f>
        <v/>
      </c>
    </row>
    <row r="19">
      <c r="A19" t="inlineStr">
        <is>
          <t>Q5 Most Expensive</t>
        </is>
      </c>
      <c r="B19">
        <f>COUNTIFS(Quarterly_Data!$H$5:$H$114,A19,Quarterly_Data!$J$5:$J$114,"&lt;&gt;")</f>
        <v/>
      </c>
      <c r="C19" s="50">
        <f>IFERROR(AVERAGEIFS(Quarterly_Data!$J$5:$J$114,Quarterly_Data!$H$5:$H$114,A19),"")</f>
        <v/>
      </c>
      <c r="D19" s="50">
        <f>IFERROR(AGGREGATE(12,6,Quarterly_Data!$J$5:$J$114/(Quarterly_Data!$H$5:$H$114=A19)),"")</f>
        <v/>
      </c>
      <c r="E19" s="50">
        <f>IFERROR(COUNTIFS(Quarterly_Data!$H$5:$H$114,A19,Quarterly_Data!$J$5:$J$114,"&gt;0")/B19,"")</f>
        <v/>
      </c>
      <c r="F19" s="50">
        <f>IFERROR(COUNTIFS(Quarterly_Data!$H$5:$H$114,A19,Quarterly_Data!$J$5:$J$114,"&lt;0")/B19,"")</f>
        <v/>
      </c>
      <c r="G19" s="50">
        <f>IFERROR(MINIFS(Quarterly_Data!$J$5:$J$114,Quarterly_Data!$H$5:$H$114,A19),"")</f>
        <v/>
      </c>
      <c r="H19" s="50">
        <f>IFERROR(MAXIFS(Quarterly_Data!$J$5:$J$114,Quarterly_Data!$H$5:$H$114,A19),"")</f>
        <v/>
      </c>
    </row>
    <row r="20"/>
    <row r="21"/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COUNTIFS(Quarterly_Data!$H$5:$H$114,A24,Quarterly_Data!$K$5:$K$114,"&lt;&gt;")</f>
        <v/>
      </c>
      <c r="C24" s="50">
        <f>IFERROR(AVERAGEIFS(Quarterly_Data!$K$5:$K$114,Quarterly_Data!$H$5:$H$114,A24),"")</f>
        <v/>
      </c>
      <c r="D24" s="50">
        <f>IFERROR(AGGREGATE(12,6,Quarterly_Data!$K$5:$K$114/(Quarterly_Data!$H$5:$H$114=A24)),"")</f>
        <v/>
      </c>
      <c r="E24" s="50">
        <f>IFERROR(COUNTIFS(Quarterly_Data!$H$5:$H$114,A24,Quarterly_Data!$K$5:$K$114,"&gt;0")/B24,"")</f>
        <v/>
      </c>
      <c r="F24" s="50">
        <f>IFERROR(COUNTIFS(Quarterly_Data!$H$5:$H$114,A24,Quarterly_Data!$K$5:$K$114,"&lt;0")/B24,"")</f>
        <v/>
      </c>
      <c r="G24" s="50">
        <f>IFERROR(MINIFS(Quarterly_Data!$K$5:$K$114,Quarterly_Data!$H$5:$H$114,A24),"")</f>
        <v/>
      </c>
      <c r="H24" s="50">
        <f>IFERROR(MAXIFS(Quarterly_Data!$K$5:$K$114,Quarterly_Data!$H$5:$H$114,A24),"")</f>
        <v/>
      </c>
    </row>
    <row r="25">
      <c r="A25" t="inlineStr">
        <is>
          <t>Q2</t>
        </is>
      </c>
      <c r="B25">
        <f>COUNTIFS(Quarterly_Data!$H$5:$H$114,A25,Quarterly_Data!$K$5:$K$114,"&lt;&gt;")</f>
        <v/>
      </c>
      <c r="C25" s="50">
        <f>IFERROR(AVERAGEIFS(Quarterly_Data!$K$5:$K$114,Quarterly_Data!$H$5:$H$114,A25),"")</f>
        <v/>
      </c>
      <c r="D25" s="50">
        <f>IFERROR(AGGREGATE(12,6,Quarterly_Data!$K$5:$K$114/(Quarterly_Data!$H$5:$H$114=A25)),"")</f>
        <v/>
      </c>
      <c r="E25" s="50">
        <f>IFERROR(COUNTIFS(Quarterly_Data!$H$5:$H$114,A25,Quarterly_Data!$K$5:$K$114,"&gt;0")/B25,"")</f>
        <v/>
      </c>
      <c r="F25" s="50">
        <f>IFERROR(COUNTIFS(Quarterly_Data!$H$5:$H$114,A25,Quarterly_Data!$K$5:$K$114,"&lt;0")/B25,"")</f>
        <v/>
      </c>
      <c r="G25" s="50">
        <f>IFERROR(MINIFS(Quarterly_Data!$K$5:$K$114,Quarterly_Data!$H$5:$H$114,A25),"")</f>
        <v/>
      </c>
      <c r="H25" s="50">
        <f>IFERROR(MAXIFS(Quarterly_Data!$K$5:$K$114,Quarterly_Data!$H$5:$H$114,A25),"")</f>
        <v/>
      </c>
    </row>
    <row r="26">
      <c r="A26" t="inlineStr">
        <is>
          <t>Q3</t>
        </is>
      </c>
      <c r="B26">
        <f>COUNTIFS(Quarterly_Data!$H$5:$H$114,A26,Quarterly_Data!$K$5:$K$114,"&lt;&gt;")</f>
        <v/>
      </c>
      <c r="C26" s="50">
        <f>IFERROR(AVERAGEIFS(Quarterly_Data!$K$5:$K$114,Quarterly_Data!$H$5:$H$114,A26),"")</f>
        <v/>
      </c>
      <c r="D26" s="50">
        <f>IFERROR(AGGREGATE(12,6,Quarterly_Data!$K$5:$K$114/(Quarterly_Data!$H$5:$H$114=A26)),"")</f>
        <v/>
      </c>
      <c r="E26" s="50">
        <f>IFERROR(COUNTIFS(Quarterly_Data!$H$5:$H$114,A26,Quarterly_Data!$K$5:$K$114,"&gt;0")/B26,"")</f>
        <v/>
      </c>
      <c r="F26" s="50">
        <f>IFERROR(COUNTIFS(Quarterly_Data!$H$5:$H$114,A26,Quarterly_Data!$K$5:$K$114,"&lt;0")/B26,"")</f>
        <v/>
      </c>
      <c r="G26" s="50">
        <f>IFERROR(MINIFS(Quarterly_Data!$K$5:$K$114,Quarterly_Data!$H$5:$H$114,A26),"")</f>
        <v/>
      </c>
      <c r="H26" s="50">
        <f>IFERROR(MAXIFS(Quarterly_Data!$K$5:$K$114,Quarterly_Data!$H$5:$H$114,A26),"")</f>
        <v/>
      </c>
    </row>
    <row r="27">
      <c r="A27" t="inlineStr">
        <is>
          <t>Q4</t>
        </is>
      </c>
      <c r="B27">
        <f>COUNTIFS(Quarterly_Data!$H$5:$H$114,A27,Quarterly_Data!$K$5:$K$114,"&lt;&gt;")</f>
        <v/>
      </c>
      <c r="C27" s="50">
        <f>IFERROR(AVERAGEIFS(Quarterly_Data!$K$5:$K$114,Quarterly_Data!$H$5:$H$114,A27),"")</f>
        <v/>
      </c>
      <c r="D27" s="50">
        <f>IFERROR(AGGREGATE(12,6,Quarterly_Data!$K$5:$K$114/(Quarterly_Data!$H$5:$H$114=A27)),"")</f>
        <v/>
      </c>
      <c r="E27" s="50">
        <f>IFERROR(COUNTIFS(Quarterly_Data!$H$5:$H$114,A27,Quarterly_Data!$K$5:$K$114,"&gt;0")/B27,"")</f>
        <v/>
      </c>
      <c r="F27" s="50">
        <f>IFERROR(COUNTIFS(Quarterly_Data!$H$5:$H$114,A27,Quarterly_Data!$K$5:$K$114,"&lt;0")/B27,"")</f>
        <v/>
      </c>
      <c r="G27" s="50">
        <f>IFERROR(MINIFS(Quarterly_Data!$K$5:$K$114,Quarterly_Data!$H$5:$H$114,A27),"")</f>
        <v/>
      </c>
      <c r="H27" s="50">
        <f>IFERROR(MAXIFS(Quarterly_Data!$K$5:$K$114,Quarterly_Data!$H$5:$H$114,A27),"")</f>
        <v/>
      </c>
    </row>
    <row r="28">
      <c r="A28" t="inlineStr">
        <is>
          <t>Q5 Most Expensive</t>
        </is>
      </c>
      <c r="B28">
        <f>COUNTIFS(Quarterly_Data!$H$5:$H$114,A28,Quarterly_Data!$K$5:$K$114,"&lt;&gt;")</f>
        <v/>
      </c>
      <c r="C28" s="50">
        <f>IFERROR(AVERAGEIFS(Quarterly_Data!$K$5:$K$114,Quarterly_Data!$H$5:$H$114,A28),"")</f>
        <v/>
      </c>
      <c r="D28" s="50">
        <f>IFERROR(AGGREGATE(12,6,Quarterly_Data!$K$5:$K$114/(Quarterly_Data!$H$5:$H$114=A28)),"")</f>
        <v/>
      </c>
      <c r="E28" s="50">
        <f>IFERROR(COUNTIFS(Quarterly_Data!$H$5:$H$114,A28,Quarterly_Data!$K$5:$K$114,"&gt;0")/B28,"")</f>
        <v/>
      </c>
      <c r="F28" s="50">
        <f>IFERROR(COUNTIFS(Quarterly_Data!$H$5:$H$114,A28,Quarterly_Data!$K$5:$K$114,"&lt;0")/B28,"")</f>
        <v/>
      </c>
      <c r="G28" s="50">
        <f>IFERROR(MINIFS(Quarterly_Data!$K$5:$K$114,Quarterly_Data!$H$5:$H$114,A28),"")</f>
        <v/>
      </c>
      <c r="H28" s="50">
        <f>IFERROR(MAXIFS(Quarterly_Data!$K$5:$K$114,Quarterly_Data!$H$5:$H$114,A28),"")</f>
        <v/>
      </c>
    </row>
    <row r="29"/>
    <row r="30"/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COUNTIFS(Quarterly_Data!$H$5:$H$114,A33,Quarterly_Data!$L$5:$L$114,"&lt;&gt;")</f>
        <v/>
      </c>
      <c r="C33" s="50">
        <f>IFERROR(AVERAGEIFS(Quarterly_Data!$L$5:$L$114,Quarterly_Data!$H$5:$H$114,A33),"")</f>
        <v/>
      </c>
      <c r="D33" s="50">
        <f>IFERROR(AGGREGATE(12,6,Quarterly_Data!$L$5:$L$114/(Quarterly_Data!$H$5:$H$114=A33)),"")</f>
        <v/>
      </c>
      <c r="E33" s="50">
        <f>IFERROR(COUNTIFS(Quarterly_Data!$H$5:$H$114,A33,Quarterly_Data!$L$5:$L$114,"&gt;0")/B33,"")</f>
        <v/>
      </c>
      <c r="F33" s="50">
        <f>IFERROR(COUNTIFS(Quarterly_Data!$H$5:$H$114,A33,Quarterly_Data!$L$5:$L$114,"&lt;0")/B33,"")</f>
        <v/>
      </c>
      <c r="G33" s="50">
        <f>IFERROR(MINIFS(Quarterly_Data!$L$5:$L$114,Quarterly_Data!$H$5:$H$114,A33),"")</f>
        <v/>
      </c>
      <c r="H33" s="50">
        <f>IFERROR(MAXIFS(Quarterly_Data!$L$5:$L$114,Quarterly_Data!$H$5:$H$114,A33),"")</f>
        <v/>
      </c>
    </row>
    <row r="34">
      <c r="A34" t="inlineStr">
        <is>
          <t>Q2</t>
        </is>
      </c>
      <c r="B34">
        <f>COUNTIFS(Quarterly_Data!$H$5:$H$114,A34,Quarterly_Data!$L$5:$L$114,"&lt;&gt;")</f>
        <v/>
      </c>
      <c r="C34" s="50">
        <f>IFERROR(AVERAGEIFS(Quarterly_Data!$L$5:$L$114,Quarterly_Data!$H$5:$H$114,A34),"")</f>
        <v/>
      </c>
      <c r="D34" s="50">
        <f>IFERROR(AGGREGATE(12,6,Quarterly_Data!$L$5:$L$114/(Quarterly_Data!$H$5:$H$114=A34)),"")</f>
        <v/>
      </c>
      <c r="E34" s="50">
        <f>IFERROR(COUNTIFS(Quarterly_Data!$H$5:$H$114,A34,Quarterly_Data!$L$5:$L$114,"&gt;0")/B34,"")</f>
        <v/>
      </c>
      <c r="F34" s="50">
        <f>IFERROR(COUNTIFS(Quarterly_Data!$H$5:$H$114,A34,Quarterly_Data!$L$5:$L$114,"&lt;0")/B34,"")</f>
        <v/>
      </c>
      <c r="G34" s="50">
        <f>IFERROR(MINIFS(Quarterly_Data!$L$5:$L$114,Quarterly_Data!$H$5:$H$114,A34),"")</f>
        <v/>
      </c>
      <c r="H34" s="50">
        <f>IFERROR(MAXIFS(Quarterly_Data!$L$5:$L$114,Quarterly_Data!$H$5:$H$114,A34),"")</f>
        <v/>
      </c>
    </row>
    <row r="35">
      <c r="A35" t="inlineStr">
        <is>
          <t>Q3</t>
        </is>
      </c>
      <c r="B35">
        <f>COUNTIFS(Quarterly_Data!$H$5:$H$114,A35,Quarterly_Data!$L$5:$L$114,"&lt;&gt;")</f>
        <v/>
      </c>
      <c r="C35" s="50">
        <f>IFERROR(AVERAGEIFS(Quarterly_Data!$L$5:$L$114,Quarterly_Data!$H$5:$H$114,A35),"")</f>
        <v/>
      </c>
      <c r="D35" s="50">
        <f>IFERROR(AGGREGATE(12,6,Quarterly_Data!$L$5:$L$114/(Quarterly_Data!$H$5:$H$114=A35)),"")</f>
        <v/>
      </c>
      <c r="E35" s="50">
        <f>IFERROR(COUNTIFS(Quarterly_Data!$H$5:$H$114,A35,Quarterly_Data!$L$5:$L$114,"&gt;0")/B35,"")</f>
        <v/>
      </c>
      <c r="F35" s="50">
        <f>IFERROR(COUNTIFS(Quarterly_Data!$H$5:$H$114,A35,Quarterly_Data!$L$5:$L$114,"&lt;0")/B35,"")</f>
        <v/>
      </c>
      <c r="G35" s="50">
        <f>IFERROR(MINIFS(Quarterly_Data!$L$5:$L$114,Quarterly_Data!$H$5:$H$114,A35),"")</f>
        <v/>
      </c>
      <c r="H35" s="50">
        <f>IFERROR(MAXIFS(Quarterly_Data!$L$5:$L$114,Quarterly_Data!$H$5:$H$114,A35),"")</f>
        <v/>
      </c>
    </row>
    <row r="36">
      <c r="A36" t="inlineStr">
        <is>
          <t>Q4</t>
        </is>
      </c>
      <c r="B36">
        <f>COUNTIFS(Quarterly_Data!$H$5:$H$114,A36,Quarterly_Data!$L$5:$L$114,"&lt;&gt;")</f>
        <v/>
      </c>
      <c r="C36" s="50">
        <f>IFERROR(AVERAGEIFS(Quarterly_Data!$L$5:$L$114,Quarterly_Data!$H$5:$H$114,A36),"")</f>
        <v/>
      </c>
      <c r="D36" s="50">
        <f>IFERROR(AGGREGATE(12,6,Quarterly_Data!$L$5:$L$114/(Quarterly_Data!$H$5:$H$114=A36)),"")</f>
        <v/>
      </c>
      <c r="E36" s="50">
        <f>IFERROR(COUNTIFS(Quarterly_Data!$H$5:$H$114,A36,Quarterly_Data!$L$5:$L$114,"&gt;0")/B36,"")</f>
        <v/>
      </c>
      <c r="F36" s="50">
        <f>IFERROR(COUNTIFS(Quarterly_Data!$H$5:$H$114,A36,Quarterly_Data!$L$5:$L$114,"&lt;0")/B36,"")</f>
        <v/>
      </c>
      <c r="G36" s="50">
        <f>IFERROR(MINIFS(Quarterly_Data!$L$5:$L$114,Quarterly_Data!$H$5:$H$114,A36),"")</f>
        <v/>
      </c>
      <c r="H36" s="50">
        <f>IFERROR(MAXIFS(Quarterly_Data!$L$5:$L$114,Quarterly_Data!$H$5:$H$114,A36),"")</f>
        <v/>
      </c>
    </row>
    <row r="37">
      <c r="A37" t="inlineStr">
        <is>
          <t>Q5 Most Expensive</t>
        </is>
      </c>
      <c r="B37">
        <f>COUNTIFS(Quarterly_Data!$H$5:$H$114,A37,Quarterly_Data!$L$5:$L$114,"&lt;&gt;")</f>
        <v/>
      </c>
      <c r="C37" s="50">
        <f>IFERROR(AVERAGEIFS(Quarterly_Data!$L$5:$L$114,Quarterly_Data!$H$5:$H$114,A37),"")</f>
        <v/>
      </c>
      <c r="D37" s="50">
        <f>IFERROR(AGGREGATE(12,6,Quarterly_Data!$L$5:$L$114/(Quarterly_Data!$H$5:$H$114=A37)),"")</f>
        <v/>
      </c>
      <c r="E37" s="50">
        <f>IFERROR(COUNTIFS(Quarterly_Data!$H$5:$H$114,A37,Quarterly_Data!$L$5:$L$114,"&gt;0")/B37,"")</f>
        <v/>
      </c>
      <c r="F37" s="50">
        <f>IFERROR(COUNTIFS(Quarterly_Data!$H$5:$H$114,A37,Quarterly_Data!$L$5:$L$114,"&lt;0")/B37,"")</f>
        <v/>
      </c>
      <c r="G37" s="50">
        <f>IFERROR(MINIFS(Quarterly_Data!$L$5:$L$114,Quarterly_Data!$H$5:$H$114,A37),"")</f>
        <v/>
      </c>
      <c r="H37" s="50">
        <f>IFERROR(MAXIFS(Quarterly_Data!$L$5:$L$114,Quarterly_Data!$H$5:$H$114,A37),"")</f>
        <v/>
      </c>
    </row>
    <row r="38"/>
    <row r="39"/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3"/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IFERROR(AVERAGEIFS(Quarterly_Data!$J$5:$J$114,Quarterly_Data!$H$5:$H$114,B$5,Quarterly_Data!$M$5:$M$114,$A6),"")</f>
        <v/>
      </c>
      <c r="C6" s="50">
        <f>IFERROR(AVERAGEIFS(Quarterly_Data!$J$5:$J$114,Quarterly_Data!$H$5:$H$114,C$5,Quarterly_Data!$M$5:$M$114,$A6),"")</f>
        <v/>
      </c>
      <c r="D6" s="50">
        <f>IFERROR(AVERAGEIFS(Quarterly_Data!$J$5:$J$114,Quarterly_Data!$H$5:$H$114,D$5,Quarterly_Data!$M$5:$M$114,$A6),"")</f>
        <v/>
      </c>
      <c r="E6" s="50">
        <f>IFERROR(AVERAGEIFS(Quarterly_Data!$J$5:$J$114,Quarterly_Data!$H$5:$H$114,E$5,Quarterly_Data!$M$5:$M$114,$A6),"")</f>
        <v/>
      </c>
      <c r="F6" s="50">
        <f>IFERROR(AVERAGEIFS(Quarterly_Data!$J$5:$J$114,Quarterly_Data!$H$5:$H$114,F$5,Quarterly_Data!$M$5:$M$114,$A6),"")</f>
        <v/>
      </c>
    </row>
    <row r="7">
      <c r="A7" t="inlineStr">
        <is>
          <t>5-15%</t>
        </is>
      </c>
      <c r="B7" s="50">
        <f>IFERROR(AVERAGEIFS(Quarterly_Data!$J$5:$J$114,Quarterly_Data!$H$5:$H$114,B$5,Quarterly_Data!$M$5:$M$114,$A7),"")</f>
        <v/>
      </c>
      <c r="C7" s="50">
        <f>IFERROR(AVERAGEIFS(Quarterly_Data!$J$5:$J$114,Quarterly_Data!$H$5:$H$114,C$5,Quarterly_Data!$M$5:$M$114,$A7),"")</f>
        <v/>
      </c>
      <c r="D7" s="50">
        <f>IFERROR(AVERAGEIFS(Quarterly_Data!$J$5:$J$114,Quarterly_Data!$H$5:$H$114,D$5,Quarterly_Data!$M$5:$M$114,$A7),"")</f>
        <v/>
      </c>
      <c r="E7" s="50">
        <f>IFERROR(AVERAGEIFS(Quarterly_Data!$J$5:$J$114,Quarterly_Data!$H$5:$H$114,E$5,Quarterly_Data!$M$5:$M$114,$A7),"")</f>
        <v/>
      </c>
      <c r="F7" s="50">
        <f>IFERROR(AVERAGEIFS(Quarterly_Data!$J$5:$J$114,Quarterly_Data!$H$5:$H$114,F$5,Quarterly_Data!$M$5:$M$114,$A7),"")</f>
        <v/>
      </c>
    </row>
    <row r="8">
      <c r="A8" t="inlineStr">
        <is>
          <t>&gt;15%</t>
        </is>
      </c>
      <c r="B8" s="50">
        <f>IFERROR(AVERAGEIFS(Quarterly_Data!$J$5:$J$114,Quarterly_Data!$H$5:$H$114,B$5,Quarterly_Data!$M$5:$M$114,$A8),"")</f>
        <v/>
      </c>
      <c r="C8" s="50">
        <f>IFERROR(AVERAGEIFS(Quarterly_Data!$J$5:$J$114,Quarterly_Data!$H$5:$H$114,C$5,Quarterly_Data!$M$5:$M$114,$A8),"")</f>
        <v/>
      </c>
      <c r="D8" s="50">
        <f>IFERROR(AVERAGEIFS(Quarterly_Data!$J$5:$J$114,Quarterly_Data!$H$5:$H$114,D$5,Quarterly_Data!$M$5:$M$114,$A8),"")</f>
        <v/>
      </c>
      <c r="E8" s="50">
        <f>IFERROR(AVERAGEIFS(Quarterly_Data!$J$5:$J$114,Quarterly_Data!$H$5:$H$114,E$5,Quarterly_Data!$M$5:$M$114,$A8),"")</f>
        <v/>
      </c>
      <c r="F8" s="50">
        <f>IFERROR(AVERAGEIFS(Quarterly_Data!$J$5:$J$114,Quarterly_Data!$H$5:$H$114,F$5,Quarterly_Data!$M$5:$M$114,$A8),"")</f>
        <v/>
      </c>
    </row>
    <row r="9"/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COUNTIFS(Quarterly_Data!$H$5:$H$114,B$5,Quarterly_Data!$M$5:$M$114,$A11,Quarterly_Data!$J$5:$J$114,"&lt;&gt;")</f>
        <v/>
      </c>
      <c r="C11" s="26">
        <f>COUNTIFS(Quarterly_Data!$H$5:$H$114,C$5,Quarterly_Data!$M$5:$M$114,$A11,Quarterly_Data!$J$5:$J$114,"&lt;&gt;")</f>
        <v/>
      </c>
      <c r="D11" s="26">
        <f>COUNTIFS(Quarterly_Data!$H$5:$H$114,D$5,Quarterly_Data!$M$5:$M$114,$A11,Quarterly_Data!$J$5:$J$114,"&lt;&gt;")</f>
        <v/>
      </c>
      <c r="E11" s="26">
        <f>COUNTIFS(Quarterly_Data!$H$5:$H$114,E$5,Quarterly_Data!$M$5:$M$114,$A11,Quarterly_Data!$J$5:$J$114,"&lt;&gt;")</f>
        <v/>
      </c>
      <c r="F11" s="26">
        <f>COUNTIFS(Quarterly_Data!$H$5:$H$114,F$5,Quarterly_Data!$M$5:$M$114,$A11,Quarterly_Data!$J$5:$J$114,"&lt;&gt;")</f>
        <v/>
      </c>
    </row>
    <row r="12">
      <c r="A12" t="inlineStr">
        <is>
          <t>5-15%</t>
        </is>
      </c>
      <c r="B12" s="26">
        <f>COUNTIFS(Quarterly_Data!$H$5:$H$114,B$5,Quarterly_Data!$M$5:$M$114,$A12,Quarterly_Data!$J$5:$J$114,"&lt;&gt;")</f>
        <v/>
      </c>
      <c r="C12" s="26">
        <f>COUNTIFS(Quarterly_Data!$H$5:$H$114,C$5,Quarterly_Data!$M$5:$M$114,$A12,Quarterly_Data!$J$5:$J$114,"&lt;&gt;")</f>
        <v/>
      </c>
      <c r="D12" s="26">
        <f>COUNTIFS(Quarterly_Data!$H$5:$H$114,D$5,Quarterly_Data!$M$5:$M$114,$A12,Quarterly_Data!$J$5:$J$114,"&lt;&gt;")</f>
        <v/>
      </c>
      <c r="E12" s="26">
        <f>COUNTIFS(Quarterly_Data!$H$5:$H$114,E$5,Quarterly_Data!$M$5:$M$114,$A12,Quarterly_Data!$J$5:$J$114,"&lt;&gt;")</f>
        <v/>
      </c>
      <c r="F12" s="26">
        <f>COUNTIFS(Quarterly_Data!$H$5:$H$114,F$5,Quarterly_Data!$M$5:$M$114,$A12,Quarterly_Data!$J$5:$J$114,"&lt;&gt;")</f>
        <v/>
      </c>
    </row>
    <row r="13">
      <c r="A13" t="inlineStr">
        <is>
          <t>&gt;15%</t>
        </is>
      </c>
      <c r="B13" s="26">
        <f>COUNTIFS(Quarterly_Data!$H$5:$H$114,B$5,Quarterly_Data!$M$5:$M$114,$A13,Quarterly_Data!$J$5:$J$114,"&lt;&gt;")</f>
        <v/>
      </c>
      <c r="C13" s="26">
        <f>COUNTIFS(Quarterly_Data!$H$5:$H$114,C$5,Quarterly_Data!$M$5:$M$114,$A13,Quarterly_Data!$J$5:$J$114,"&lt;&gt;")</f>
        <v/>
      </c>
      <c r="D13" s="26">
        <f>COUNTIFS(Quarterly_Data!$H$5:$H$114,D$5,Quarterly_Data!$M$5:$M$114,$A13,Quarterly_Data!$J$5:$J$114,"&lt;&gt;")</f>
        <v/>
      </c>
      <c r="E13" s="26">
        <f>COUNTIFS(Quarterly_Data!$H$5:$H$114,E$5,Quarterly_Data!$M$5:$M$114,$A13,Quarterly_Data!$J$5:$J$114,"&lt;&gt;")</f>
        <v/>
      </c>
      <c r="F13" s="26">
        <f>COUNTIFS(Quarterly_Data!$H$5:$H$114,F$5,Quarterly_Data!$M$5:$M$114,$A13,Quarterly_Data!$J$5:$J$114,"&lt;&gt;")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IFERROR(AVERAGEIFS(Quarterly_Data!$K$5:$K$114,Quarterly_Data!$H$5:$H$114,B$15,Quarterly_Data!$M$5:$M$114,$A16),"")</f>
        <v/>
      </c>
      <c r="C16" s="50">
        <f>IFERROR(AVERAGEIFS(Quarterly_Data!$K$5:$K$114,Quarterly_Data!$H$5:$H$114,C$15,Quarterly_Data!$M$5:$M$114,$A16),"")</f>
        <v/>
      </c>
      <c r="D16" s="50">
        <f>IFERROR(AVERAGEIFS(Quarterly_Data!$K$5:$K$114,Quarterly_Data!$H$5:$H$114,D$15,Quarterly_Data!$M$5:$M$114,$A16),"")</f>
        <v/>
      </c>
      <c r="E16" s="50">
        <f>IFERROR(AVERAGEIFS(Quarterly_Data!$K$5:$K$114,Quarterly_Data!$H$5:$H$114,E$15,Quarterly_Data!$M$5:$M$114,$A16),"")</f>
        <v/>
      </c>
      <c r="F16" s="50">
        <f>IFERROR(AVERAGEIFS(Quarterly_Data!$K$5:$K$114,Quarterly_Data!$H$5:$H$114,F$15,Quarterly_Data!$M$5:$M$114,$A16),"")</f>
        <v/>
      </c>
    </row>
    <row r="17">
      <c r="A17" t="inlineStr">
        <is>
          <t>5-15%</t>
        </is>
      </c>
      <c r="B17" s="50">
        <f>IFERROR(AVERAGEIFS(Quarterly_Data!$K$5:$K$114,Quarterly_Data!$H$5:$H$114,B$15,Quarterly_Data!$M$5:$M$114,$A17),"")</f>
        <v/>
      </c>
      <c r="C17" s="50">
        <f>IFERROR(AVERAGEIFS(Quarterly_Data!$K$5:$K$114,Quarterly_Data!$H$5:$H$114,C$15,Quarterly_Data!$M$5:$M$114,$A17),"")</f>
        <v/>
      </c>
      <c r="D17" s="50">
        <f>IFERROR(AVERAGEIFS(Quarterly_Data!$K$5:$K$114,Quarterly_Data!$H$5:$H$114,D$15,Quarterly_Data!$M$5:$M$114,$A17),"")</f>
        <v/>
      </c>
      <c r="E17" s="50">
        <f>IFERROR(AVERAGEIFS(Quarterly_Data!$K$5:$K$114,Quarterly_Data!$H$5:$H$114,E$15,Quarterly_Data!$M$5:$M$114,$A17),"")</f>
        <v/>
      </c>
      <c r="F17" s="50">
        <f>IFERROR(AVERAGEIFS(Quarterly_Data!$K$5:$K$114,Quarterly_Data!$H$5:$H$114,F$15,Quarterly_Data!$M$5:$M$114,$A17),"")</f>
        <v/>
      </c>
    </row>
    <row r="18">
      <c r="A18" t="inlineStr">
        <is>
          <t>&gt;15%</t>
        </is>
      </c>
      <c r="B18" s="50">
        <f>IFERROR(AVERAGEIFS(Quarterly_Data!$K$5:$K$114,Quarterly_Data!$H$5:$H$114,B$15,Quarterly_Data!$M$5:$M$114,$A18),"")</f>
        <v/>
      </c>
      <c r="C18" s="50">
        <f>IFERROR(AVERAGEIFS(Quarterly_Data!$K$5:$K$114,Quarterly_Data!$H$5:$H$114,C$15,Quarterly_Data!$M$5:$M$114,$A18),"")</f>
        <v/>
      </c>
      <c r="D18" s="50">
        <f>IFERROR(AVERAGEIFS(Quarterly_Data!$K$5:$K$114,Quarterly_Data!$H$5:$H$114,D$15,Quarterly_Data!$M$5:$M$114,$A18),"")</f>
        <v/>
      </c>
      <c r="E18" s="50">
        <f>IFERROR(AVERAGEIFS(Quarterly_Data!$K$5:$K$114,Quarterly_Data!$H$5:$H$114,E$15,Quarterly_Data!$M$5:$M$114,$A18),"")</f>
        <v/>
      </c>
      <c r="F18" s="50">
        <f>IFERROR(AVERAGEIFS(Quarterly_Data!$K$5:$K$114,Quarterly_Data!$H$5:$H$114,F$15,Quarterly_Data!$M$5:$M$114,$A18),"")</f>
        <v/>
      </c>
    </row>
    <row r="19"/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COUNTIFS(Quarterly_Data!$H$5:$H$114,B$15,Quarterly_Data!$M$5:$M$114,$A21,Quarterly_Data!$K$5:$K$114,"&lt;&gt;")</f>
        <v/>
      </c>
      <c r="C21" s="26">
        <f>COUNTIFS(Quarterly_Data!$H$5:$H$114,C$15,Quarterly_Data!$M$5:$M$114,$A21,Quarterly_Data!$K$5:$K$114,"&lt;&gt;")</f>
        <v/>
      </c>
      <c r="D21" s="26">
        <f>COUNTIFS(Quarterly_Data!$H$5:$H$114,D$15,Quarterly_Data!$M$5:$M$114,$A21,Quarterly_Data!$K$5:$K$114,"&lt;&gt;")</f>
        <v/>
      </c>
      <c r="E21" s="26">
        <f>COUNTIFS(Quarterly_Data!$H$5:$H$114,E$15,Quarterly_Data!$M$5:$M$114,$A21,Quarterly_Data!$K$5:$K$114,"&lt;&gt;")</f>
        <v/>
      </c>
      <c r="F21" s="26">
        <f>COUNTIFS(Quarterly_Data!$H$5:$H$114,F$15,Quarterly_Data!$M$5:$M$114,$A21,Quarterly_Data!$K$5:$K$114,"&lt;&gt;")</f>
        <v/>
      </c>
    </row>
    <row r="22">
      <c r="A22" t="inlineStr">
        <is>
          <t>5-15%</t>
        </is>
      </c>
      <c r="B22" s="26">
        <f>COUNTIFS(Quarterly_Data!$H$5:$H$114,B$15,Quarterly_Data!$M$5:$M$114,$A22,Quarterly_Data!$K$5:$K$114,"&lt;&gt;")</f>
        <v/>
      </c>
      <c r="C22" s="26">
        <f>COUNTIFS(Quarterly_Data!$H$5:$H$114,C$15,Quarterly_Data!$M$5:$M$114,$A22,Quarterly_Data!$K$5:$K$114,"&lt;&gt;")</f>
        <v/>
      </c>
      <c r="D22" s="26">
        <f>COUNTIFS(Quarterly_Data!$H$5:$H$114,D$15,Quarterly_Data!$M$5:$M$114,$A22,Quarterly_Data!$K$5:$K$114,"&lt;&gt;")</f>
        <v/>
      </c>
      <c r="E22" s="26">
        <f>COUNTIFS(Quarterly_Data!$H$5:$H$114,E$15,Quarterly_Data!$M$5:$M$114,$A22,Quarterly_Data!$K$5:$K$114,"&lt;&gt;")</f>
        <v/>
      </c>
      <c r="F22" s="26">
        <f>COUNTIFS(Quarterly_Data!$H$5:$H$114,F$15,Quarterly_Data!$M$5:$M$114,$A22,Quarterly_Data!$K$5:$K$114,"&lt;&gt;")</f>
        <v/>
      </c>
    </row>
    <row r="23">
      <c r="A23" t="inlineStr">
        <is>
          <t>&gt;15%</t>
        </is>
      </c>
      <c r="B23" s="26">
        <f>COUNTIFS(Quarterly_Data!$H$5:$H$114,B$15,Quarterly_Data!$M$5:$M$114,$A23,Quarterly_Data!$K$5:$K$114,"&lt;&gt;")</f>
        <v/>
      </c>
      <c r="C23" s="26">
        <f>COUNTIFS(Quarterly_Data!$H$5:$H$114,C$15,Quarterly_Data!$M$5:$M$114,$A23,Quarterly_Data!$K$5:$K$114,"&lt;&gt;")</f>
        <v/>
      </c>
      <c r="D23" s="26">
        <f>COUNTIFS(Quarterly_Data!$H$5:$H$114,D$15,Quarterly_Data!$M$5:$M$114,$A23,Quarterly_Data!$K$5:$K$114,"&lt;&gt;")</f>
        <v/>
      </c>
      <c r="E23" s="26">
        <f>COUNTIFS(Quarterly_Data!$H$5:$H$114,E$15,Quarterly_Data!$M$5:$M$114,$A23,Quarterly_Data!$K$5:$K$114,"&lt;&gt;")</f>
        <v/>
      </c>
      <c r="F23" s="26">
        <f>COUNTIFS(Quarterly_Data!$H$5:$H$114,F$15,Quarterly_Data!$M$5:$M$114,$A23,Quarterly_Data!$K$5:$K$114,"&lt;&gt;")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3"/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COUNTIFS(Quarterly_Data!$R$5:$R$114,$A6,Quarterly_Data!$I$5:$I$114,"&lt;&gt;")</f>
        <v/>
      </c>
      <c r="C6" s="50">
        <f>IFERROR(AVERAGEIFS(Quarterly_Data!$I$5:$I$114,Quarterly_Data!$R$5:$R$114,$A6),"")</f>
        <v/>
      </c>
      <c r="D6" s="50">
        <f>IFERROR(COUNTIFS(Quarterly_Data!$R$5:$R$114,$A6,Quarterly_Data!$I$5:$I$114,"&lt;0")/B6,"")</f>
        <v/>
      </c>
      <c r="E6">
        <f>COUNTIFS(Quarterly_Data!$R$5:$R$114,$A6,Quarterly_Data!$J$5:$J$114,"&lt;&gt;")</f>
        <v/>
      </c>
      <c r="F6" s="50">
        <f>IFERROR(AVERAGEIFS(Quarterly_Data!$J$5:$J$114,Quarterly_Data!$R$5:$R$114,$A6),"")</f>
        <v/>
      </c>
      <c r="G6" s="50">
        <f>IFERROR(COUNTIFS(Quarterly_Data!$R$5:$R$114,$A6,Quarterly_Data!$J$5:$J$114,"&lt;0")/E6,"")</f>
        <v/>
      </c>
      <c r="H6">
        <f>COUNTIFS(Quarterly_Data!$R$5:$R$114,$A6,Quarterly_Data!$K$5:$K$114,"&lt;&gt;")</f>
        <v/>
      </c>
      <c r="I6" s="50">
        <f>IFERROR(AVERAGEIFS(Quarterly_Data!$K$5:$K$114,Quarterly_Data!$R$5:$R$114,$A6),"")</f>
        <v/>
      </c>
      <c r="J6" s="50">
        <f>IFERROR(COUNTIFS(Quarterly_Data!$R$5:$R$114,$A6,Quarterly_Data!$K$5:$K$114,"&lt;0")/H6,"")</f>
        <v/>
      </c>
    </row>
    <row r="7">
      <c r="A7" t="inlineStr">
        <is>
          <t>HOLD</t>
        </is>
      </c>
      <c r="B7">
        <f>COUNTIFS(Quarterly_Data!$R$5:$R$114,$A7,Quarterly_Data!$I$5:$I$114,"&lt;&gt;")</f>
        <v/>
      </c>
      <c r="C7" s="50">
        <f>IFERROR(AVERAGEIFS(Quarterly_Data!$I$5:$I$114,Quarterly_Data!$R$5:$R$114,$A7),"")</f>
        <v/>
      </c>
      <c r="D7" s="50">
        <f>IFERROR(COUNTIFS(Quarterly_Data!$R$5:$R$114,$A7,Quarterly_Data!$I$5:$I$114,"&lt;0")/B7,"")</f>
        <v/>
      </c>
      <c r="E7">
        <f>COUNTIFS(Quarterly_Data!$R$5:$R$114,$A7,Quarterly_Data!$J$5:$J$114,"&lt;&gt;")</f>
        <v/>
      </c>
      <c r="F7" s="50">
        <f>IFERROR(AVERAGEIFS(Quarterly_Data!$J$5:$J$114,Quarterly_Data!$R$5:$R$114,$A7),"")</f>
        <v/>
      </c>
      <c r="G7" s="50">
        <f>IFERROR(COUNTIFS(Quarterly_Data!$R$5:$R$114,$A7,Quarterly_Data!$J$5:$J$114,"&lt;0")/E7,"")</f>
        <v/>
      </c>
      <c r="H7">
        <f>COUNTIFS(Quarterly_Data!$R$5:$R$114,$A7,Quarterly_Data!$K$5:$K$114,"&lt;&gt;")</f>
        <v/>
      </c>
      <c r="I7" s="50">
        <f>IFERROR(AVERAGEIFS(Quarterly_Data!$K$5:$K$114,Quarterly_Data!$R$5:$R$114,$A7),"")</f>
        <v/>
      </c>
      <c r="J7" s="50">
        <f>IFERROR(COUNTIFS(Quarterly_Data!$R$5:$R$114,$A7,Quarterly_Data!$K$5:$K$114,"&lt;0")/H7,"")</f>
        <v/>
      </c>
    </row>
    <row r="8">
      <c r="A8" t="inlineStr">
        <is>
          <t>SELL</t>
        </is>
      </c>
      <c r="B8">
        <f>COUNTIFS(Quarterly_Data!$R$5:$R$114,$A8,Quarterly_Data!$I$5:$I$114,"&lt;&gt;")</f>
        <v/>
      </c>
      <c r="C8" s="50">
        <f>IFERROR(AVERAGEIFS(Quarterly_Data!$I$5:$I$114,Quarterly_Data!$R$5:$R$114,$A8),"")</f>
        <v/>
      </c>
      <c r="D8" s="50">
        <f>IFERROR(COUNTIFS(Quarterly_Data!$R$5:$R$114,$A8,Quarterly_Data!$I$5:$I$114,"&lt;0")/B8,"")</f>
        <v/>
      </c>
      <c r="E8">
        <f>COUNTIFS(Quarterly_Data!$R$5:$R$114,$A8,Quarterly_Data!$J$5:$J$114,"&lt;&gt;")</f>
        <v/>
      </c>
      <c r="F8" s="50">
        <f>IFERROR(AVERAGEIFS(Quarterly_Data!$J$5:$J$114,Quarterly_Data!$R$5:$R$114,$A8),"")</f>
        <v/>
      </c>
      <c r="G8" s="50">
        <f>IFERROR(COUNTIFS(Quarterly_Data!$R$5:$R$114,$A8,Quarterly_Data!$J$5:$J$114,"&lt;0")/E8,"")</f>
        <v/>
      </c>
      <c r="H8">
        <f>COUNTIFS(Quarterly_Data!$R$5:$R$114,$A8,Quarterly_Data!$K$5:$K$114,"&lt;&gt;")</f>
        <v/>
      </c>
      <c r="I8" s="50">
        <f>IFERROR(AVERAGEIFS(Quarterly_Data!$K$5:$K$114,Quarterly_Data!$R$5:$R$114,$A8),"")</f>
        <v/>
      </c>
      <c r="J8" s="50">
        <f>IFERROR(COUNTIFS(Quarterly_Data!$R$5:$R$114,$A8,Quarterly_Data!$K$5:$K$114,"&lt;0")/H8,"")</f>
        <v/>
      </c>
    </row>
    <row r="9"/>
    <row r="10"/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54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IFERROR((COUNTIF($C$5:$C$92,"&lt;"&amp;C5)+(COUNTIF($C$5:$C$92,C5)+1)/2)/COUNT($C$5:$C$92),"")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IF(F5="","",IF(F5&lt;5%,"&lt;5%",IF(F5&lt;=15%,"5-15%","&gt;15%")))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54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IFERROR((COUNTIF($C$5:$C$92,"&lt;"&amp;C6)+(COUNTIF($C$5:$C$92,C6)+1)/2)/COUNT($C$5:$C$92),"")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IF(F6="","",IF(F6&lt;5%,"&lt;5%",IF(F6&lt;=15%,"5-15%","&gt;15%")))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54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IFERROR((COUNTIF($C$5:$C$92,"&lt;"&amp;C7)+(COUNTIF($C$5:$C$92,C7)+1)/2)/COUNT($C$5:$C$92),"")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IF(F7="","",IF(F7&lt;5%,"&lt;5%",IF(F7&lt;=15%,"5-15%","&gt;15%")))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54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IFERROR((COUNTIF($C$5:$C$92,"&lt;"&amp;C8)+(COUNTIF($C$5:$C$92,C8)+1)/2)/COUNT($C$5:$C$92),"")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IF(F8="","",IF(F8&lt;5%,"&lt;5%",IF(F8&lt;=15%,"5-15%","&gt;15%")))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54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IFERROR((COUNTIF($C$5:$C$92,"&lt;"&amp;C9)+(COUNTIF($C$5:$C$92,C9)+1)/2)/COUNT($C$5:$C$92),"")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IF(F9="","",IF(F9&lt;5%,"&lt;5%",IF(F9&lt;=15%,"5-15%","&gt;15%")))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54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IFERROR((COUNTIF($C$5:$C$92,"&lt;"&amp;C10)+(COUNTIF($C$5:$C$92,C10)+1)/2)/COUNT($C$5:$C$92),"")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IF(F10="","",IF(F10&lt;5%,"&lt;5%",IF(F10&lt;=15%,"5-15%","&gt;15%")))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54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IFERROR((COUNTIF($C$5:$C$92,"&lt;"&amp;C11)+(COUNTIF($C$5:$C$92,C11)+1)/2)/COUNT($C$5:$C$92),"")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IF(F11="","",IF(F11&lt;5%,"&lt;5%",IF(F11&lt;=15%,"5-15%","&gt;15%")))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54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IFERROR((COUNTIF($C$5:$C$92,"&lt;"&amp;C12)+(COUNTIF($C$5:$C$92,C12)+1)/2)/COUNT($C$5:$C$92),"")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IF(F12="","",IF(F12&lt;5%,"&lt;5%",IF(F12&lt;=15%,"5-15%","&gt;15%")))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54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IFERROR((COUNTIF($C$5:$C$92,"&lt;"&amp;C13)+(COUNTIF($C$5:$C$92,C13)+1)/2)/COUNT($C$5:$C$92),"")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IF(F13="","",IF(F13&lt;5%,"&lt;5%",IF(F13&lt;=15%,"5-15%","&gt;15%")))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54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IFERROR((COUNTIF($C$5:$C$92,"&lt;"&amp;C14)+(COUNTIF($C$5:$C$92,C14)+1)/2)/COUNT($C$5:$C$92),"")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IF(F14="","",IF(F14&lt;5%,"&lt;5%",IF(F14&lt;=15%,"5-15%","&gt;15%")))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54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IFERROR((COUNTIF($C$5:$C$92,"&lt;"&amp;C15)+(COUNTIF($C$5:$C$92,C15)+1)/2)/COUNT($C$5:$C$92),"")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IF(F15="","",IF(F15&lt;5%,"&lt;5%",IF(F15&lt;=15%,"5-15%","&gt;15%")))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54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IFERROR((COUNTIF($C$5:$C$92,"&lt;"&amp;C16)+(COUNTIF($C$5:$C$92,C16)+1)/2)/COUNT($C$5:$C$92),"")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IF(F16="","",IF(F16&lt;5%,"&lt;5%",IF(F16&lt;=15%,"5-15%","&gt;15%")))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54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IFERROR((COUNTIF($C$5:$C$92,"&lt;"&amp;C17)+(COUNTIF($C$5:$C$92,C17)+1)/2)/COUNT($C$5:$C$92),"")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IF(F17="","",IF(F17&lt;5%,"&lt;5%",IF(F17&lt;=15%,"5-15%","&gt;15%")))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54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IFERROR((COUNTIF($C$5:$C$92,"&lt;"&amp;C18)+(COUNTIF($C$5:$C$92,C18)+1)/2)/COUNT($C$5:$C$92),"")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IF(F18="","",IF(F18&lt;5%,"&lt;5%",IF(F18&lt;=15%,"5-15%","&gt;15%")))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54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IFERROR((COUNTIF($C$5:$C$92,"&lt;"&amp;C19)+(COUNTIF($C$5:$C$92,C19)+1)/2)/COUNT($C$5:$C$92),"")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IF(F19="","",IF(F19&lt;5%,"&lt;5%",IF(F19&lt;=15%,"5-15%","&gt;15%")))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54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IFERROR((COUNTIF($C$5:$C$92,"&lt;"&amp;C20)+(COUNTIF($C$5:$C$92,C20)+1)/2)/COUNT($C$5:$C$92),"")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IF(F20="","",IF(F20&lt;5%,"&lt;5%",IF(F20&lt;=15%,"5-15%","&gt;15%")))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54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IFERROR((COUNTIF($C$5:$C$92,"&lt;"&amp;C21)+(COUNTIF($C$5:$C$92,C21)+1)/2)/COUNT($C$5:$C$92),"")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IF(F21="","",IF(F21&lt;5%,"&lt;5%",IF(F21&lt;=15%,"5-15%","&gt;15%")))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54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IFERROR((COUNTIF($C$5:$C$92,"&lt;"&amp;C22)+(COUNTIF($C$5:$C$92,C22)+1)/2)/COUNT($C$5:$C$92),"")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IF(F22="","",IF(F22&lt;5%,"&lt;5%",IF(F22&lt;=15%,"5-15%","&gt;15%")))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54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IFERROR((COUNTIF($C$5:$C$92,"&lt;"&amp;C23)+(COUNTIF($C$5:$C$92,C23)+1)/2)/COUNT($C$5:$C$92),"")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IF(F23="","",IF(F23&lt;5%,"&lt;5%",IF(F23&lt;=15%,"5-15%","&gt;15%")))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54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IFERROR((COUNTIF($C$5:$C$92,"&lt;"&amp;C24)+(COUNTIF($C$5:$C$92,C24)+1)/2)/COUNT($C$5:$C$92),"")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IF(F24="","",IF(F24&lt;5%,"&lt;5%",IF(F24&lt;=15%,"5-15%","&gt;15%")))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54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IFERROR((COUNTIF($C$5:$C$92,"&lt;"&amp;C25)+(COUNTIF($C$5:$C$92,C25)+1)/2)/COUNT($C$5:$C$92),"")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IF(F25="","",IF(F25&lt;5%,"&lt;5%",IF(F25&lt;=15%,"5-15%","&gt;15%")))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54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IFERROR((COUNTIF($C$5:$C$92,"&lt;"&amp;C26)+(COUNTIF($C$5:$C$92,C26)+1)/2)/COUNT($C$5:$C$92),"")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IF(F26="","",IF(F26&lt;5%,"&lt;5%",IF(F26&lt;=15%,"5-15%","&gt;15%")))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54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IFERROR((COUNTIF($C$5:$C$92,"&lt;"&amp;C27)+(COUNTIF($C$5:$C$92,C27)+1)/2)/COUNT($C$5:$C$92),"")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IF(F27="","",IF(F27&lt;5%,"&lt;5%",IF(F27&lt;=15%,"5-15%","&gt;15%")))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54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IFERROR((COUNTIF($C$5:$C$92,"&lt;"&amp;C28)+(COUNTIF($C$5:$C$92,C28)+1)/2)/COUNT($C$5:$C$92),"")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IF(F28="","",IF(F28&lt;5%,"&lt;5%",IF(F28&lt;=15%,"5-15%","&gt;15%")))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54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IFERROR((COUNTIF($C$5:$C$92,"&lt;"&amp;C29)+(COUNTIF($C$5:$C$92,C29)+1)/2)/COUNT($C$5:$C$92),"")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IF(F29="","",IF(F29&lt;5%,"&lt;5%",IF(F29&lt;=15%,"5-15%","&gt;15%")))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54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IFERROR((COUNTIF($C$5:$C$92,"&lt;"&amp;C30)+(COUNTIF($C$5:$C$92,C30)+1)/2)/COUNT($C$5:$C$92),"")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IF(F30="","",IF(F30&lt;5%,"&lt;5%",IF(F30&lt;=15%,"5-15%","&gt;15%")))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54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IFERROR((COUNTIF($C$5:$C$92,"&lt;"&amp;C31)+(COUNTIF($C$5:$C$92,C31)+1)/2)/COUNT($C$5:$C$92),"")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IF(F31="","",IF(F31&lt;5%,"&lt;5%",IF(F31&lt;=15%,"5-15%","&gt;15%")))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54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IFERROR((COUNTIF($C$5:$C$92,"&lt;"&amp;C32)+(COUNTIF($C$5:$C$92,C32)+1)/2)/COUNT($C$5:$C$92),"")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IF(F32="","",IF(F32&lt;5%,"&lt;5%",IF(F32&lt;=15%,"5-15%","&gt;15%")))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54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IFERROR((COUNTIF($C$5:$C$92,"&lt;"&amp;C33)+(COUNTIF($C$5:$C$92,C33)+1)/2)/COUNT($C$5:$C$92),"")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IF(F33="","",IF(F33&lt;5%,"&lt;5%",IF(F33&lt;=15%,"5-15%","&gt;15%")))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54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IFERROR((COUNTIF($C$5:$C$92,"&lt;"&amp;C34)+(COUNTIF($C$5:$C$92,C34)+1)/2)/COUNT($C$5:$C$92),"")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IF(F34="","",IF(F34&lt;5%,"&lt;5%",IF(F34&lt;=15%,"5-15%","&gt;15%")))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54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IFERROR((COUNTIF($C$5:$C$92,"&lt;"&amp;C35)+(COUNTIF($C$5:$C$92,C35)+1)/2)/COUNT($C$5:$C$92),"")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IF(F35="","",IF(F35&lt;5%,"&lt;5%",IF(F35&lt;=15%,"5-15%","&gt;15%")))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54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IFERROR((COUNTIF($C$5:$C$92,"&lt;"&amp;C36)+(COUNTIF($C$5:$C$92,C36)+1)/2)/COUNT($C$5:$C$92),"")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IF(F36="","",IF(F36&lt;5%,"&lt;5%",IF(F36&lt;=15%,"5-15%","&gt;15%")))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54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IFERROR((COUNTIF($C$5:$C$92,"&lt;"&amp;C37)+(COUNTIF($C$5:$C$92,C37)+1)/2)/COUNT($C$5:$C$92),"")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IF(F37="","",IF(F37&lt;5%,"&lt;5%",IF(F37&lt;=15%,"5-15%","&gt;15%")))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54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IFERROR((COUNTIF($C$5:$C$92,"&lt;"&amp;C38)+(COUNTIF($C$5:$C$92,C38)+1)/2)/COUNT($C$5:$C$92),"")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IF(F38="","",IF(F38&lt;5%,"&lt;5%",IF(F38&lt;=15%,"5-15%","&gt;15%")))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54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IFERROR((COUNTIF($C$5:$C$92,"&lt;"&amp;C39)+(COUNTIF($C$5:$C$92,C39)+1)/2)/COUNT($C$5:$C$92),"")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IF(F39="","",IF(F39&lt;5%,"&lt;5%",IF(F39&lt;=15%,"5-15%","&gt;15%")))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54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IFERROR((COUNTIF($C$5:$C$92,"&lt;"&amp;C40)+(COUNTIF($C$5:$C$92,C40)+1)/2)/COUNT($C$5:$C$92),"")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IF(F40="","",IF(F40&lt;5%,"&lt;5%",IF(F40&lt;=15%,"5-15%","&gt;15%")))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54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IFERROR((COUNTIF($C$5:$C$92,"&lt;"&amp;C41)+(COUNTIF($C$5:$C$92,C41)+1)/2)/COUNT($C$5:$C$92),"")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IF(F41="","",IF(F41&lt;5%,"&lt;5%",IF(F41&lt;=15%,"5-15%","&gt;15%")))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54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IFERROR((COUNTIF($C$5:$C$92,"&lt;"&amp;C42)+(COUNTIF($C$5:$C$92,C42)+1)/2)/COUNT($C$5:$C$92),"")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IF(F42="","",IF(F42&lt;5%,"&lt;5%",IF(F42&lt;=15%,"5-15%","&gt;15%")))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54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IFERROR((COUNTIF($C$5:$C$92,"&lt;"&amp;C43)+(COUNTIF($C$5:$C$92,C43)+1)/2)/COUNT($C$5:$C$92),"")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IF(F43="","",IF(F43&lt;5%,"&lt;5%",IF(F43&lt;=15%,"5-15%","&gt;15%")))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54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IFERROR((COUNTIF($C$5:$C$92,"&lt;"&amp;C44)+(COUNTIF($C$5:$C$92,C44)+1)/2)/COUNT($C$5:$C$92),"")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IF(F44="","",IF(F44&lt;5%,"&lt;5%",IF(F44&lt;=15%,"5-15%","&gt;15%")))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54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IFERROR((COUNTIF($C$5:$C$92,"&lt;"&amp;C45)+(COUNTIF($C$5:$C$92,C45)+1)/2)/COUNT($C$5:$C$92),"")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IF(F45="","",IF(F45&lt;5%,"&lt;5%",IF(F45&lt;=15%,"5-15%","&gt;15%")))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54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IFERROR((COUNTIF($C$5:$C$92,"&lt;"&amp;C46)+(COUNTIF($C$5:$C$92,C46)+1)/2)/COUNT($C$5:$C$92),"")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IF(F46="","",IF(F46&lt;5%,"&lt;5%",IF(F46&lt;=15%,"5-15%","&gt;15%")))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54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IFERROR((COUNTIF($C$5:$C$92,"&lt;"&amp;C47)+(COUNTIF($C$5:$C$92,C47)+1)/2)/COUNT($C$5:$C$92),"")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IF(F47="","",IF(F47&lt;5%,"&lt;5%",IF(F47&lt;=15%,"5-15%","&gt;15%")))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54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IFERROR((COUNTIF($C$5:$C$92,"&lt;"&amp;C48)+(COUNTIF($C$5:$C$92,C48)+1)/2)/COUNT($C$5:$C$92),"")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IF(F48="","",IF(F48&lt;5%,"&lt;5%",IF(F48&lt;=15%,"5-15%","&gt;15%")))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54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IFERROR((COUNTIF($C$5:$C$92,"&lt;"&amp;C49)+(COUNTIF($C$5:$C$92,C49)+1)/2)/COUNT($C$5:$C$92),"")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IF(F49="","",IF(F49&lt;5%,"&lt;5%",IF(F49&lt;=15%,"5-15%","&gt;15%")))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54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IFERROR((COUNTIF($C$5:$C$92,"&lt;"&amp;C50)+(COUNTIF($C$5:$C$92,C50)+1)/2)/COUNT($C$5:$C$92),"")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IF(F50="","",IF(F50&lt;5%,"&lt;5%",IF(F50&lt;=15%,"5-15%","&gt;15%")))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54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IFERROR((COUNTIF($C$5:$C$92,"&lt;"&amp;C51)+(COUNTIF($C$5:$C$92,C51)+1)/2)/COUNT($C$5:$C$92),"")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IF(F51="","",IF(F51&lt;5%,"&lt;5%",IF(F51&lt;=15%,"5-15%","&gt;15%")))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54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IFERROR((COUNTIF($C$5:$C$92,"&lt;"&amp;C52)+(COUNTIF($C$5:$C$92,C52)+1)/2)/COUNT($C$5:$C$92),"")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IF(F52="","",IF(F52&lt;5%,"&lt;5%",IF(F52&lt;=15%,"5-15%","&gt;15%")))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54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IFERROR((COUNTIF($C$5:$C$92,"&lt;"&amp;C53)+(COUNTIF($C$5:$C$92,C53)+1)/2)/COUNT($C$5:$C$92),"")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IF(F53="","",IF(F53&lt;5%,"&lt;5%",IF(F53&lt;=15%,"5-15%","&gt;15%")))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54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IFERROR((COUNTIF($C$5:$C$92,"&lt;"&amp;C54)+(COUNTIF($C$5:$C$92,C54)+1)/2)/COUNT($C$5:$C$92),"")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IF(F54="","",IF(F54&lt;5%,"&lt;5%",IF(F54&lt;=15%,"5-15%","&gt;15%")))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54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IFERROR((COUNTIF($C$5:$C$92,"&lt;"&amp;C55)+(COUNTIF($C$5:$C$92,C55)+1)/2)/COUNT($C$5:$C$92),"")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IF(F55="","",IF(F55&lt;5%,"&lt;5%",IF(F55&lt;=15%,"5-15%","&gt;15%")))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54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IFERROR((COUNTIF($C$5:$C$92,"&lt;"&amp;C56)+(COUNTIF($C$5:$C$92,C56)+1)/2)/COUNT($C$5:$C$92),"")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IF(F56="","",IF(F56&lt;5%,"&lt;5%",IF(F56&lt;=15%,"5-15%","&gt;15%")))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54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IFERROR((COUNTIF($C$5:$C$92,"&lt;"&amp;C57)+(COUNTIF($C$5:$C$92,C57)+1)/2)/COUNT($C$5:$C$92),"")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IF(F57="","",IF(F57&lt;5%,"&lt;5%",IF(F57&lt;=15%,"5-15%","&gt;15%")))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54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IFERROR((COUNTIF($C$5:$C$92,"&lt;"&amp;C58)+(COUNTIF($C$5:$C$92,C58)+1)/2)/COUNT($C$5:$C$92),"")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IF(F58="","",IF(F58&lt;5%,"&lt;5%",IF(F58&lt;=15%,"5-15%","&gt;15%")))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54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IFERROR((COUNTIF($C$5:$C$92,"&lt;"&amp;C59)+(COUNTIF($C$5:$C$92,C59)+1)/2)/COUNT($C$5:$C$92),"")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IF(F59="","",IF(F59&lt;5%,"&lt;5%",IF(F59&lt;=15%,"5-15%","&gt;15%")))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54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IFERROR((COUNTIF($C$5:$C$92,"&lt;"&amp;C60)+(COUNTIF($C$5:$C$92,C60)+1)/2)/COUNT($C$5:$C$92),"")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IF(F60="","",IF(F60&lt;5%,"&lt;5%",IF(F60&lt;=15%,"5-15%","&gt;15%")))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54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IFERROR((COUNTIF($C$5:$C$92,"&lt;"&amp;C61)+(COUNTIF($C$5:$C$92,C61)+1)/2)/COUNT($C$5:$C$92),"")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IF(F61="","",IF(F61&lt;5%,"&lt;5%",IF(F61&lt;=15%,"5-15%","&gt;15%")))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54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IFERROR((COUNTIF($C$5:$C$92,"&lt;"&amp;C62)+(COUNTIF($C$5:$C$92,C62)+1)/2)/COUNT($C$5:$C$92),"")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IF(F62="","",IF(F62&lt;5%,"&lt;5%",IF(F62&lt;=15%,"5-15%","&gt;15%")))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54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IFERROR((COUNTIF($C$5:$C$92,"&lt;"&amp;C63)+(COUNTIF($C$5:$C$92,C63)+1)/2)/COUNT($C$5:$C$92),"")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IF(F63="","",IF(F63&lt;5%,"&lt;5%",IF(F63&lt;=15%,"5-15%","&gt;15%")))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54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IFERROR((COUNTIF($C$5:$C$92,"&lt;"&amp;C64)+(COUNTIF($C$5:$C$92,C64)+1)/2)/COUNT($C$5:$C$92),"")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IF(F64="","",IF(F64&lt;5%,"&lt;5%",IF(F64&lt;=15%,"5-15%","&gt;15%")))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54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IFERROR((COUNTIF($C$5:$C$92,"&lt;"&amp;C65)+(COUNTIF($C$5:$C$92,C65)+1)/2)/COUNT($C$5:$C$92),"")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IF(F65="","",IF(F65&lt;5%,"&lt;5%",IF(F65&lt;=15%,"5-15%","&gt;15%")))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54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IFERROR((COUNTIF($C$5:$C$92,"&lt;"&amp;C66)+(COUNTIF($C$5:$C$92,C66)+1)/2)/COUNT($C$5:$C$92),"")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IF(F66="","",IF(F66&lt;5%,"&lt;5%",IF(F66&lt;=15%,"5-15%","&gt;15%")))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54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IFERROR((COUNTIF($C$5:$C$92,"&lt;"&amp;C67)+(COUNTIF($C$5:$C$92,C67)+1)/2)/COUNT($C$5:$C$92),"")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IF(F67="","",IF(F67&lt;5%,"&lt;5%",IF(F67&lt;=15%,"5-15%","&gt;15%")))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54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IFERROR((COUNTIF($C$5:$C$92,"&lt;"&amp;C68)+(COUNTIF($C$5:$C$92,C68)+1)/2)/COUNT($C$5:$C$92),"")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IF(F68="","",IF(F68&lt;5%,"&lt;5%",IF(F68&lt;=15%,"5-15%","&gt;15%")))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54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IFERROR((COUNTIF($C$5:$C$92,"&lt;"&amp;C69)+(COUNTIF($C$5:$C$92,C69)+1)/2)/COUNT($C$5:$C$92),"")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IF(F69="","",IF(F69&lt;5%,"&lt;5%",IF(F69&lt;=15%,"5-15%","&gt;15%")))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54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IFERROR((COUNTIF($C$5:$C$92,"&lt;"&amp;C70)+(COUNTIF($C$5:$C$92,C70)+1)/2)/COUNT($C$5:$C$92),"")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IF(F70="","",IF(F70&lt;5%,"&lt;5%",IF(F70&lt;=15%,"5-15%","&gt;15%")))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54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IFERROR((COUNTIF($C$5:$C$92,"&lt;"&amp;C71)+(COUNTIF($C$5:$C$92,C71)+1)/2)/COUNT($C$5:$C$92),"")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IF(F71="","",IF(F71&lt;5%,"&lt;5%",IF(F71&lt;=15%,"5-15%","&gt;15%")))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54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IFERROR((COUNTIF($C$5:$C$92,"&lt;"&amp;C72)+(COUNTIF($C$5:$C$92,C72)+1)/2)/COUNT($C$5:$C$92),"")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IF(F72="","",IF(F72&lt;5%,"&lt;5%",IF(F72&lt;=15%,"5-15%","&gt;15%")))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54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IFERROR((COUNTIF($C$5:$C$92,"&lt;"&amp;C73)+(COUNTIF($C$5:$C$92,C73)+1)/2)/COUNT($C$5:$C$92),"")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IF(F73="","",IF(F73&lt;5%,"&lt;5%",IF(F73&lt;=15%,"5-15%","&gt;15%")))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54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IFERROR((COUNTIF($C$5:$C$92,"&lt;"&amp;C74)+(COUNTIF($C$5:$C$92,C74)+1)/2)/COUNT($C$5:$C$92),"")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IF(F74="","",IF(F74&lt;5%,"&lt;5%",IF(F74&lt;=15%,"5-15%","&gt;15%")))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54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IFERROR((COUNTIF($C$5:$C$92,"&lt;"&amp;C75)+(COUNTIF($C$5:$C$92,C75)+1)/2)/COUNT($C$5:$C$92),"")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 t="inlineStr"/>
      <c r="M75">
        <f>IF(F75="","",IF(F75&lt;5%,"&lt;5%",IF(F75&lt;=15%,"5-15%","&gt;15%")))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54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IFERROR((COUNTIF($C$5:$C$92,"&lt;"&amp;C76)+(COUNTIF($C$5:$C$92,C76)+1)/2)/COUNT($C$5:$C$92),"")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IF(F76="","",IF(F76&lt;5%,"&lt;5%",IF(F76&lt;=15%,"5-15%","&gt;15%")))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54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IFERROR((COUNTIF($C$5:$C$92,"&lt;"&amp;C77)+(COUNTIF($C$5:$C$92,C77)+1)/2)/COUNT($C$5:$C$92),"")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IF(F77="","",IF(F77&lt;5%,"&lt;5%",IF(F77&lt;=15%,"5-15%","&gt;15%")))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54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IFERROR((COUNTIF($C$5:$C$92,"&lt;"&amp;C78)+(COUNTIF($C$5:$C$92,C78)+1)/2)/COUNT($C$5:$C$92),"")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IF(F78="","",IF(F78&lt;5%,"&lt;5%",IF(F78&lt;=15%,"5-15%","&gt;15%")))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54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IFERROR((COUNTIF($C$5:$C$92,"&lt;"&amp;C79)+(COUNTIF($C$5:$C$92,C79)+1)/2)/COUNT($C$5:$C$92),"")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IF(F79="","",IF(F79&lt;5%,"&lt;5%",IF(F79&lt;=15%,"5-15%","&gt;15%")))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54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IFERROR((COUNTIF($C$5:$C$92,"&lt;"&amp;C80)+(COUNTIF($C$5:$C$92,C80)+1)/2)/COUNT($C$5:$C$92),"")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IF(F80="","",IF(F80&lt;5%,"&lt;5%",IF(F80&lt;=15%,"5-15%","&gt;15%")))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54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IFERROR((COUNTIF($C$5:$C$92,"&lt;"&amp;C81)+(COUNTIF($C$5:$C$92,C81)+1)/2)/COUNT($C$5:$C$92),"")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IF(F81="","",IF(F81&lt;5%,"&lt;5%",IF(F81&lt;=15%,"5-15%","&gt;15%")))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54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IFERROR((COUNTIF($C$5:$C$92,"&lt;"&amp;C82)+(COUNTIF($C$5:$C$92,C82)+1)/2)/COUNT($C$5:$C$92),"")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IF(F82="","",IF(F82&lt;5%,"&lt;5%",IF(F82&lt;=15%,"5-15%","&gt;15%")))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54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IFERROR((COUNTIF($C$5:$C$92,"&lt;"&amp;C83)+(COUNTIF($C$5:$C$92,C83)+1)/2)/COUNT($C$5:$C$92),"")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IF(F83="","",IF(F83&lt;5%,"&lt;5%",IF(F83&lt;=15%,"5-15%","&gt;15%")))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54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IFERROR((COUNTIF($C$5:$C$92,"&lt;"&amp;C84)+(COUNTIF($C$5:$C$92,C84)+1)/2)/COUNT($C$5:$C$92),"")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IF(F84="","",IF(F84&lt;5%,"&lt;5%",IF(F84&lt;=15%,"5-15%","&gt;15%")))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54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IFERROR((COUNTIF($C$5:$C$92,"&lt;"&amp;C85)+(COUNTIF($C$5:$C$92,C85)+1)/2)/COUNT($C$5:$C$92),"")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IF(F85="","",IF(F85&lt;5%,"&lt;5%",IF(F85&lt;=15%,"5-15%","&gt;15%")))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54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IFERROR((COUNTIF($C$5:$C$92,"&lt;"&amp;C86)+(COUNTIF($C$5:$C$92,C86)+1)/2)/COUNT($C$5:$C$92),"")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IF(F86="","",IF(F86&lt;5%,"&lt;5%",IF(F86&lt;=15%,"5-15%","&gt;15%")))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54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IFERROR((COUNTIF($C$5:$C$92,"&lt;"&amp;C87)+(COUNTIF($C$5:$C$92,C87)+1)/2)/COUNT($C$5:$C$92),"")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IF(F87="","",IF(F87&lt;5%,"&lt;5%",IF(F87&lt;=15%,"5-15%","&gt;15%")))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54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IFERROR((COUNTIF($C$5:$C$92,"&lt;"&amp;C88)+(COUNTIF($C$5:$C$92,C88)+1)/2)/COUNT($C$5:$C$92),"")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IF(F88="","",IF(F88&lt;5%,"&lt;5%",IF(F88&lt;=15%,"5-15%","&gt;15%")))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54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IFERROR((COUNTIF($C$5:$C$92,"&lt;"&amp;C89)+(COUNTIF($C$5:$C$92,C89)+1)/2)/COUNT($C$5:$C$92),"")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IF(F89="","",IF(F89&lt;5%,"&lt;5%",IF(F89&lt;=15%,"5-15%","&gt;15%")))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54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IFERROR((COUNTIF($C$5:$C$92,"&lt;"&amp;C90)+(COUNTIF($C$5:$C$92,C90)+1)/2)/COUNT($C$5:$C$92),"")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IF(F90="","",IF(F90&lt;5%,"&lt;5%",IF(F90&lt;=15%,"5-15%","&gt;15%")))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54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IFERROR((COUNTIF($C$5:$C$92,"&lt;"&amp;C91)+(COUNTIF($C$5:$C$92,C91)+1)/2)/COUNT($C$5:$C$92),"")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IF(F91="","",IF(F91&lt;5%,"&lt;5%",IF(F91&lt;=15%,"5-15%","&gt;15%")))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54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IFERROR((COUNTIF($C$5:$C$92,"&lt;"&amp;C92)+(COUNTIF($C$5:$C$92,C92)+1)/2)/COUNT($C$5:$C$92),"")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IF(F92="","",IF(F92&lt;5%,"&lt;5%",IF(F92&lt;=15%,"5-15%","&gt;15%")))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54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IFERROR((COUNTIF($C$93:$C$114,"&lt;"&amp;C93)+(COUNTIF($C$93:$C$114,C93)+1)/2)/COUNT($C$93:$C$114),"")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IF(F93="","",IF(F93&lt;5%,"&lt;5%",IF(F93&lt;=15%,"5-15%","&gt;15%")))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54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IFERROR((COUNTIF($C$93:$C$114,"&lt;"&amp;C94)+(COUNTIF($C$93:$C$114,C94)+1)/2)/COUNT($C$93:$C$114),"")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IF(F94="","",IF(F94&lt;5%,"&lt;5%",IF(F94&lt;=15%,"5-15%","&gt;15%")))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54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IFERROR((COUNTIF($C$93:$C$114,"&lt;"&amp;C95)+(COUNTIF($C$93:$C$114,C95)+1)/2)/COUNT($C$93:$C$114),"")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 t="inlineStr"/>
      <c r="L95" s="50" t="inlineStr"/>
      <c r="M95">
        <f>IF(F95="","",IF(F95&lt;5%,"&lt;5%",IF(F95&lt;=15%,"5-15%","&gt;15%")))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54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IFERROR((COUNTIF($C$93:$C$114,"&lt;"&amp;C96)+(COUNTIF($C$93:$C$114,C96)+1)/2)/COUNT($C$93:$C$114),"")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IF(F96="","",IF(F96&lt;5%,"&lt;5%",IF(F96&lt;=15%,"5-15%","&gt;15%")))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54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IFERROR((COUNTIF($C$93:$C$114,"&lt;"&amp;C97)+(COUNTIF($C$93:$C$114,C97)+1)/2)/COUNT($C$93:$C$114),"")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IF(F97="","",IF(F97&lt;5%,"&lt;5%",IF(F97&lt;=15%,"5-15%","&gt;15%")))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54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IFERROR((COUNTIF($C$93:$C$114,"&lt;"&amp;C98)+(COUNTIF($C$93:$C$114,C98)+1)/2)/COUNT($C$93:$C$114),"")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IF(F98="","",IF(F98&lt;5%,"&lt;5%",IF(F98&lt;=15%,"5-15%","&gt;15%")))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54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IFERROR((COUNTIF($C$93:$C$114,"&lt;"&amp;C99)+(COUNTIF($C$93:$C$114,C99)+1)/2)/COUNT($C$93:$C$114),"")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IF(F99="","",IF(F99&lt;5%,"&lt;5%",IF(F99&lt;=15%,"5-15%","&gt;15%")))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54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IFERROR((COUNTIF($C$93:$C$114,"&lt;"&amp;C100)+(COUNTIF($C$93:$C$114,C100)+1)/2)/COUNT($C$93:$C$114),"")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IF(F100="","",IF(F100&lt;5%,"&lt;5%",IF(F100&lt;=15%,"5-15%","&gt;15%")))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54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IFERROR((COUNTIF($C$93:$C$114,"&lt;"&amp;C101)+(COUNTIF($C$93:$C$114,C101)+1)/2)/COUNT($C$93:$C$114),"")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IF(F101="","",IF(F101&lt;5%,"&lt;5%",IF(F101&lt;=15%,"5-15%","&gt;15%")))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54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IFERROR((COUNTIF($C$93:$C$114,"&lt;"&amp;C102)+(COUNTIF($C$93:$C$114,C102)+1)/2)/COUNT($C$93:$C$114),"")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IF(F102="","",IF(F102&lt;5%,"&lt;5%",IF(F102&lt;=15%,"5-15%","&gt;15%")))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54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IFERROR((COUNTIF($C$93:$C$114,"&lt;"&amp;C103)+(COUNTIF($C$93:$C$114,C103)+1)/2)/COUNT($C$93:$C$114),"")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 t="inlineStr"/>
      <c r="K103" s="50" t="inlineStr"/>
      <c r="L103" s="50" t="inlineStr"/>
      <c r="M103">
        <f>IF(F103="","",IF(F103&lt;5%,"&lt;5%",IF(F103&lt;=15%,"5-15%","&gt;15%")))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54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IFERROR((COUNTIF($C$93:$C$114,"&lt;"&amp;C104)+(COUNTIF($C$93:$C$114,C104)+1)/2)/COUNT($C$93:$C$114),"")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IF(F104="","",IF(F104&lt;5%,"&lt;5%",IF(F104&lt;=15%,"5-15%","&gt;15%")))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54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IFERROR((COUNTIF($C$93:$C$114,"&lt;"&amp;C105)+(COUNTIF($C$93:$C$114,C105)+1)/2)/COUNT($C$93:$C$114),"")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IF(F105="","",IF(F105&lt;5%,"&lt;5%",IF(F105&lt;=15%,"5-15%","&gt;15%")))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54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IFERROR((COUNTIF($C$93:$C$114,"&lt;"&amp;C106)+(COUNTIF($C$93:$C$114,C106)+1)/2)/COUNT($C$93:$C$114),"")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IF(F106="","",IF(F106&lt;5%,"&lt;5%",IF(F106&lt;=15%,"5-15%","&gt;15%")))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54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IFERROR((COUNTIF($C$93:$C$114,"&lt;"&amp;C107)+(COUNTIF($C$93:$C$114,C107)+1)/2)/COUNT($C$93:$C$114),"")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IF(F107="","",IF(F107&lt;5%,"&lt;5%",IF(F107&lt;=15%,"5-15%","&gt;15%")))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54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IFERROR((COUNTIF($C$93:$C$114,"&lt;"&amp;C108)+(COUNTIF($C$93:$C$114,C108)+1)/2)/COUNT($C$93:$C$114),"")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IF(F108="","",IF(F108&lt;5%,"&lt;5%",IF(F108&lt;=15%,"5-15%","&gt;15%")))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54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IFERROR((COUNTIF($C$93:$C$114,"&lt;"&amp;C109)+(COUNTIF($C$93:$C$114,C109)+1)/2)/COUNT($C$93:$C$114),"")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IF(F109="","",IF(F109&lt;5%,"&lt;5%",IF(F109&lt;=15%,"5-15%","&gt;15%")))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54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IFERROR((COUNTIF($C$93:$C$114,"&lt;"&amp;C110)+(COUNTIF($C$93:$C$114,C110)+1)/2)/COUNT($C$93:$C$114),"")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IF(F110="","",IF(F110&lt;5%,"&lt;5%",IF(F110&lt;=15%,"5-15%","&gt;15%")))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54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IFERROR((COUNTIF($C$93:$C$114,"&lt;"&amp;C111)+(COUNTIF($C$93:$C$114,C111)+1)/2)/COUNT($C$93:$C$114),"")</f>
        <v/>
      </c>
      <c r="H111">
        <f>IF(G111="","",IF(G111&lt;=20%,"Q1 Cheapest",IF(G111&lt;=40%,"Q2",IF(G111&lt;=60%,"Q3",IF(G111&lt;=80%,"Q4","Q5 Most Expensive")))))</f>
        <v/>
      </c>
      <c r="I111" s="50" t="inlineStr"/>
      <c r="J111" s="50" t="inlineStr"/>
      <c r="K111" s="50" t="inlineStr"/>
      <c r="L111" s="50" t="inlineStr"/>
      <c r="M111">
        <f>IF(F111="","",IF(F111&lt;5%,"&lt;5%",IF(F111&lt;=15%,"5-15%","&gt;15%")))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54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IFERROR((COUNTIF($C$93:$C$114,"&lt;"&amp;C112)+(COUNTIF($C$93:$C$114,C112)+1)/2)/COUNT($C$93:$C$114),"")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IF(F112="","",IF(F112&lt;5%,"&lt;5%",IF(F112&lt;=15%,"5-15%","&gt;15%")))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54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IFERROR((COUNTIF($C$93:$C$114,"&lt;"&amp;C113)+(COUNTIF($C$93:$C$114,C113)+1)/2)/COUNT($C$93:$C$114),"")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IF(F113="","",IF(F113&lt;5%,"&lt;5%",IF(F113&lt;=15%,"5-15%","&gt;15%")))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54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IFERROR((COUNTIF($C$93:$C$114,"&lt;"&amp;C114)+(COUNTIF($C$93:$C$114,C114)+1)/2)/COUNT($C$93:$C$114),"")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IF(F114="","",IF(F114&lt;5%,"&lt;5%",IF(F114&lt;=15%,"5-15%","&gt;15%")))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46283</v>
      </c>
      <c r="B70" s="57" t="n">
        <v>19.74</v>
      </c>
      <c r="C70" s="30" t="inlineStr">
        <is>
          <t>Consolidated</t>
        </is>
      </c>
      <c r="D70" s="34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Jun-2026.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2026-09-19T17:23:04Z</dcterms:modified>
</cp:coreProperties>
</file>