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0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  <numFmt numFmtId="173" formatCode="yyyy-mm-dd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46286</v>
      </c>
      <c r="D5" s="6">
        <f>B20</f>
        <v/>
      </c>
    </row>
    <row r="6">
      <c r="A6" s="4" t="inlineStr">
        <is>
          <t>NIFTY 50 Close</t>
        </is>
      </c>
      <c r="B6" s="7" t="n">
        <v>23414.3</v>
      </c>
    </row>
    <row r="7">
      <c r="A7" s="4" t="inlineStr">
        <is>
          <t>Current P/E</t>
        </is>
      </c>
      <c r="B7" s="43" t="n">
        <v>19.79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45919</v>
      </c>
    </row>
    <row r="13">
      <c r="A13" s="4" t="inlineStr">
        <is>
          <t>Prior-year NIFTY close</t>
        </is>
      </c>
      <c r="B13" s="14" t="n">
        <v>25327.05</v>
      </c>
    </row>
    <row r="14">
      <c r="A14" s="4" t="inlineStr">
        <is>
          <t>Prior-year P/E</t>
        </is>
      </c>
      <c r="B14" s="47" t="n">
        <v>22.25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IFERROR((COUNTIF($C$93:$C$114,"&lt;"&amp;C93)+(COUNTIF($C$93:$C$114,C93)+1)/2)/COUNT($C$93:$C$114),"")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IFERROR((COUNTIF($C$93:$C$114,"&lt;"&amp;C94)+(COUNTIF($C$93:$C$114,C94)+1)/2)/COUNT($C$93:$C$114),"")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IFERROR((COUNTIF($C$93:$C$114,"&lt;"&amp;C95)+(COUNTIF($C$93:$C$114,C95)+1)/2)/COUNT($C$93:$C$114),"")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IFERROR((COUNTIF($C$93:$C$114,"&lt;"&amp;C96)+(COUNTIF($C$93:$C$114,C96)+1)/2)/COUNT($C$93:$C$114),"")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IFERROR((COUNTIF($C$93:$C$114,"&lt;"&amp;C97)+(COUNTIF($C$93:$C$114,C97)+1)/2)/COUNT($C$93:$C$114),"")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IFERROR((COUNTIF($C$93:$C$114,"&lt;"&amp;C98)+(COUNTIF($C$93:$C$114,C98)+1)/2)/COUNT($C$93:$C$114),"")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IFERROR((COUNTIF($C$93:$C$114,"&lt;"&amp;C99)+(COUNTIF($C$93:$C$114,C99)+1)/2)/COUNT($C$93:$C$114),"")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IFERROR((COUNTIF($C$93:$C$114,"&lt;"&amp;C100)+(COUNTIF($C$93:$C$114,C100)+1)/2)/COUNT($C$93:$C$114),"")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IFERROR((COUNTIF($C$93:$C$114,"&lt;"&amp;C101)+(COUNTIF($C$93:$C$114,C101)+1)/2)/COUNT($C$93:$C$114),"")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IFERROR((COUNTIF($C$93:$C$114,"&lt;"&amp;C102)+(COUNTIF($C$93:$C$114,C102)+1)/2)/COUNT($C$93:$C$114),"")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IFERROR((COUNTIF($C$93:$C$114,"&lt;"&amp;C103)+(COUNTIF($C$93:$C$114,C103)+1)/2)/COUNT($C$93:$C$114),"")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IFERROR((COUNTIF($C$93:$C$114,"&lt;"&amp;C104)+(COUNTIF($C$93:$C$114,C104)+1)/2)/COUNT($C$93:$C$114),"")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IFERROR((COUNTIF($C$93:$C$114,"&lt;"&amp;C105)+(COUNTIF($C$93:$C$114,C105)+1)/2)/COUNT($C$93:$C$114),"")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IFERROR((COUNTIF($C$93:$C$114,"&lt;"&amp;C106)+(COUNTIF($C$93:$C$114,C106)+1)/2)/COUNT($C$93:$C$114),"")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IFERROR((COUNTIF($C$93:$C$114,"&lt;"&amp;C107)+(COUNTIF($C$93:$C$114,C107)+1)/2)/COUNT($C$93:$C$114),"")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IFERROR((COUNTIF($C$93:$C$114,"&lt;"&amp;C108)+(COUNTIF($C$93:$C$114,C108)+1)/2)/COUNT($C$93:$C$114),"")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IFERROR((COUNTIF($C$93:$C$114,"&lt;"&amp;C109)+(COUNTIF($C$93:$C$114,C109)+1)/2)/COUNT($C$93:$C$114),"")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IFERROR((COUNTIF($C$93:$C$114,"&lt;"&amp;C110)+(COUNTIF($C$93:$C$114,C110)+1)/2)/COUNT($C$93:$C$114),"")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IFERROR((COUNTIF($C$93:$C$114,"&lt;"&amp;C111)+(COUNTIF($C$93:$C$114,C111)+1)/2)/COUNT($C$93:$C$114),"")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IFERROR((COUNTIF($C$93:$C$114,"&lt;"&amp;C112)+(COUNTIF($C$93:$C$114,C112)+1)/2)/COUNT($C$93:$C$114),"")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IFERROR((COUNTIF($C$93:$C$114,"&lt;"&amp;C113)+(COUNTIF($C$93:$C$114,C113)+1)/2)/COUNT($C$93:$C$114),"")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IFERROR((COUNTIF($C$93:$C$114,"&lt;"&amp;C114)+(COUNTIF($C$93:$C$114,C114)+1)/2)/COUNT($C$93:$C$114),"")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46286</v>
      </c>
      <c r="B70" s="57" t="n">
        <v>19.79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  <row r="7">
      <c r="A7" s="58" t="n">
        <v>46286</v>
      </c>
      <c r="B7" s="59" t="n">
        <v>23414.3</v>
      </c>
      <c r="C7" s="60" t="n">
        <v>19.79</v>
      </c>
      <c r="D7" s="65" t="n">
        <v>0.05303030303030303</v>
      </c>
      <c r="E7" s="62" t="n">
        <v>1183.137948458818</v>
      </c>
      <c r="F7" s="65" t="n">
        <v>0.03939540346028036</v>
      </c>
      <c r="G7" s="63" t="n">
        <v>94.6969696969697</v>
      </c>
      <c r="H7" s="63" t="n">
        <v>35.75816138411214</v>
      </c>
      <c r="I7" s="63" t="n">
        <v>77.01532720311242</v>
      </c>
      <c r="J7" s="64" t="inlineStr">
        <is>
          <t>BUY</t>
        </is>
      </c>
      <c r="K7" s="4" t="inlineStr">
        <is>
          <t>https://nsearchives.nseindia.com/content/indices/ind_close_all_21092026.csv</t>
        </is>
      </c>
      <c r="L7" s="4" t="inlineStr">
        <is>
          <t>https://nsearchives.nseindia.com/content/indices/ind_close_all_21092026.csv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2026-09-21T11:54:01Z</dcterms:modified>
</cp:coreProperties>
</file>