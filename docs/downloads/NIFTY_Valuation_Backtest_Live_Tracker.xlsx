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  <numFmt numFmtId="173" formatCode="yyyy-mm-dd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46296</v>
      </c>
      <c r="D5" s="6">
        <f>B20</f>
        <v/>
      </c>
    </row>
    <row r="6">
      <c r="A6" s="4" t="inlineStr">
        <is>
          <t>NIFTY 50 Close</t>
        </is>
      </c>
      <c r="B6" s="7" t="n">
        <v>22421.95</v>
      </c>
    </row>
    <row r="7">
      <c r="A7" s="4" t="inlineStr">
        <is>
          <t>Current P/E</t>
        </is>
      </c>
      <c r="B7" s="43" t="n">
        <v>19.19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45931</v>
      </c>
    </row>
    <row r="13">
      <c r="A13" s="4" t="inlineStr">
        <is>
          <t>Prior-year NIFTY close</t>
        </is>
      </c>
      <c r="B13" s="14" t="n">
        <v>24836.3</v>
      </c>
    </row>
    <row r="14">
      <c r="A14" s="4" t="inlineStr">
        <is>
          <t>Prior-year P/E</t>
        </is>
      </c>
      <c r="B14" s="47" t="n">
        <v>21.96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COUNTIFS(Quarterly_Data!$H$5:$H$115,A6,Quarterly_Data!$I$5:$I$115,"&lt;&gt;")</f>
        <v/>
      </c>
      <c r="C6" s="50">
        <f>IFERROR(AVERAGEIFS(Quarterly_Data!$I$5:$I$115,Quarterly_Data!$H$5:$H$115,A6),"")</f>
        <v/>
      </c>
      <c r="D6" s="50">
        <f>IFERROR(AGGREGATE(12,6,Quarterly_Data!$I$5:$I$115/(Quarterly_Data!$H$5:$H$115=A6)),"")</f>
        <v/>
      </c>
      <c r="E6" s="50">
        <f>IFERROR(COUNTIFS(Quarterly_Data!$H$5:$H$115,A6,Quarterly_Data!$I$5:$I$115,"&gt;0")/B6,"")</f>
        <v/>
      </c>
      <c r="F6" s="50">
        <f>IFERROR(COUNTIFS(Quarterly_Data!$H$5:$H$115,A6,Quarterly_Data!$I$5:$I$115,"&lt;0")/B6,"")</f>
        <v/>
      </c>
      <c r="G6" s="50">
        <f>IFERROR(MINIFS(Quarterly_Data!$I$5:$I$115,Quarterly_Data!$H$5:$H$115,A6),"")</f>
        <v/>
      </c>
      <c r="H6" s="50">
        <f>IFERROR(MAXIFS(Quarterly_Data!$I$5:$I$115,Quarterly_Data!$H$5:$H$115,A6),"")</f>
        <v/>
      </c>
    </row>
    <row r="7">
      <c r="A7" t="inlineStr">
        <is>
          <t>Q2</t>
        </is>
      </c>
      <c r="B7">
        <f>COUNTIFS(Quarterly_Data!$H$5:$H$115,A7,Quarterly_Data!$I$5:$I$115,"&lt;&gt;")</f>
        <v/>
      </c>
      <c r="C7" s="50">
        <f>IFERROR(AVERAGEIFS(Quarterly_Data!$I$5:$I$115,Quarterly_Data!$H$5:$H$115,A7),"")</f>
        <v/>
      </c>
      <c r="D7" s="50">
        <f>IFERROR(AGGREGATE(12,6,Quarterly_Data!$I$5:$I$115/(Quarterly_Data!$H$5:$H$115=A7)),"")</f>
        <v/>
      </c>
      <c r="E7" s="50">
        <f>IFERROR(COUNTIFS(Quarterly_Data!$H$5:$H$115,A7,Quarterly_Data!$I$5:$I$115,"&gt;0")/B7,"")</f>
        <v/>
      </c>
      <c r="F7" s="50">
        <f>IFERROR(COUNTIFS(Quarterly_Data!$H$5:$H$115,A7,Quarterly_Data!$I$5:$I$115,"&lt;0")/B7,"")</f>
        <v/>
      </c>
      <c r="G7" s="50">
        <f>IFERROR(MINIFS(Quarterly_Data!$I$5:$I$115,Quarterly_Data!$H$5:$H$115,A7),"")</f>
        <v/>
      </c>
      <c r="H7" s="50">
        <f>IFERROR(MAXIFS(Quarterly_Data!$I$5:$I$115,Quarterly_Data!$H$5:$H$115,A7),"")</f>
        <v/>
      </c>
    </row>
    <row r="8">
      <c r="A8" t="inlineStr">
        <is>
          <t>Q3</t>
        </is>
      </c>
      <c r="B8">
        <f>COUNTIFS(Quarterly_Data!$H$5:$H$115,A8,Quarterly_Data!$I$5:$I$115,"&lt;&gt;")</f>
        <v/>
      </c>
      <c r="C8" s="50">
        <f>IFERROR(AVERAGEIFS(Quarterly_Data!$I$5:$I$115,Quarterly_Data!$H$5:$H$115,A8),"")</f>
        <v/>
      </c>
      <c r="D8" s="50">
        <f>IFERROR(AGGREGATE(12,6,Quarterly_Data!$I$5:$I$115/(Quarterly_Data!$H$5:$H$115=A8)),"")</f>
        <v/>
      </c>
      <c r="E8" s="50">
        <f>IFERROR(COUNTIFS(Quarterly_Data!$H$5:$H$115,A8,Quarterly_Data!$I$5:$I$115,"&gt;0")/B8,"")</f>
        <v/>
      </c>
      <c r="F8" s="50">
        <f>IFERROR(COUNTIFS(Quarterly_Data!$H$5:$H$115,A8,Quarterly_Data!$I$5:$I$115,"&lt;0")/B8,"")</f>
        <v/>
      </c>
      <c r="G8" s="50">
        <f>IFERROR(MINIFS(Quarterly_Data!$I$5:$I$115,Quarterly_Data!$H$5:$H$115,A8),"")</f>
        <v/>
      </c>
      <c r="H8" s="50">
        <f>IFERROR(MAXIFS(Quarterly_Data!$I$5:$I$115,Quarterly_Data!$H$5:$H$115,A8),"")</f>
        <v/>
      </c>
    </row>
    <row r="9">
      <c r="A9" t="inlineStr">
        <is>
          <t>Q4</t>
        </is>
      </c>
      <c r="B9">
        <f>COUNTIFS(Quarterly_Data!$H$5:$H$115,A9,Quarterly_Data!$I$5:$I$115,"&lt;&gt;")</f>
        <v/>
      </c>
      <c r="C9" s="50">
        <f>IFERROR(AVERAGEIFS(Quarterly_Data!$I$5:$I$115,Quarterly_Data!$H$5:$H$115,A9),"")</f>
        <v/>
      </c>
      <c r="D9" s="50">
        <f>IFERROR(AGGREGATE(12,6,Quarterly_Data!$I$5:$I$115/(Quarterly_Data!$H$5:$H$115=A9)),"")</f>
        <v/>
      </c>
      <c r="E9" s="50">
        <f>IFERROR(COUNTIFS(Quarterly_Data!$H$5:$H$115,A9,Quarterly_Data!$I$5:$I$115,"&gt;0")/B9,"")</f>
        <v/>
      </c>
      <c r="F9" s="50">
        <f>IFERROR(COUNTIFS(Quarterly_Data!$H$5:$H$115,A9,Quarterly_Data!$I$5:$I$115,"&lt;0")/B9,"")</f>
        <v/>
      </c>
      <c r="G9" s="50">
        <f>IFERROR(MINIFS(Quarterly_Data!$I$5:$I$115,Quarterly_Data!$H$5:$H$115,A9),"")</f>
        <v/>
      </c>
      <c r="H9" s="50">
        <f>IFERROR(MAXIFS(Quarterly_Data!$I$5:$I$115,Quarterly_Data!$H$5:$H$115,A9),"")</f>
        <v/>
      </c>
    </row>
    <row r="10">
      <c r="A10" t="inlineStr">
        <is>
          <t>Q5 Most Expensive</t>
        </is>
      </c>
      <c r="B10">
        <f>COUNTIFS(Quarterly_Data!$H$5:$H$115,A10,Quarterly_Data!$I$5:$I$115,"&lt;&gt;")</f>
        <v/>
      </c>
      <c r="C10" s="50">
        <f>IFERROR(AVERAGEIFS(Quarterly_Data!$I$5:$I$115,Quarterly_Data!$H$5:$H$115,A10),"")</f>
        <v/>
      </c>
      <c r="D10" s="50">
        <f>IFERROR(AGGREGATE(12,6,Quarterly_Data!$I$5:$I$115/(Quarterly_Data!$H$5:$H$115=A10)),"")</f>
        <v/>
      </c>
      <c r="E10" s="50">
        <f>IFERROR(COUNTIFS(Quarterly_Data!$H$5:$H$115,A10,Quarterly_Data!$I$5:$I$115,"&gt;0")/B10,"")</f>
        <v/>
      </c>
      <c r="F10" s="50">
        <f>IFERROR(COUNTIFS(Quarterly_Data!$H$5:$H$115,A10,Quarterly_Data!$I$5:$I$115,"&lt;0")/B10,"")</f>
        <v/>
      </c>
      <c r="G10" s="50">
        <f>IFERROR(MINIFS(Quarterly_Data!$I$5:$I$115,Quarterly_Data!$H$5:$H$115,A10),"")</f>
        <v/>
      </c>
      <c r="H10" s="50">
        <f>IFERROR(MAXIFS(Quarterly_Data!$I$5:$I$115,Quarterly_Data!$H$5:$H$115,A10),"")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COUNTIFS(Quarterly_Data!$H$5:$H$115,A15,Quarterly_Data!$J$5:$J$115,"&lt;&gt;")</f>
        <v/>
      </c>
      <c r="C15" s="50">
        <f>IFERROR(AVERAGEIFS(Quarterly_Data!$J$5:$J$115,Quarterly_Data!$H$5:$H$115,A15),"")</f>
        <v/>
      </c>
      <c r="D15" s="50">
        <f>IFERROR(AGGREGATE(12,6,Quarterly_Data!$J$5:$J$115/(Quarterly_Data!$H$5:$H$115=A15)),"")</f>
        <v/>
      </c>
      <c r="E15" s="50">
        <f>IFERROR(COUNTIFS(Quarterly_Data!$H$5:$H$115,A15,Quarterly_Data!$J$5:$J$115,"&gt;0")/B15,"")</f>
        <v/>
      </c>
      <c r="F15" s="50">
        <f>IFERROR(COUNTIFS(Quarterly_Data!$H$5:$H$115,A15,Quarterly_Data!$J$5:$J$115,"&lt;0")/B15,"")</f>
        <v/>
      </c>
      <c r="G15" s="50">
        <f>IFERROR(MINIFS(Quarterly_Data!$J$5:$J$115,Quarterly_Data!$H$5:$H$115,A15),"")</f>
        <v/>
      </c>
      <c r="H15" s="50">
        <f>IFERROR(MAXIFS(Quarterly_Data!$J$5:$J$115,Quarterly_Data!$H$5:$H$115,A15),"")</f>
        <v/>
      </c>
    </row>
    <row r="16">
      <c r="A16" t="inlineStr">
        <is>
          <t>Q2</t>
        </is>
      </c>
      <c r="B16">
        <f>COUNTIFS(Quarterly_Data!$H$5:$H$115,A16,Quarterly_Data!$J$5:$J$115,"&lt;&gt;")</f>
        <v/>
      </c>
      <c r="C16" s="50">
        <f>IFERROR(AVERAGEIFS(Quarterly_Data!$J$5:$J$115,Quarterly_Data!$H$5:$H$115,A16),"")</f>
        <v/>
      </c>
      <c r="D16" s="50">
        <f>IFERROR(AGGREGATE(12,6,Quarterly_Data!$J$5:$J$115/(Quarterly_Data!$H$5:$H$115=A16)),"")</f>
        <v/>
      </c>
      <c r="E16" s="50">
        <f>IFERROR(COUNTIFS(Quarterly_Data!$H$5:$H$115,A16,Quarterly_Data!$J$5:$J$115,"&gt;0")/B16,"")</f>
        <v/>
      </c>
      <c r="F16" s="50">
        <f>IFERROR(COUNTIFS(Quarterly_Data!$H$5:$H$115,A16,Quarterly_Data!$J$5:$J$115,"&lt;0")/B16,"")</f>
        <v/>
      </c>
      <c r="G16" s="50">
        <f>IFERROR(MINIFS(Quarterly_Data!$J$5:$J$115,Quarterly_Data!$H$5:$H$115,A16),"")</f>
        <v/>
      </c>
      <c r="H16" s="50">
        <f>IFERROR(MAXIFS(Quarterly_Data!$J$5:$J$115,Quarterly_Data!$H$5:$H$115,A16),"")</f>
        <v/>
      </c>
    </row>
    <row r="17">
      <c r="A17" t="inlineStr">
        <is>
          <t>Q3</t>
        </is>
      </c>
      <c r="B17">
        <f>COUNTIFS(Quarterly_Data!$H$5:$H$115,A17,Quarterly_Data!$J$5:$J$115,"&lt;&gt;")</f>
        <v/>
      </c>
      <c r="C17" s="50">
        <f>IFERROR(AVERAGEIFS(Quarterly_Data!$J$5:$J$115,Quarterly_Data!$H$5:$H$115,A17),"")</f>
        <v/>
      </c>
      <c r="D17" s="50">
        <f>IFERROR(AGGREGATE(12,6,Quarterly_Data!$J$5:$J$115/(Quarterly_Data!$H$5:$H$115=A17)),"")</f>
        <v/>
      </c>
      <c r="E17" s="50">
        <f>IFERROR(COUNTIFS(Quarterly_Data!$H$5:$H$115,A17,Quarterly_Data!$J$5:$J$115,"&gt;0")/B17,"")</f>
        <v/>
      </c>
      <c r="F17" s="50">
        <f>IFERROR(COUNTIFS(Quarterly_Data!$H$5:$H$115,A17,Quarterly_Data!$J$5:$J$115,"&lt;0")/B17,"")</f>
        <v/>
      </c>
      <c r="G17" s="50">
        <f>IFERROR(MINIFS(Quarterly_Data!$J$5:$J$115,Quarterly_Data!$H$5:$H$115,A17),"")</f>
        <v/>
      </c>
      <c r="H17" s="50">
        <f>IFERROR(MAXIFS(Quarterly_Data!$J$5:$J$115,Quarterly_Data!$H$5:$H$115,A17),"")</f>
        <v/>
      </c>
    </row>
    <row r="18">
      <c r="A18" t="inlineStr">
        <is>
          <t>Q4</t>
        </is>
      </c>
      <c r="B18">
        <f>COUNTIFS(Quarterly_Data!$H$5:$H$115,A18,Quarterly_Data!$J$5:$J$115,"&lt;&gt;")</f>
        <v/>
      </c>
      <c r="C18" s="50">
        <f>IFERROR(AVERAGEIFS(Quarterly_Data!$J$5:$J$115,Quarterly_Data!$H$5:$H$115,A18),"")</f>
        <v/>
      </c>
      <c r="D18" s="50">
        <f>IFERROR(AGGREGATE(12,6,Quarterly_Data!$J$5:$J$115/(Quarterly_Data!$H$5:$H$115=A18)),"")</f>
        <v/>
      </c>
      <c r="E18" s="50">
        <f>IFERROR(COUNTIFS(Quarterly_Data!$H$5:$H$115,A18,Quarterly_Data!$J$5:$J$115,"&gt;0")/B18,"")</f>
        <v/>
      </c>
      <c r="F18" s="50">
        <f>IFERROR(COUNTIFS(Quarterly_Data!$H$5:$H$115,A18,Quarterly_Data!$J$5:$J$115,"&lt;0")/B18,"")</f>
        <v/>
      </c>
      <c r="G18" s="50">
        <f>IFERROR(MINIFS(Quarterly_Data!$J$5:$J$115,Quarterly_Data!$H$5:$H$115,A18),"")</f>
        <v/>
      </c>
      <c r="H18" s="50">
        <f>IFERROR(MAXIFS(Quarterly_Data!$J$5:$J$115,Quarterly_Data!$H$5:$H$115,A18),"")</f>
        <v/>
      </c>
    </row>
    <row r="19">
      <c r="A19" t="inlineStr">
        <is>
          <t>Q5 Most Expensive</t>
        </is>
      </c>
      <c r="B19">
        <f>COUNTIFS(Quarterly_Data!$H$5:$H$115,A19,Quarterly_Data!$J$5:$J$115,"&lt;&gt;")</f>
        <v/>
      </c>
      <c r="C19" s="50">
        <f>IFERROR(AVERAGEIFS(Quarterly_Data!$J$5:$J$115,Quarterly_Data!$H$5:$H$115,A19),"")</f>
        <v/>
      </c>
      <c r="D19" s="50">
        <f>IFERROR(AGGREGATE(12,6,Quarterly_Data!$J$5:$J$115/(Quarterly_Data!$H$5:$H$115=A19)),"")</f>
        <v/>
      </c>
      <c r="E19" s="50">
        <f>IFERROR(COUNTIFS(Quarterly_Data!$H$5:$H$115,A19,Quarterly_Data!$J$5:$J$115,"&gt;0")/B19,"")</f>
        <v/>
      </c>
      <c r="F19" s="50">
        <f>IFERROR(COUNTIFS(Quarterly_Data!$H$5:$H$115,A19,Quarterly_Data!$J$5:$J$115,"&lt;0")/B19,"")</f>
        <v/>
      </c>
      <c r="G19" s="50">
        <f>IFERROR(MINIFS(Quarterly_Data!$J$5:$J$115,Quarterly_Data!$H$5:$H$115,A19),"")</f>
        <v/>
      </c>
      <c r="H19" s="50">
        <f>IFERROR(MAXIFS(Quarterly_Data!$J$5:$J$115,Quarterly_Data!$H$5:$H$115,A19),"")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COUNTIFS(Quarterly_Data!$H$5:$H$115,A24,Quarterly_Data!$K$5:$K$115,"&lt;&gt;")</f>
        <v/>
      </c>
      <c r="C24" s="50">
        <f>IFERROR(AVERAGEIFS(Quarterly_Data!$K$5:$K$115,Quarterly_Data!$H$5:$H$115,A24),"")</f>
        <v/>
      </c>
      <c r="D24" s="50">
        <f>IFERROR(AGGREGATE(12,6,Quarterly_Data!$K$5:$K$115/(Quarterly_Data!$H$5:$H$115=A24)),"")</f>
        <v/>
      </c>
      <c r="E24" s="50">
        <f>IFERROR(COUNTIFS(Quarterly_Data!$H$5:$H$115,A24,Quarterly_Data!$K$5:$K$115,"&gt;0")/B24,"")</f>
        <v/>
      </c>
      <c r="F24" s="50">
        <f>IFERROR(COUNTIFS(Quarterly_Data!$H$5:$H$115,A24,Quarterly_Data!$K$5:$K$115,"&lt;0")/B24,"")</f>
        <v/>
      </c>
      <c r="G24" s="50">
        <f>IFERROR(MINIFS(Quarterly_Data!$K$5:$K$115,Quarterly_Data!$H$5:$H$115,A24),"")</f>
        <v/>
      </c>
      <c r="H24" s="50">
        <f>IFERROR(MAXIFS(Quarterly_Data!$K$5:$K$115,Quarterly_Data!$H$5:$H$115,A24),"")</f>
        <v/>
      </c>
    </row>
    <row r="25">
      <c r="A25" t="inlineStr">
        <is>
          <t>Q2</t>
        </is>
      </c>
      <c r="B25">
        <f>COUNTIFS(Quarterly_Data!$H$5:$H$115,A25,Quarterly_Data!$K$5:$K$115,"&lt;&gt;")</f>
        <v/>
      </c>
      <c r="C25" s="50">
        <f>IFERROR(AVERAGEIFS(Quarterly_Data!$K$5:$K$115,Quarterly_Data!$H$5:$H$115,A25),"")</f>
        <v/>
      </c>
      <c r="D25" s="50">
        <f>IFERROR(AGGREGATE(12,6,Quarterly_Data!$K$5:$K$115/(Quarterly_Data!$H$5:$H$115=A25)),"")</f>
        <v/>
      </c>
      <c r="E25" s="50">
        <f>IFERROR(COUNTIFS(Quarterly_Data!$H$5:$H$115,A25,Quarterly_Data!$K$5:$K$115,"&gt;0")/B25,"")</f>
        <v/>
      </c>
      <c r="F25" s="50">
        <f>IFERROR(COUNTIFS(Quarterly_Data!$H$5:$H$115,A25,Quarterly_Data!$K$5:$K$115,"&lt;0")/B25,"")</f>
        <v/>
      </c>
      <c r="G25" s="50">
        <f>IFERROR(MINIFS(Quarterly_Data!$K$5:$K$115,Quarterly_Data!$H$5:$H$115,A25),"")</f>
        <v/>
      </c>
      <c r="H25" s="50">
        <f>IFERROR(MAXIFS(Quarterly_Data!$K$5:$K$115,Quarterly_Data!$H$5:$H$115,A25),"")</f>
        <v/>
      </c>
    </row>
    <row r="26">
      <c r="A26" t="inlineStr">
        <is>
          <t>Q3</t>
        </is>
      </c>
      <c r="B26">
        <f>COUNTIFS(Quarterly_Data!$H$5:$H$115,A26,Quarterly_Data!$K$5:$K$115,"&lt;&gt;")</f>
        <v/>
      </c>
      <c r="C26" s="50">
        <f>IFERROR(AVERAGEIFS(Quarterly_Data!$K$5:$K$115,Quarterly_Data!$H$5:$H$115,A26),"")</f>
        <v/>
      </c>
      <c r="D26" s="50">
        <f>IFERROR(AGGREGATE(12,6,Quarterly_Data!$K$5:$K$115/(Quarterly_Data!$H$5:$H$115=A26)),"")</f>
        <v/>
      </c>
      <c r="E26" s="50">
        <f>IFERROR(COUNTIFS(Quarterly_Data!$H$5:$H$115,A26,Quarterly_Data!$K$5:$K$115,"&gt;0")/B26,"")</f>
        <v/>
      </c>
      <c r="F26" s="50">
        <f>IFERROR(COUNTIFS(Quarterly_Data!$H$5:$H$115,A26,Quarterly_Data!$K$5:$K$115,"&lt;0")/B26,"")</f>
        <v/>
      </c>
      <c r="G26" s="50">
        <f>IFERROR(MINIFS(Quarterly_Data!$K$5:$K$115,Quarterly_Data!$H$5:$H$115,A26),"")</f>
        <v/>
      </c>
      <c r="H26" s="50">
        <f>IFERROR(MAXIFS(Quarterly_Data!$K$5:$K$115,Quarterly_Data!$H$5:$H$115,A26),"")</f>
        <v/>
      </c>
    </row>
    <row r="27">
      <c r="A27" t="inlineStr">
        <is>
          <t>Q4</t>
        </is>
      </c>
      <c r="B27">
        <f>COUNTIFS(Quarterly_Data!$H$5:$H$115,A27,Quarterly_Data!$K$5:$K$115,"&lt;&gt;")</f>
        <v/>
      </c>
      <c r="C27" s="50">
        <f>IFERROR(AVERAGEIFS(Quarterly_Data!$K$5:$K$115,Quarterly_Data!$H$5:$H$115,A27),"")</f>
        <v/>
      </c>
      <c r="D27" s="50">
        <f>IFERROR(AGGREGATE(12,6,Quarterly_Data!$K$5:$K$115/(Quarterly_Data!$H$5:$H$115=A27)),"")</f>
        <v/>
      </c>
      <c r="E27" s="50">
        <f>IFERROR(COUNTIFS(Quarterly_Data!$H$5:$H$115,A27,Quarterly_Data!$K$5:$K$115,"&gt;0")/B27,"")</f>
        <v/>
      </c>
      <c r="F27" s="50">
        <f>IFERROR(COUNTIFS(Quarterly_Data!$H$5:$H$115,A27,Quarterly_Data!$K$5:$K$115,"&lt;0")/B27,"")</f>
        <v/>
      </c>
      <c r="G27" s="50">
        <f>IFERROR(MINIFS(Quarterly_Data!$K$5:$K$115,Quarterly_Data!$H$5:$H$115,A27),"")</f>
        <v/>
      </c>
      <c r="H27" s="50">
        <f>IFERROR(MAXIFS(Quarterly_Data!$K$5:$K$115,Quarterly_Data!$H$5:$H$115,A27),"")</f>
        <v/>
      </c>
    </row>
    <row r="28">
      <c r="A28" t="inlineStr">
        <is>
          <t>Q5 Most Expensive</t>
        </is>
      </c>
      <c r="B28">
        <f>COUNTIFS(Quarterly_Data!$H$5:$H$115,A28,Quarterly_Data!$K$5:$K$115,"&lt;&gt;")</f>
        <v/>
      </c>
      <c r="C28" s="50">
        <f>IFERROR(AVERAGEIFS(Quarterly_Data!$K$5:$K$115,Quarterly_Data!$H$5:$H$115,A28),"")</f>
        <v/>
      </c>
      <c r="D28" s="50">
        <f>IFERROR(AGGREGATE(12,6,Quarterly_Data!$K$5:$K$115/(Quarterly_Data!$H$5:$H$115=A28)),"")</f>
        <v/>
      </c>
      <c r="E28" s="50">
        <f>IFERROR(COUNTIFS(Quarterly_Data!$H$5:$H$115,A28,Quarterly_Data!$K$5:$K$115,"&gt;0")/B28,"")</f>
        <v/>
      </c>
      <c r="F28" s="50">
        <f>IFERROR(COUNTIFS(Quarterly_Data!$H$5:$H$115,A28,Quarterly_Data!$K$5:$K$115,"&lt;0")/B28,"")</f>
        <v/>
      </c>
      <c r="G28" s="50">
        <f>IFERROR(MINIFS(Quarterly_Data!$K$5:$K$115,Quarterly_Data!$H$5:$H$115,A28),"")</f>
        <v/>
      </c>
      <c r="H28" s="50">
        <f>IFERROR(MAXIFS(Quarterly_Data!$K$5:$K$115,Quarterly_Data!$H$5:$H$115,A28),"")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COUNTIFS(Quarterly_Data!$H$5:$H$115,A33,Quarterly_Data!$L$5:$L$115,"&lt;&gt;")</f>
        <v/>
      </c>
      <c r="C33" s="50">
        <f>IFERROR(AVERAGEIFS(Quarterly_Data!$L$5:$L$115,Quarterly_Data!$H$5:$H$115,A33),"")</f>
        <v/>
      </c>
      <c r="D33" s="50">
        <f>IFERROR(AGGREGATE(12,6,Quarterly_Data!$L$5:$L$115/(Quarterly_Data!$H$5:$H$115=A33)),"")</f>
        <v/>
      </c>
      <c r="E33" s="50">
        <f>IFERROR(COUNTIFS(Quarterly_Data!$H$5:$H$115,A33,Quarterly_Data!$L$5:$L$115,"&gt;0")/B33,"")</f>
        <v/>
      </c>
      <c r="F33" s="50">
        <f>IFERROR(COUNTIFS(Quarterly_Data!$H$5:$H$115,A33,Quarterly_Data!$L$5:$L$115,"&lt;0")/B33,"")</f>
        <v/>
      </c>
      <c r="G33" s="50">
        <f>IFERROR(MINIFS(Quarterly_Data!$L$5:$L$115,Quarterly_Data!$H$5:$H$115,A33),"")</f>
        <v/>
      </c>
      <c r="H33" s="50">
        <f>IFERROR(MAXIFS(Quarterly_Data!$L$5:$L$115,Quarterly_Data!$H$5:$H$115,A33),"")</f>
        <v/>
      </c>
    </row>
    <row r="34">
      <c r="A34" t="inlineStr">
        <is>
          <t>Q2</t>
        </is>
      </c>
      <c r="B34">
        <f>COUNTIFS(Quarterly_Data!$H$5:$H$115,A34,Quarterly_Data!$L$5:$L$115,"&lt;&gt;")</f>
        <v/>
      </c>
      <c r="C34" s="50">
        <f>IFERROR(AVERAGEIFS(Quarterly_Data!$L$5:$L$115,Quarterly_Data!$H$5:$H$115,A34),"")</f>
        <v/>
      </c>
      <c r="D34" s="50">
        <f>IFERROR(AGGREGATE(12,6,Quarterly_Data!$L$5:$L$115/(Quarterly_Data!$H$5:$H$115=A34)),"")</f>
        <v/>
      </c>
      <c r="E34" s="50">
        <f>IFERROR(COUNTIFS(Quarterly_Data!$H$5:$H$115,A34,Quarterly_Data!$L$5:$L$115,"&gt;0")/B34,"")</f>
        <v/>
      </c>
      <c r="F34" s="50">
        <f>IFERROR(COUNTIFS(Quarterly_Data!$H$5:$H$115,A34,Quarterly_Data!$L$5:$L$115,"&lt;0")/B34,"")</f>
        <v/>
      </c>
      <c r="G34" s="50">
        <f>IFERROR(MINIFS(Quarterly_Data!$L$5:$L$115,Quarterly_Data!$H$5:$H$115,A34),"")</f>
        <v/>
      </c>
      <c r="H34" s="50">
        <f>IFERROR(MAXIFS(Quarterly_Data!$L$5:$L$115,Quarterly_Data!$H$5:$H$115,A34),"")</f>
        <v/>
      </c>
    </row>
    <row r="35">
      <c r="A35" t="inlineStr">
        <is>
          <t>Q3</t>
        </is>
      </c>
      <c r="B35">
        <f>COUNTIFS(Quarterly_Data!$H$5:$H$115,A35,Quarterly_Data!$L$5:$L$115,"&lt;&gt;")</f>
        <v/>
      </c>
      <c r="C35" s="50">
        <f>IFERROR(AVERAGEIFS(Quarterly_Data!$L$5:$L$115,Quarterly_Data!$H$5:$H$115,A35),"")</f>
        <v/>
      </c>
      <c r="D35" s="50">
        <f>IFERROR(AGGREGATE(12,6,Quarterly_Data!$L$5:$L$115/(Quarterly_Data!$H$5:$H$115=A35)),"")</f>
        <v/>
      </c>
      <c r="E35" s="50">
        <f>IFERROR(COUNTIFS(Quarterly_Data!$H$5:$H$115,A35,Quarterly_Data!$L$5:$L$115,"&gt;0")/B35,"")</f>
        <v/>
      </c>
      <c r="F35" s="50">
        <f>IFERROR(COUNTIFS(Quarterly_Data!$H$5:$H$115,A35,Quarterly_Data!$L$5:$L$115,"&lt;0")/B35,"")</f>
        <v/>
      </c>
      <c r="G35" s="50">
        <f>IFERROR(MINIFS(Quarterly_Data!$L$5:$L$115,Quarterly_Data!$H$5:$H$115,A35),"")</f>
        <v/>
      </c>
      <c r="H35" s="50">
        <f>IFERROR(MAXIFS(Quarterly_Data!$L$5:$L$115,Quarterly_Data!$H$5:$H$115,A35),"")</f>
        <v/>
      </c>
    </row>
    <row r="36">
      <c r="A36" t="inlineStr">
        <is>
          <t>Q4</t>
        </is>
      </c>
      <c r="B36">
        <f>COUNTIFS(Quarterly_Data!$H$5:$H$115,A36,Quarterly_Data!$L$5:$L$115,"&lt;&gt;")</f>
        <v/>
      </c>
      <c r="C36" s="50">
        <f>IFERROR(AVERAGEIFS(Quarterly_Data!$L$5:$L$115,Quarterly_Data!$H$5:$H$115,A36),"")</f>
        <v/>
      </c>
      <c r="D36" s="50">
        <f>IFERROR(AGGREGATE(12,6,Quarterly_Data!$L$5:$L$115/(Quarterly_Data!$H$5:$H$115=A36)),"")</f>
        <v/>
      </c>
      <c r="E36" s="50">
        <f>IFERROR(COUNTIFS(Quarterly_Data!$H$5:$H$115,A36,Quarterly_Data!$L$5:$L$115,"&gt;0")/B36,"")</f>
        <v/>
      </c>
      <c r="F36" s="50">
        <f>IFERROR(COUNTIFS(Quarterly_Data!$H$5:$H$115,A36,Quarterly_Data!$L$5:$L$115,"&lt;0")/B36,"")</f>
        <v/>
      </c>
      <c r="G36" s="50">
        <f>IFERROR(MINIFS(Quarterly_Data!$L$5:$L$115,Quarterly_Data!$H$5:$H$115,A36),"")</f>
        <v/>
      </c>
      <c r="H36" s="50">
        <f>IFERROR(MAXIFS(Quarterly_Data!$L$5:$L$115,Quarterly_Data!$H$5:$H$115,A36),"")</f>
        <v/>
      </c>
    </row>
    <row r="37">
      <c r="A37" t="inlineStr">
        <is>
          <t>Q5 Most Expensive</t>
        </is>
      </c>
      <c r="B37">
        <f>COUNTIFS(Quarterly_Data!$H$5:$H$115,A37,Quarterly_Data!$L$5:$L$115,"&lt;&gt;")</f>
        <v/>
      </c>
      <c r="C37" s="50">
        <f>IFERROR(AVERAGEIFS(Quarterly_Data!$L$5:$L$115,Quarterly_Data!$H$5:$H$115,A37),"")</f>
        <v/>
      </c>
      <c r="D37" s="50">
        <f>IFERROR(AGGREGATE(12,6,Quarterly_Data!$L$5:$L$115/(Quarterly_Data!$H$5:$H$115=A37)),"")</f>
        <v/>
      </c>
      <c r="E37" s="50">
        <f>IFERROR(COUNTIFS(Quarterly_Data!$H$5:$H$115,A37,Quarterly_Data!$L$5:$L$115,"&gt;0")/B37,"")</f>
        <v/>
      </c>
      <c r="F37" s="50">
        <f>IFERROR(COUNTIFS(Quarterly_Data!$H$5:$H$115,A37,Quarterly_Data!$L$5:$L$115,"&lt;0")/B37,"")</f>
        <v/>
      </c>
      <c r="G37" s="50">
        <f>IFERROR(MINIFS(Quarterly_Data!$L$5:$L$115,Quarterly_Data!$H$5:$H$115,A37),"")</f>
        <v/>
      </c>
      <c r="H37" s="50">
        <f>IFERROR(MAXIFS(Quarterly_Data!$L$5:$L$115,Quarterly_Data!$H$5:$H$115,A37),"")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IFERROR(AVERAGEIFS(Quarterly_Data!$J$5:$J$115,Quarterly_Data!$H$5:$H$115,B$5,Quarterly_Data!$M$5:$M$115,$A6),"")</f>
        <v/>
      </c>
      <c r="C6" s="50">
        <f>IFERROR(AVERAGEIFS(Quarterly_Data!$J$5:$J$115,Quarterly_Data!$H$5:$H$115,C$5,Quarterly_Data!$M$5:$M$115,$A6),"")</f>
        <v/>
      </c>
      <c r="D6" s="50">
        <f>IFERROR(AVERAGEIFS(Quarterly_Data!$J$5:$J$115,Quarterly_Data!$H$5:$H$115,D$5,Quarterly_Data!$M$5:$M$115,$A6),"")</f>
        <v/>
      </c>
      <c r="E6" s="50">
        <f>IFERROR(AVERAGEIFS(Quarterly_Data!$J$5:$J$115,Quarterly_Data!$H$5:$H$115,E$5,Quarterly_Data!$M$5:$M$115,$A6),"")</f>
        <v/>
      </c>
      <c r="F6" s="50">
        <f>IFERROR(AVERAGEIFS(Quarterly_Data!$J$5:$J$115,Quarterly_Data!$H$5:$H$115,F$5,Quarterly_Data!$M$5:$M$115,$A6),"")</f>
        <v/>
      </c>
    </row>
    <row r="7">
      <c r="A7" t="inlineStr">
        <is>
          <t>5-15%</t>
        </is>
      </c>
      <c r="B7" s="50">
        <f>IFERROR(AVERAGEIFS(Quarterly_Data!$J$5:$J$115,Quarterly_Data!$H$5:$H$115,B$5,Quarterly_Data!$M$5:$M$115,$A7),"")</f>
        <v/>
      </c>
      <c r="C7" s="50">
        <f>IFERROR(AVERAGEIFS(Quarterly_Data!$J$5:$J$115,Quarterly_Data!$H$5:$H$115,C$5,Quarterly_Data!$M$5:$M$115,$A7),"")</f>
        <v/>
      </c>
      <c r="D7" s="50">
        <f>IFERROR(AVERAGEIFS(Quarterly_Data!$J$5:$J$115,Quarterly_Data!$H$5:$H$115,D$5,Quarterly_Data!$M$5:$M$115,$A7),"")</f>
        <v/>
      </c>
      <c r="E7" s="50">
        <f>IFERROR(AVERAGEIFS(Quarterly_Data!$J$5:$J$115,Quarterly_Data!$H$5:$H$115,E$5,Quarterly_Data!$M$5:$M$115,$A7),"")</f>
        <v/>
      </c>
      <c r="F7" s="50">
        <f>IFERROR(AVERAGEIFS(Quarterly_Data!$J$5:$J$115,Quarterly_Data!$H$5:$H$115,F$5,Quarterly_Data!$M$5:$M$115,$A7),"")</f>
        <v/>
      </c>
    </row>
    <row r="8">
      <c r="A8" t="inlineStr">
        <is>
          <t>&gt;15%</t>
        </is>
      </c>
      <c r="B8" s="50">
        <f>IFERROR(AVERAGEIFS(Quarterly_Data!$J$5:$J$115,Quarterly_Data!$H$5:$H$115,B$5,Quarterly_Data!$M$5:$M$115,$A8),"")</f>
        <v/>
      </c>
      <c r="C8" s="50">
        <f>IFERROR(AVERAGEIFS(Quarterly_Data!$J$5:$J$115,Quarterly_Data!$H$5:$H$115,C$5,Quarterly_Data!$M$5:$M$115,$A8),"")</f>
        <v/>
      </c>
      <c r="D8" s="50">
        <f>IFERROR(AVERAGEIFS(Quarterly_Data!$J$5:$J$115,Quarterly_Data!$H$5:$H$115,D$5,Quarterly_Data!$M$5:$M$115,$A8),"")</f>
        <v/>
      </c>
      <c r="E8" s="50">
        <f>IFERROR(AVERAGEIFS(Quarterly_Data!$J$5:$J$115,Quarterly_Data!$H$5:$H$115,E$5,Quarterly_Data!$M$5:$M$115,$A8),"")</f>
        <v/>
      </c>
      <c r="F8" s="50">
        <f>IFERROR(AVERAGEIFS(Quarterly_Data!$J$5:$J$115,Quarterly_Data!$H$5:$H$115,F$5,Quarterly_Data!$M$5:$M$115,$A8),"")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COUNTIFS(Quarterly_Data!$H$5:$H$115,B$5,Quarterly_Data!$M$5:$M$115,$A11,Quarterly_Data!$J$5:$J$115,"&lt;&gt;")</f>
        <v/>
      </c>
      <c r="C11" s="26">
        <f>COUNTIFS(Quarterly_Data!$H$5:$H$115,C$5,Quarterly_Data!$M$5:$M$115,$A11,Quarterly_Data!$J$5:$J$115,"&lt;&gt;")</f>
        <v/>
      </c>
      <c r="D11" s="26">
        <f>COUNTIFS(Quarterly_Data!$H$5:$H$115,D$5,Quarterly_Data!$M$5:$M$115,$A11,Quarterly_Data!$J$5:$J$115,"&lt;&gt;")</f>
        <v/>
      </c>
      <c r="E11" s="26">
        <f>COUNTIFS(Quarterly_Data!$H$5:$H$115,E$5,Quarterly_Data!$M$5:$M$115,$A11,Quarterly_Data!$J$5:$J$115,"&lt;&gt;")</f>
        <v/>
      </c>
      <c r="F11" s="26">
        <f>COUNTIFS(Quarterly_Data!$H$5:$H$115,F$5,Quarterly_Data!$M$5:$M$115,$A11,Quarterly_Data!$J$5:$J$115,"&lt;&gt;")</f>
        <v/>
      </c>
    </row>
    <row r="12">
      <c r="A12" t="inlineStr">
        <is>
          <t>5-15%</t>
        </is>
      </c>
      <c r="B12" s="26">
        <f>COUNTIFS(Quarterly_Data!$H$5:$H$115,B$5,Quarterly_Data!$M$5:$M$115,$A12,Quarterly_Data!$J$5:$J$115,"&lt;&gt;")</f>
        <v/>
      </c>
      <c r="C12" s="26">
        <f>COUNTIFS(Quarterly_Data!$H$5:$H$115,C$5,Quarterly_Data!$M$5:$M$115,$A12,Quarterly_Data!$J$5:$J$115,"&lt;&gt;")</f>
        <v/>
      </c>
      <c r="D12" s="26">
        <f>COUNTIFS(Quarterly_Data!$H$5:$H$115,D$5,Quarterly_Data!$M$5:$M$115,$A12,Quarterly_Data!$J$5:$J$115,"&lt;&gt;")</f>
        <v/>
      </c>
      <c r="E12" s="26">
        <f>COUNTIFS(Quarterly_Data!$H$5:$H$115,E$5,Quarterly_Data!$M$5:$M$115,$A12,Quarterly_Data!$J$5:$J$115,"&lt;&gt;")</f>
        <v/>
      </c>
      <c r="F12" s="26">
        <f>COUNTIFS(Quarterly_Data!$H$5:$H$115,F$5,Quarterly_Data!$M$5:$M$115,$A12,Quarterly_Data!$J$5:$J$115,"&lt;&gt;")</f>
        <v/>
      </c>
    </row>
    <row r="13">
      <c r="A13" t="inlineStr">
        <is>
          <t>&gt;15%</t>
        </is>
      </c>
      <c r="B13" s="26">
        <f>COUNTIFS(Quarterly_Data!$H$5:$H$115,B$5,Quarterly_Data!$M$5:$M$115,$A13,Quarterly_Data!$J$5:$J$115,"&lt;&gt;")</f>
        <v/>
      </c>
      <c r="C13" s="26">
        <f>COUNTIFS(Quarterly_Data!$H$5:$H$115,C$5,Quarterly_Data!$M$5:$M$115,$A13,Quarterly_Data!$J$5:$J$115,"&lt;&gt;")</f>
        <v/>
      </c>
      <c r="D13" s="26">
        <f>COUNTIFS(Quarterly_Data!$H$5:$H$115,D$5,Quarterly_Data!$M$5:$M$115,$A13,Quarterly_Data!$J$5:$J$115,"&lt;&gt;")</f>
        <v/>
      </c>
      <c r="E13" s="26">
        <f>COUNTIFS(Quarterly_Data!$H$5:$H$115,E$5,Quarterly_Data!$M$5:$M$115,$A13,Quarterly_Data!$J$5:$J$115,"&lt;&gt;")</f>
        <v/>
      </c>
      <c r="F13" s="26">
        <f>COUNTIFS(Quarterly_Data!$H$5:$H$115,F$5,Quarterly_Data!$M$5:$M$115,$A13,Quarterly_Data!$J$5:$J$115,"&lt;&gt;")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IFERROR(AVERAGEIFS(Quarterly_Data!$K$5:$K$115,Quarterly_Data!$H$5:$H$115,B$15,Quarterly_Data!$M$5:$M$115,$A16),"")</f>
        <v/>
      </c>
      <c r="C16" s="50">
        <f>IFERROR(AVERAGEIFS(Quarterly_Data!$K$5:$K$115,Quarterly_Data!$H$5:$H$115,C$15,Quarterly_Data!$M$5:$M$115,$A16),"")</f>
        <v/>
      </c>
      <c r="D16" s="50">
        <f>IFERROR(AVERAGEIFS(Quarterly_Data!$K$5:$K$115,Quarterly_Data!$H$5:$H$115,D$15,Quarterly_Data!$M$5:$M$115,$A16),"")</f>
        <v/>
      </c>
      <c r="E16" s="50">
        <f>IFERROR(AVERAGEIFS(Quarterly_Data!$K$5:$K$115,Quarterly_Data!$H$5:$H$115,E$15,Quarterly_Data!$M$5:$M$115,$A16),"")</f>
        <v/>
      </c>
      <c r="F16" s="50">
        <f>IFERROR(AVERAGEIFS(Quarterly_Data!$K$5:$K$115,Quarterly_Data!$H$5:$H$115,F$15,Quarterly_Data!$M$5:$M$115,$A16),"")</f>
        <v/>
      </c>
    </row>
    <row r="17">
      <c r="A17" t="inlineStr">
        <is>
          <t>5-15%</t>
        </is>
      </c>
      <c r="B17" s="50">
        <f>IFERROR(AVERAGEIFS(Quarterly_Data!$K$5:$K$115,Quarterly_Data!$H$5:$H$115,B$15,Quarterly_Data!$M$5:$M$115,$A17),"")</f>
        <v/>
      </c>
      <c r="C17" s="50">
        <f>IFERROR(AVERAGEIFS(Quarterly_Data!$K$5:$K$115,Quarterly_Data!$H$5:$H$115,C$15,Quarterly_Data!$M$5:$M$115,$A17),"")</f>
        <v/>
      </c>
      <c r="D17" s="50">
        <f>IFERROR(AVERAGEIFS(Quarterly_Data!$K$5:$K$115,Quarterly_Data!$H$5:$H$115,D$15,Quarterly_Data!$M$5:$M$115,$A17),"")</f>
        <v/>
      </c>
      <c r="E17" s="50">
        <f>IFERROR(AVERAGEIFS(Quarterly_Data!$K$5:$K$115,Quarterly_Data!$H$5:$H$115,E$15,Quarterly_Data!$M$5:$M$115,$A17),"")</f>
        <v/>
      </c>
      <c r="F17" s="50">
        <f>IFERROR(AVERAGEIFS(Quarterly_Data!$K$5:$K$115,Quarterly_Data!$H$5:$H$115,F$15,Quarterly_Data!$M$5:$M$115,$A17),"")</f>
        <v/>
      </c>
    </row>
    <row r="18">
      <c r="A18" t="inlineStr">
        <is>
          <t>&gt;15%</t>
        </is>
      </c>
      <c r="B18" s="50">
        <f>IFERROR(AVERAGEIFS(Quarterly_Data!$K$5:$K$115,Quarterly_Data!$H$5:$H$115,B$15,Quarterly_Data!$M$5:$M$115,$A18),"")</f>
        <v/>
      </c>
      <c r="C18" s="50">
        <f>IFERROR(AVERAGEIFS(Quarterly_Data!$K$5:$K$115,Quarterly_Data!$H$5:$H$115,C$15,Quarterly_Data!$M$5:$M$115,$A18),"")</f>
        <v/>
      </c>
      <c r="D18" s="50">
        <f>IFERROR(AVERAGEIFS(Quarterly_Data!$K$5:$K$115,Quarterly_Data!$H$5:$H$115,D$15,Quarterly_Data!$M$5:$M$115,$A18),"")</f>
        <v/>
      </c>
      <c r="E18" s="50">
        <f>IFERROR(AVERAGEIFS(Quarterly_Data!$K$5:$K$115,Quarterly_Data!$H$5:$H$115,E$15,Quarterly_Data!$M$5:$M$115,$A18),"")</f>
        <v/>
      </c>
      <c r="F18" s="50">
        <f>IFERROR(AVERAGEIFS(Quarterly_Data!$K$5:$K$115,Quarterly_Data!$H$5:$H$115,F$15,Quarterly_Data!$M$5:$M$115,$A18),"")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COUNTIFS(Quarterly_Data!$H$5:$H$115,B$15,Quarterly_Data!$M$5:$M$115,$A21,Quarterly_Data!$K$5:$K$115,"&lt;&gt;")</f>
        <v/>
      </c>
      <c r="C21" s="26">
        <f>COUNTIFS(Quarterly_Data!$H$5:$H$115,C$15,Quarterly_Data!$M$5:$M$115,$A21,Quarterly_Data!$K$5:$K$115,"&lt;&gt;")</f>
        <v/>
      </c>
      <c r="D21" s="26">
        <f>COUNTIFS(Quarterly_Data!$H$5:$H$115,D$15,Quarterly_Data!$M$5:$M$115,$A21,Quarterly_Data!$K$5:$K$115,"&lt;&gt;")</f>
        <v/>
      </c>
      <c r="E21" s="26">
        <f>COUNTIFS(Quarterly_Data!$H$5:$H$115,E$15,Quarterly_Data!$M$5:$M$115,$A21,Quarterly_Data!$K$5:$K$115,"&lt;&gt;")</f>
        <v/>
      </c>
      <c r="F21" s="26">
        <f>COUNTIFS(Quarterly_Data!$H$5:$H$115,F$15,Quarterly_Data!$M$5:$M$115,$A21,Quarterly_Data!$K$5:$K$115,"&lt;&gt;")</f>
        <v/>
      </c>
    </row>
    <row r="22">
      <c r="A22" t="inlineStr">
        <is>
          <t>5-15%</t>
        </is>
      </c>
      <c r="B22" s="26">
        <f>COUNTIFS(Quarterly_Data!$H$5:$H$115,B$15,Quarterly_Data!$M$5:$M$115,$A22,Quarterly_Data!$K$5:$K$115,"&lt;&gt;")</f>
        <v/>
      </c>
      <c r="C22" s="26">
        <f>COUNTIFS(Quarterly_Data!$H$5:$H$115,C$15,Quarterly_Data!$M$5:$M$115,$A22,Quarterly_Data!$K$5:$K$115,"&lt;&gt;")</f>
        <v/>
      </c>
      <c r="D22" s="26">
        <f>COUNTIFS(Quarterly_Data!$H$5:$H$115,D$15,Quarterly_Data!$M$5:$M$115,$A22,Quarterly_Data!$K$5:$K$115,"&lt;&gt;")</f>
        <v/>
      </c>
      <c r="E22" s="26">
        <f>COUNTIFS(Quarterly_Data!$H$5:$H$115,E$15,Quarterly_Data!$M$5:$M$115,$A22,Quarterly_Data!$K$5:$K$115,"&lt;&gt;")</f>
        <v/>
      </c>
      <c r="F22" s="26">
        <f>COUNTIFS(Quarterly_Data!$H$5:$H$115,F$15,Quarterly_Data!$M$5:$M$115,$A22,Quarterly_Data!$K$5:$K$115,"&lt;&gt;")</f>
        <v/>
      </c>
    </row>
    <row r="23">
      <c r="A23" t="inlineStr">
        <is>
          <t>&gt;15%</t>
        </is>
      </c>
      <c r="B23" s="26">
        <f>COUNTIFS(Quarterly_Data!$H$5:$H$115,B$15,Quarterly_Data!$M$5:$M$115,$A23,Quarterly_Data!$K$5:$K$115,"&lt;&gt;")</f>
        <v/>
      </c>
      <c r="C23" s="26">
        <f>COUNTIFS(Quarterly_Data!$H$5:$H$115,C$15,Quarterly_Data!$M$5:$M$115,$A23,Quarterly_Data!$K$5:$K$115,"&lt;&gt;")</f>
        <v/>
      </c>
      <c r="D23" s="26">
        <f>COUNTIFS(Quarterly_Data!$H$5:$H$115,D$15,Quarterly_Data!$M$5:$M$115,$A23,Quarterly_Data!$K$5:$K$115,"&lt;&gt;")</f>
        <v/>
      </c>
      <c r="E23" s="26">
        <f>COUNTIFS(Quarterly_Data!$H$5:$H$115,E$15,Quarterly_Data!$M$5:$M$115,$A23,Quarterly_Data!$K$5:$K$115,"&lt;&gt;")</f>
        <v/>
      </c>
      <c r="F23" s="26">
        <f>COUNTIFS(Quarterly_Data!$H$5:$H$115,F$15,Quarterly_Data!$M$5:$M$115,$A23,Quarterly_Data!$K$5:$K$115,"&lt;&gt;")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COUNTIFS(Quarterly_Data!$R$5:$R$115,$A6,Quarterly_Data!$I$5:$I$115,"&lt;&gt;")</f>
        <v/>
      </c>
      <c r="C6" s="50">
        <f>IFERROR(AVERAGEIFS(Quarterly_Data!$I$5:$I$115,Quarterly_Data!$R$5:$R$115,$A6),"")</f>
        <v/>
      </c>
      <c r="D6" s="50">
        <f>IFERROR(COUNTIFS(Quarterly_Data!$R$5:$R$115,$A6,Quarterly_Data!$I$5:$I$115,"&lt;0")/B6,"")</f>
        <v/>
      </c>
      <c r="E6">
        <f>COUNTIFS(Quarterly_Data!$R$5:$R$115,$A6,Quarterly_Data!$J$5:$J$115,"&lt;&gt;")</f>
        <v/>
      </c>
      <c r="F6" s="50">
        <f>IFERROR(AVERAGEIFS(Quarterly_Data!$J$5:$J$115,Quarterly_Data!$R$5:$R$115,$A6),"")</f>
        <v/>
      </c>
      <c r="G6" s="50">
        <f>IFERROR(COUNTIFS(Quarterly_Data!$R$5:$R$115,$A6,Quarterly_Data!$J$5:$J$115,"&lt;0")/E6,"")</f>
        <v/>
      </c>
      <c r="H6">
        <f>COUNTIFS(Quarterly_Data!$R$5:$R$115,$A6,Quarterly_Data!$K$5:$K$115,"&lt;&gt;")</f>
        <v/>
      </c>
      <c r="I6" s="50">
        <f>IFERROR(AVERAGEIFS(Quarterly_Data!$K$5:$K$115,Quarterly_Data!$R$5:$R$115,$A6),"")</f>
        <v/>
      </c>
      <c r="J6" s="50">
        <f>IFERROR(COUNTIFS(Quarterly_Data!$R$5:$R$115,$A6,Quarterly_Data!$K$5:$K$115,"&lt;0")/H6,"")</f>
        <v/>
      </c>
    </row>
    <row r="7">
      <c r="A7" t="inlineStr">
        <is>
          <t>HOLD</t>
        </is>
      </c>
      <c r="B7">
        <f>COUNTIFS(Quarterly_Data!$R$5:$R$115,$A7,Quarterly_Data!$I$5:$I$115,"&lt;&gt;")</f>
        <v/>
      </c>
      <c r="C7" s="50">
        <f>IFERROR(AVERAGEIFS(Quarterly_Data!$I$5:$I$115,Quarterly_Data!$R$5:$R$115,$A7),"")</f>
        <v/>
      </c>
      <c r="D7" s="50">
        <f>IFERROR(COUNTIFS(Quarterly_Data!$R$5:$R$115,$A7,Quarterly_Data!$I$5:$I$115,"&lt;0")/B7,"")</f>
        <v/>
      </c>
      <c r="E7">
        <f>COUNTIFS(Quarterly_Data!$R$5:$R$115,$A7,Quarterly_Data!$J$5:$J$115,"&lt;&gt;")</f>
        <v/>
      </c>
      <c r="F7" s="50">
        <f>IFERROR(AVERAGEIFS(Quarterly_Data!$J$5:$J$115,Quarterly_Data!$R$5:$R$115,$A7),"")</f>
        <v/>
      </c>
      <c r="G7" s="50">
        <f>IFERROR(COUNTIFS(Quarterly_Data!$R$5:$R$115,$A7,Quarterly_Data!$J$5:$J$115,"&lt;0")/E7,"")</f>
        <v/>
      </c>
      <c r="H7">
        <f>COUNTIFS(Quarterly_Data!$R$5:$R$115,$A7,Quarterly_Data!$K$5:$K$115,"&lt;&gt;")</f>
        <v/>
      </c>
      <c r="I7" s="50">
        <f>IFERROR(AVERAGEIFS(Quarterly_Data!$K$5:$K$115,Quarterly_Data!$R$5:$R$115,$A7),"")</f>
        <v/>
      </c>
      <c r="J7" s="50">
        <f>IFERROR(COUNTIFS(Quarterly_Data!$R$5:$R$115,$A7,Quarterly_Data!$K$5:$K$115,"&lt;0")/H7,"")</f>
        <v/>
      </c>
    </row>
    <row r="8">
      <c r="A8" t="inlineStr">
        <is>
          <t>SELL</t>
        </is>
      </c>
      <c r="B8">
        <f>COUNTIFS(Quarterly_Data!$R$5:$R$115,$A8,Quarterly_Data!$I$5:$I$115,"&lt;&gt;")</f>
        <v/>
      </c>
      <c r="C8" s="50">
        <f>IFERROR(AVERAGEIFS(Quarterly_Data!$I$5:$I$115,Quarterly_Data!$R$5:$R$115,$A8),"")</f>
        <v/>
      </c>
      <c r="D8" s="50">
        <f>IFERROR(COUNTIFS(Quarterly_Data!$R$5:$R$115,$A8,Quarterly_Data!$I$5:$I$115,"&lt;0")/B8,"")</f>
        <v/>
      </c>
      <c r="E8">
        <f>COUNTIFS(Quarterly_Data!$R$5:$R$115,$A8,Quarterly_Data!$J$5:$J$115,"&lt;&gt;")</f>
        <v/>
      </c>
      <c r="F8" s="50">
        <f>IFERROR(AVERAGEIFS(Quarterly_Data!$J$5:$J$115,Quarterly_Data!$R$5:$R$115,$A8),"")</f>
        <v/>
      </c>
      <c r="G8" s="50">
        <f>IFERROR(COUNTIFS(Quarterly_Data!$R$5:$R$115,$A8,Quarterly_Data!$J$5:$J$115,"&lt;0")/E8,"")</f>
        <v/>
      </c>
      <c r="H8">
        <f>COUNTIFS(Quarterly_Data!$R$5:$R$115,$A8,Quarterly_Data!$K$5:$K$115,"&lt;&gt;")</f>
        <v/>
      </c>
      <c r="I8" s="50">
        <f>IFERROR(AVERAGEIFS(Quarterly_Data!$K$5:$K$115,Quarterly_Data!$R$5:$R$115,$A8),"")</f>
        <v/>
      </c>
      <c r="J8" s="50">
        <f>IFERROR(COUNTIFS(Quarterly_Data!$R$5:$R$115,$A8,Quarterly_Data!$K$5:$K$115,"&lt;0")/H8,"")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>
        <f>IFERROR((B115/B75)^(1/10)-1,"")</f>
        <v/>
      </c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IFERROR((COUNTIF($C$93:$C$115,"&lt;"&amp;C93)+(COUNTIF($C$93:$C$115,C93)+1)/2)/COUNT($C$93:$C$115),"")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IFERROR((COUNTIF($C$93:$C$115,"&lt;"&amp;C94)+(COUNTIF($C$93:$C$115,C94)+1)/2)/COUNT($C$93:$C$115),"")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IFERROR((COUNTIF($C$93:$C$115,"&lt;"&amp;C95)+(COUNTIF($C$93:$C$115,C95)+1)/2)/COUNT($C$93:$C$115),"")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>
        <f>IFERROR((B115/B95)^(1/5)-1,"")</f>
        <v/>
      </c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IFERROR((COUNTIF($C$93:$C$115,"&lt;"&amp;C96)+(COUNTIF($C$93:$C$115,C96)+1)/2)/COUNT($C$93:$C$115),"")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IFERROR((COUNTIF($C$93:$C$115,"&lt;"&amp;C97)+(COUNTIF($C$93:$C$115,C97)+1)/2)/COUNT($C$93:$C$115),"")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IFERROR((COUNTIF($C$93:$C$115,"&lt;"&amp;C98)+(COUNTIF($C$93:$C$115,C98)+1)/2)/COUNT($C$93:$C$115),"")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IFERROR((COUNTIF($C$93:$C$115,"&lt;"&amp;C99)+(COUNTIF($C$93:$C$115,C99)+1)/2)/COUNT($C$93:$C$115),"")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IFERROR((COUNTIF($C$93:$C$115,"&lt;"&amp;C100)+(COUNTIF($C$93:$C$115,C100)+1)/2)/COUNT($C$93:$C$115),"")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IFERROR((COUNTIF($C$93:$C$115,"&lt;"&amp;C101)+(COUNTIF($C$93:$C$115,C101)+1)/2)/COUNT($C$93:$C$115),"")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IFERROR((COUNTIF($C$93:$C$115,"&lt;"&amp;C102)+(COUNTIF($C$93:$C$115,C102)+1)/2)/COUNT($C$93:$C$115),"")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IFERROR((COUNTIF($C$93:$C$115,"&lt;"&amp;C103)+(COUNTIF($C$93:$C$115,C103)+1)/2)/COUNT($C$93:$C$115),"")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>
        <f>IFERROR((B115/B103)^(1/3)-1,"")</f>
        <v/>
      </c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IFERROR((COUNTIF($C$93:$C$115,"&lt;"&amp;C104)+(COUNTIF($C$93:$C$115,C104)+1)/2)/COUNT($C$93:$C$115),"")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IFERROR((COUNTIF($C$93:$C$115,"&lt;"&amp;C105)+(COUNTIF($C$93:$C$115,C105)+1)/2)/COUNT($C$93:$C$115),"")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IFERROR((COUNTIF($C$93:$C$115,"&lt;"&amp;C106)+(COUNTIF($C$93:$C$115,C106)+1)/2)/COUNT($C$93:$C$115),"")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IFERROR((COUNTIF($C$93:$C$115,"&lt;"&amp;C107)+(COUNTIF($C$93:$C$115,C107)+1)/2)/COUNT($C$93:$C$115),"")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IFERROR((COUNTIF($C$93:$C$115,"&lt;"&amp;C108)+(COUNTIF($C$93:$C$115,C108)+1)/2)/COUNT($C$93:$C$115),"")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IFERROR((COUNTIF($C$93:$C$115,"&lt;"&amp;C109)+(COUNTIF($C$93:$C$115,C109)+1)/2)/COUNT($C$93:$C$115),"")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IFERROR((COUNTIF($C$93:$C$115,"&lt;"&amp;C110)+(COUNTIF($C$93:$C$115,C110)+1)/2)/COUNT($C$93:$C$115),"")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IFERROR((COUNTIF($C$93:$C$115,"&lt;"&amp;C111)+(COUNTIF($C$93:$C$115,C111)+1)/2)/COUNT($C$93:$C$115),"")</f>
        <v/>
      </c>
      <c r="H111">
        <f>IF(G111="","",IF(G111&lt;=20%,"Q1 Cheapest",IF(G111&lt;=40%,"Q2",IF(G111&lt;=60%,"Q3",IF(G111&lt;=80%,"Q4","Q5 Most Expensive")))))</f>
        <v/>
      </c>
      <c r="I111" s="50">
        <f>IFERROR(B115/B111-1,"")</f>
        <v/>
      </c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IFERROR((COUNTIF($C$93:$C$115,"&lt;"&amp;C112)+(COUNTIF($C$93:$C$115,C112)+1)/2)/COUNT($C$93:$C$115),"")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IFERROR((COUNTIF($C$93:$C$115,"&lt;"&amp;C113)+(COUNTIF($C$93:$C$115,C113)+1)/2)/COUNT($C$93:$C$115),"")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IFERROR((COUNTIF($C$93:$C$115,"&lt;"&amp;C114)+(COUNTIF($C$93:$C$115,C114)+1)/2)/COUNT($C$93:$C$115),"")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  <row r="115">
      <c r="A115" s="54" t="n">
        <v>46295</v>
      </c>
      <c r="B115" s="28" t="n">
        <v>22620.45</v>
      </c>
      <c r="C115" s="51" t="n">
        <v>19.36</v>
      </c>
      <c r="D115" s="30" t="inlineStr">
        <is>
          <t>Consolidated</t>
        </is>
      </c>
      <c r="E115" s="31">
        <f>IFERROR(B115/C115,"")</f>
        <v/>
      </c>
      <c r="F115" s="50">
        <f>IF(D115=D111,IFERROR(E115/E111-1,""),"")</f>
        <v/>
      </c>
      <c r="G115" s="50">
        <f>IFERROR((COUNTIF($C$93:$C$115,"&lt;"&amp;C115)+(COUNTIF($C$93:$C$115,C115)+1)/2)/COUNT($C$93:$C$115),"")</f>
        <v/>
      </c>
      <c r="H115">
        <f>IF(G115="","",IF(G115&lt;=20%,"Q1 Cheapest",IF(G115&lt;=40%,"Q2",IF(G115&lt;=60%,"Q3",IF(G115&lt;=80%,"Q4","Q5 Most Expensive")))))</f>
        <v/>
      </c>
      <c r="I115" s="50" t="n"/>
      <c r="J115" s="50" t="n"/>
      <c r="K115" s="50" t="n"/>
      <c r="L115" s="50" t="n"/>
      <c r="M115">
        <f>IF(F115="","",IF(F115&lt;5%,"&lt;5%",IF(F115&lt;=15%,"5-15%","&gt;15%")))</f>
        <v/>
      </c>
      <c r="N115" s="50">
        <f>IF(COUNT($C$93:C115)&lt;8,"",(COUNTIF($C$93:C115,"&lt;"&amp;C115)+0.5*COUNTIF($C$93:C115,C115))/COUNT($C$93:C115))</f>
        <v/>
      </c>
      <c r="O115" s="52">
        <f>IF(N115="","",100*(1-N115))</f>
        <v/>
      </c>
      <c r="P115" s="52">
        <f>IF(F115="","",IF(F115&lt;=0,20,IF(F115&lt;5%,20+400*F115,IF(F115&lt;10%,40+400*(F115-5%),IF(F115&lt;15%,60+400*(F115-10%),IF(F115&lt;25%,80+200*(F115-15%),100))))))</f>
        <v/>
      </c>
      <c r="Q115" s="52">
        <f>IF(OR(O115="",P115=""),"",70%*O115+30%*P115)</f>
        <v/>
      </c>
      <c r="R115">
        <f>IF(Q115="","",IF(Q115&gt;=70,"BUY",IF(Q115&gt;=40,"HOLD","SELL")))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46295</v>
      </c>
      <c r="B70" s="57" t="n">
        <v>19.36</v>
      </c>
      <c r="C70" s="30" t="inlineStr">
        <is>
          <t>Consolidated</t>
        </is>
      </c>
      <c r="D70" s="34" t="inlineStr">
        <is>
          <t>https://www.nseindia.com/all-reports</t>
        </is>
      </c>
    </row>
    <row r="71">
      <c r="A71" s="55" t="n">
        <v>46296</v>
      </c>
      <c r="B71" s="66" t="n">
        <v>19.19</v>
      </c>
      <c r="C71" t="inlineStr">
        <is>
          <t>Consolidated</t>
        </is>
      </c>
      <c r="D71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  <row r="7">
      <c r="A7" s="58" t="n">
        <v>46286</v>
      </c>
      <c r="B7" s="59" t="n">
        <v>23414.3</v>
      </c>
      <c r="C7" s="60" t="n">
        <v>19.79</v>
      </c>
      <c r="D7" s="65" t="n">
        <v>0.05303030303030303</v>
      </c>
      <c r="E7" s="62" t="n">
        <v>1183.137948458818</v>
      </c>
      <c r="F7" s="65" t="n">
        <v>0.03939540346028036</v>
      </c>
      <c r="G7" s="63" t="n">
        <v>94.6969696969697</v>
      </c>
      <c r="H7" s="63" t="n">
        <v>35.75816138411214</v>
      </c>
      <c r="I7" s="63" t="n">
        <v>77.01532720311242</v>
      </c>
      <c r="J7" s="64" t="inlineStr">
        <is>
          <t>BUY</t>
        </is>
      </c>
      <c r="K7" s="4" t="inlineStr">
        <is>
          <t>https://nsearchives.nseindia.com/content/indices/ind_close_all_21092026.csv</t>
        </is>
      </c>
      <c r="L7" s="4" t="inlineStr">
        <is>
          <t>https://nsearchives.nseindia.com/content/indices/ind_close_all_21092026.csv</t>
        </is>
      </c>
    </row>
    <row r="8">
      <c r="A8" s="58" t="n">
        <v>46287</v>
      </c>
      <c r="B8" s="59" t="n">
        <v>23329</v>
      </c>
      <c r="C8" s="60" t="n">
        <v>19.72</v>
      </c>
      <c r="D8" s="65" t="n">
        <v>0.05303030303030303</v>
      </c>
      <c r="E8" s="62" t="n">
        <v>1183.012170385396</v>
      </c>
      <c r="F8" s="65" t="n">
        <v>0.039263777081608</v>
      </c>
      <c r="G8" s="63" t="n">
        <v>94.6969696969697</v>
      </c>
      <c r="H8" s="63" t="n">
        <v>35.7055108326432</v>
      </c>
      <c r="I8" s="63" t="n">
        <v>76.99953203767174</v>
      </c>
      <c r="J8" s="64" t="inlineStr">
        <is>
          <t>BUY</t>
        </is>
      </c>
      <c r="K8" s="4" t="inlineStr">
        <is>
          <t>https://nsearchives.nseindia.com/content/indices/ind_close_all_22092026.csv</t>
        </is>
      </c>
      <c r="L8" s="4" t="inlineStr">
        <is>
          <t>https://nsearchives.nseindia.com/content/indices/ind_close_all_22092026.csv</t>
        </is>
      </c>
    </row>
    <row r="9">
      <c r="A9" s="58" t="n">
        <v>46288</v>
      </c>
      <c r="B9" s="59" t="n">
        <v>23446.8</v>
      </c>
      <c r="C9" s="60" t="n">
        <v>19.82</v>
      </c>
      <c r="D9" s="65" t="n">
        <v>0.05303030303030303</v>
      </c>
      <c r="E9" s="62" t="n">
        <v>1182.986881937437</v>
      </c>
      <c r="F9" s="65" t="n">
        <v>0.03918790439368003</v>
      </c>
      <c r="G9" s="63" t="n">
        <v>94.6969696969697</v>
      </c>
      <c r="H9" s="63" t="n">
        <v>35.67516175747201</v>
      </c>
      <c r="I9" s="63" t="n">
        <v>76.99042731512039</v>
      </c>
      <c r="J9" s="64" t="inlineStr">
        <is>
          <t>BUY</t>
        </is>
      </c>
      <c r="K9" s="4" t="inlineStr">
        <is>
          <t>https://nsearchives.nseindia.com/content/indices/ind_close_all_23092026.csv</t>
        </is>
      </c>
      <c r="L9" s="4" t="inlineStr">
        <is>
          <t>https://nsearchives.nseindia.com/content/indices/ind_close_all_23092026.csv</t>
        </is>
      </c>
    </row>
    <row r="10">
      <c r="A10" s="58" t="n">
        <v>46289</v>
      </c>
      <c r="B10" s="59" t="n">
        <v>23063.1</v>
      </c>
      <c r="C10" s="60" t="n">
        <v>19.5</v>
      </c>
      <c r="D10" s="65" t="n">
        <v>0.01515151515151515</v>
      </c>
      <c r="E10" s="62" t="n">
        <v>1182.723076923077</v>
      </c>
      <c r="F10" s="65" t="n">
        <v>0.03890484948564765</v>
      </c>
      <c r="G10" s="63" t="n">
        <v>98.48484848484848</v>
      </c>
      <c r="H10" s="63" t="n">
        <v>35.56193979425906</v>
      </c>
      <c r="I10" s="63" t="n">
        <v>79.60797587767166</v>
      </c>
      <c r="J10" s="64" t="inlineStr">
        <is>
          <t>BUY</t>
        </is>
      </c>
      <c r="K10" s="4" t="inlineStr">
        <is>
          <t>https://nsearchives.nseindia.com/content/indices/ind_close_all_24092026.csv</t>
        </is>
      </c>
      <c r="L10" s="4" t="inlineStr">
        <is>
          <t>https://nsearchives.nseindia.com/content/indices/ind_close_all_24092026.csv</t>
        </is>
      </c>
    </row>
    <row r="11">
      <c r="A11" s="58" t="n">
        <v>46290</v>
      </c>
      <c r="B11" s="59" t="n">
        <v>23140.5</v>
      </c>
      <c r="C11" s="60" t="n">
        <v>19.56</v>
      </c>
      <c r="D11" s="65" t="n">
        <v>0.02272727272727273</v>
      </c>
      <c r="E11" s="62" t="n">
        <v>1183.052147239264</v>
      </c>
      <c r="F11" s="65" t="n">
        <v>0.03899705870431536</v>
      </c>
      <c r="G11" s="63" t="n">
        <v>97.72727272727273</v>
      </c>
      <c r="H11" s="63" t="n">
        <v>35.59882348172614</v>
      </c>
      <c r="I11" s="63" t="n">
        <v>79.08873795360876</v>
      </c>
      <c r="J11" s="64" t="inlineStr">
        <is>
          <t>BUY</t>
        </is>
      </c>
      <c r="K11" s="4" t="inlineStr">
        <is>
          <t>https://nsearchives.nseindia.com/content/indices/ind_close_all_25092026.csv</t>
        </is>
      </c>
      <c r="L11" s="4" t="inlineStr">
        <is>
          <t>https://nsearchives.nseindia.com/content/indices/ind_close_all_25092026.csv</t>
        </is>
      </c>
    </row>
    <row r="12">
      <c r="A12" s="58" t="n">
        <v>46293</v>
      </c>
      <c r="B12" s="59" t="n">
        <v>22780.25</v>
      </c>
      <c r="C12" s="60" t="n">
        <v>19.26</v>
      </c>
      <c r="D12" s="65" t="n">
        <v>0.007575757575757576</v>
      </c>
      <c r="E12" s="62" t="n">
        <v>1182.77518172378</v>
      </c>
      <c r="F12" s="65" t="n">
        <v>0.03910858522460492</v>
      </c>
      <c r="G12" s="63" t="n">
        <v>99.24242424242425</v>
      </c>
      <c r="H12" s="63" t="n">
        <v>35.64343408984197</v>
      </c>
      <c r="I12" s="63" t="n">
        <v>80.16272719664956</v>
      </c>
      <c r="J12" s="64" t="inlineStr">
        <is>
          <t>BUY</t>
        </is>
      </c>
      <c r="K12" s="4" t="inlineStr">
        <is>
          <t>https://nsearchives.nseindia.com/content/indices/ind_close_all_28092026.csv</t>
        </is>
      </c>
      <c r="L12" s="4" t="inlineStr">
        <is>
          <t>https://nsearchives.nseindia.com/content/indices/ind_close_all_28092026.csv</t>
        </is>
      </c>
    </row>
    <row r="13">
      <c r="A13" s="58" t="n">
        <v>46294</v>
      </c>
      <c r="B13" s="59" t="n">
        <v>22716.2</v>
      </c>
      <c r="C13" s="60" t="n">
        <v>19.2</v>
      </c>
      <c r="D13" s="65" t="n">
        <v>0.007575757575757576</v>
      </c>
      <c r="E13" s="62" t="n">
        <v>1183.135416666667</v>
      </c>
      <c r="F13" s="65" t="n">
        <v>0.03929995318295054</v>
      </c>
      <c r="G13" s="63" t="n">
        <v>99.24242424242425</v>
      </c>
      <c r="H13" s="63" t="n">
        <v>35.71998127318022</v>
      </c>
      <c r="I13" s="63" t="n">
        <v>80.18569135165103</v>
      </c>
      <c r="J13" s="64" t="inlineStr">
        <is>
          <t>BUY</t>
        </is>
      </c>
      <c r="K13" s="4" t="inlineStr">
        <is>
          <t>https://nsearchives.nseindia.com/content/indices/ind_close_all_29092026.csv</t>
        </is>
      </c>
      <c r="L13" s="4" t="inlineStr">
        <is>
          <t>https://nsearchives.nseindia.com/content/indices/ind_close_all_29092026.csv</t>
        </is>
      </c>
    </row>
    <row r="14">
      <c r="A14" s="58" t="n">
        <v>46295</v>
      </c>
      <c r="B14" s="59" t="n">
        <v>22620.45</v>
      </c>
      <c r="C14" s="60" t="n">
        <v>19.36</v>
      </c>
      <c r="D14" s="65" t="n">
        <v>0.007575757575757576</v>
      </c>
      <c r="E14" s="62" t="n">
        <v>1168.411673553719</v>
      </c>
      <c r="F14" s="65" t="n">
        <v>0.03305573568548059</v>
      </c>
      <c r="G14" s="63" t="n">
        <v>99.24242424242425</v>
      </c>
      <c r="H14" s="63" t="n">
        <v>33.22229427419224</v>
      </c>
      <c r="I14" s="63" t="n">
        <v>79.43638525195465</v>
      </c>
      <c r="J14" s="64" t="inlineStr">
        <is>
          <t>BUY</t>
        </is>
      </c>
      <c r="K14" s="4" t="inlineStr">
        <is>
          <t>https://nsearchives.nseindia.com/content/indices/ind_close_all_30092026.csv</t>
        </is>
      </c>
      <c r="L14" s="4" t="inlineStr">
        <is>
          <t>https://nsearchives.nseindia.com/content/indices/ind_close_all_30092026.csv</t>
        </is>
      </c>
    </row>
    <row r="15">
      <c r="A15" s="58" t="n">
        <v>46296</v>
      </c>
      <c r="B15" s="59" t="n">
        <v>22421.95</v>
      </c>
      <c r="C15" s="60" t="n">
        <v>19.19</v>
      </c>
      <c r="D15" s="65" t="n">
        <v>0.007462686567164179</v>
      </c>
      <c r="E15" s="62" t="n">
        <v>1168.418447107869</v>
      </c>
      <c r="F15" s="65" t="n">
        <v>0.03310352582666498</v>
      </c>
      <c r="G15" s="63" t="n">
        <v>99.25373134328358</v>
      </c>
      <c r="H15" s="63" t="n">
        <v>33.24141033066599</v>
      </c>
      <c r="I15" s="63" t="n">
        <v>79.4500350394983</v>
      </c>
      <c r="J15" s="64" t="inlineStr">
        <is>
          <t>BUY</t>
        </is>
      </c>
      <c r="K15" s="4" t="inlineStr">
        <is>
          <t>https://nsearchives.nseindia.com/content/indices/ind_close_all_01102026.csv</t>
        </is>
      </c>
      <c r="L15" s="4" t="inlineStr">
        <is>
          <t>https://nsearchives.nseindia.com/content/indices/ind_close_all_01102026.csv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Sep-2026.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2026-10-01T18:35:11Z</dcterms:modified>
</cp:coreProperties>
</file>