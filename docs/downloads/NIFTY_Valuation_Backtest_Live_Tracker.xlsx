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46283</v>
      </c>
      <c r="D5" s="6">
        <f>B20</f>
        <v/>
      </c>
    </row>
    <row r="6">
      <c r="A6" s="4" t="inlineStr">
        <is>
          <t>NIFTY 50 Close</t>
        </is>
      </c>
      <c r="B6" s="7" t="n">
        <v>23346.4</v>
      </c>
    </row>
    <row r="7">
      <c r="A7" s="4" t="inlineStr">
        <is>
          <t>Current P/E</t>
        </is>
      </c>
      <c r="B7" s="43" t="n">
        <v>19.74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IFERROR((COUNTIF(PE_History_Post2021!$B$5:$B$2000,"&lt;"&amp;B7)+0.5*COUNTIF(PE_History_Post2021!$B$5:$B$2000,B7))/COUNT(PE_History_Post2021!$B$5:$B$2000),"")</f>
        <v/>
      </c>
    </row>
    <row r="10">
      <c r="A10" s="4" t="inlineStr">
        <is>
          <t>Era Median P/E</t>
        </is>
      </c>
      <c r="B10" s="46">
        <f>IFERROR(MEDIAN(PE_History_Post2021!$B$5:$B$2000),"")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45918</v>
      </c>
    </row>
    <row r="13">
      <c r="A13" s="4" t="inlineStr">
        <is>
          <t>Prior-year NIFTY close</t>
        </is>
      </c>
      <c r="B13" s="14" t="n">
        <v>25423.6</v>
      </c>
    </row>
    <row r="14">
      <c r="A14" s="4" t="inlineStr">
        <is>
          <t>Prior-year P/E</t>
        </is>
      </c>
      <c r="B14" s="47" t="n">
        <v>22.33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27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IFERROR((COUNTIF($C$5:$C$92,"&lt;"&amp;C5)+0.5*COUNTIF($C$5:$C$92,C5))/COUNT($C$5:$C$92),"")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27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IFERROR((COUNTIF($C$5:$C$92,"&lt;"&amp;C6)+0.5*COUNTIF($C$5:$C$92,C6))/COUNT($C$5:$C$92),"")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27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IFERROR((COUNTIF($C$5:$C$92,"&lt;"&amp;C7)+0.5*COUNTIF($C$5:$C$92,C7))/COUNT($C$5:$C$92),"")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27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IFERROR((COUNTIF($C$5:$C$92,"&lt;"&amp;C8)+0.5*COUNTIF($C$5:$C$92,C8))/COUNT($C$5:$C$92),"")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27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IFERROR((COUNTIF($C$5:$C$92,"&lt;"&amp;C9)+0.5*COUNTIF($C$5:$C$92,C9))/COUNT($C$5:$C$92),"")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27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IFERROR((COUNTIF($C$5:$C$92,"&lt;"&amp;C10)+0.5*COUNTIF($C$5:$C$92,C10))/COUNT($C$5:$C$92),"")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27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IFERROR((COUNTIF($C$5:$C$92,"&lt;"&amp;C11)+0.5*COUNTIF($C$5:$C$92,C11))/COUNT($C$5:$C$92),"")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27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IFERROR((COUNTIF($C$5:$C$92,"&lt;"&amp;C12)+0.5*COUNTIF($C$5:$C$92,C12))/COUNT($C$5:$C$92),"")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27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IFERROR((COUNTIF($C$5:$C$92,"&lt;"&amp;C13)+0.5*COUNTIF($C$5:$C$92,C13))/COUNT($C$5:$C$92),"")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27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IFERROR((COUNTIF($C$5:$C$92,"&lt;"&amp;C14)+0.5*COUNTIF($C$5:$C$92,C14))/COUNT($C$5:$C$92),"")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27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IFERROR((COUNTIF($C$5:$C$92,"&lt;"&amp;C15)+0.5*COUNTIF($C$5:$C$92,C15))/COUNT($C$5:$C$92),"")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27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IFERROR((COUNTIF($C$5:$C$92,"&lt;"&amp;C16)+0.5*COUNTIF($C$5:$C$92,C16))/COUNT($C$5:$C$92),"")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27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IFERROR((COUNTIF($C$5:$C$92,"&lt;"&amp;C17)+0.5*COUNTIF($C$5:$C$92,C17))/COUNT($C$5:$C$92),"")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27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IFERROR((COUNTIF($C$5:$C$92,"&lt;"&amp;C18)+0.5*COUNTIF($C$5:$C$92,C18))/COUNT($C$5:$C$92),"")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27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IFERROR((COUNTIF($C$5:$C$92,"&lt;"&amp;C19)+0.5*COUNTIF($C$5:$C$92,C19))/COUNT($C$5:$C$92),"")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27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IFERROR((COUNTIF($C$5:$C$92,"&lt;"&amp;C20)+0.5*COUNTIF($C$5:$C$92,C20))/COUNT($C$5:$C$92),"")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27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IFERROR((COUNTIF($C$5:$C$92,"&lt;"&amp;C21)+0.5*COUNTIF($C$5:$C$92,C21))/COUNT($C$5:$C$92),"")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27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IFERROR((COUNTIF($C$5:$C$92,"&lt;"&amp;C22)+0.5*COUNTIF($C$5:$C$92,C22))/COUNT($C$5:$C$92),"")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27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IFERROR((COUNTIF($C$5:$C$92,"&lt;"&amp;C23)+0.5*COUNTIF($C$5:$C$92,C23))/COUNT($C$5:$C$92),"")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27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IFERROR((COUNTIF($C$5:$C$92,"&lt;"&amp;C24)+0.5*COUNTIF($C$5:$C$92,C24))/COUNT($C$5:$C$92),"")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27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IFERROR((COUNTIF($C$5:$C$92,"&lt;"&amp;C25)+0.5*COUNTIF($C$5:$C$92,C25))/COUNT($C$5:$C$92),"")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27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IFERROR((COUNTIF($C$5:$C$92,"&lt;"&amp;C26)+0.5*COUNTIF($C$5:$C$92,C26))/COUNT($C$5:$C$92),"")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27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IFERROR((COUNTIF($C$5:$C$92,"&lt;"&amp;C27)+0.5*COUNTIF($C$5:$C$92,C27))/COUNT($C$5:$C$92),"")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27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IFERROR((COUNTIF($C$5:$C$92,"&lt;"&amp;C28)+0.5*COUNTIF($C$5:$C$92,C28))/COUNT($C$5:$C$92),"")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27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IFERROR((COUNTIF($C$5:$C$92,"&lt;"&amp;C29)+0.5*COUNTIF($C$5:$C$92,C29))/COUNT($C$5:$C$92),"")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27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IFERROR((COUNTIF($C$5:$C$92,"&lt;"&amp;C30)+0.5*COUNTIF($C$5:$C$92,C30))/COUNT($C$5:$C$92),"")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27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IFERROR((COUNTIF($C$5:$C$92,"&lt;"&amp;C31)+0.5*COUNTIF($C$5:$C$92,C31))/COUNT($C$5:$C$92),"")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27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IFERROR((COUNTIF($C$5:$C$92,"&lt;"&amp;C32)+0.5*COUNTIF($C$5:$C$92,C32))/COUNT($C$5:$C$92),"")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27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IFERROR((COUNTIF($C$5:$C$92,"&lt;"&amp;C33)+0.5*COUNTIF($C$5:$C$92,C33))/COUNT($C$5:$C$92),"")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27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IFERROR((COUNTIF($C$5:$C$92,"&lt;"&amp;C34)+0.5*COUNTIF($C$5:$C$92,C34))/COUNT($C$5:$C$92),"")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27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IFERROR((COUNTIF($C$5:$C$92,"&lt;"&amp;C35)+0.5*COUNTIF($C$5:$C$92,C35))/COUNT($C$5:$C$92),"")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27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IFERROR((COUNTIF($C$5:$C$92,"&lt;"&amp;C36)+0.5*COUNTIF($C$5:$C$92,C36))/COUNT($C$5:$C$92),"")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27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IFERROR((COUNTIF($C$5:$C$92,"&lt;"&amp;C37)+0.5*COUNTIF($C$5:$C$92,C37))/COUNT($C$5:$C$92),"")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27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IFERROR((COUNTIF($C$5:$C$92,"&lt;"&amp;C38)+0.5*COUNTIF($C$5:$C$92,C38))/COUNT($C$5:$C$92),"")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27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IFERROR((COUNTIF($C$5:$C$92,"&lt;"&amp;C39)+0.5*COUNTIF($C$5:$C$92,C39))/COUNT($C$5:$C$92),"")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27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IFERROR((COUNTIF($C$5:$C$92,"&lt;"&amp;C40)+0.5*COUNTIF($C$5:$C$92,C40))/COUNT($C$5:$C$92),"")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27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IFERROR((COUNTIF($C$5:$C$92,"&lt;"&amp;C41)+0.5*COUNTIF($C$5:$C$92,C41))/COUNT($C$5:$C$92),"")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27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IFERROR((COUNTIF($C$5:$C$92,"&lt;"&amp;C42)+0.5*COUNTIF($C$5:$C$92,C42))/COUNT($C$5:$C$92),"")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27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IFERROR((COUNTIF($C$5:$C$92,"&lt;"&amp;C43)+0.5*COUNTIF($C$5:$C$92,C43))/COUNT($C$5:$C$92),"")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27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IFERROR((COUNTIF($C$5:$C$92,"&lt;"&amp;C44)+0.5*COUNTIF($C$5:$C$92,C44))/COUNT($C$5:$C$92),"")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27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IFERROR((COUNTIF($C$5:$C$92,"&lt;"&amp;C45)+0.5*COUNTIF($C$5:$C$92,C45))/COUNT($C$5:$C$92),"")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27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IFERROR((COUNTIF($C$5:$C$92,"&lt;"&amp;C46)+0.5*COUNTIF($C$5:$C$92,C46))/COUNT($C$5:$C$92),"")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27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IFERROR((COUNTIF($C$5:$C$92,"&lt;"&amp;C47)+0.5*COUNTIF($C$5:$C$92,C47))/COUNT($C$5:$C$92),"")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27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IFERROR((COUNTIF($C$5:$C$92,"&lt;"&amp;C48)+0.5*COUNTIF($C$5:$C$92,C48))/COUNT($C$5:$C$92),"")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27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IFERROR((COUNTIF($C$5:$C$92,"&lt;"&amp;C49)+0.5*COUNTIF($C$5:$C$92,C49))/COUNT($C$5:$C$92),"")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27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IFERROR((COUNTIF($C$5:$C$92,"&lt;"&amp;C50)+0.5*COUNTIF($C$5:$C$92,C50))/COUNT($C$5:$C$92),"")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27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IFERROR((COUNTIF($C$5:$C$92,"&lt;"&amp;C51)+0.5*COUNTIF($C$5:$C$92,C51))/COUNT($C$5:$C$92),"")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27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IFERROR((COUNTIF($C$5:$C$92,"&lt;"&amp;C52)+0.5*COUNTIF($C$5:$C$92,C52))/COUNT($C$5:$C$92),"")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27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IFERROR((COUNTIF($C$5:$C$92,"&lt;"&amp;C53)+0.5*COUNTIF($C$5:$C$92,C53))/COUNT($C$5:$C$92),"")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27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IFERROR((COUNTIF($C$5:$C$92,"&lt;"&amp;C54)+0.5*COUNTIF($C$5:$C$92,C54))/COUNT($C$5:$C$92),"")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27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IFERROR((COUNTIF($C$5:$C$92,"&lt;"&amp;C55)+0.5*COUNTIF($C$5:$C$92,C55))/COUNT($C$5:$C$92),"")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27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IFERROR((COUNTIF($C$5:$C$92,"&lt;"&amp;C56)+0.5*COUNTIF($C$5:$C$92,C56))/COUNT($C$5:$C$92),"")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27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IFERROR((COUNTIF($C$5:$C$92,"&lt;"&amp;C57)+0.5*COUNTIF($C$5:$C$92,C57))/COUNT($C$5:$C$92),"")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27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IFERROR((COUNTIF($C$5:$C$92,"&lt;"&amp;C58)+0.5*COUNTIF($C$5:$C$92,C58))/COUNT($C$5:$C$92),"")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27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IFERROR((COUNTIF($C$5:$C$92,"&lt;"&amp;C59)+0.5*COUNTIF($C$5:$C$92,C59))/COUNT($C$5:$C$92),"")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27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IFERROR((COUNTIF($C$5:$C$92,"&lt;"&amp;C60)+0.5*COUNTIF($C$5:$C$92,C60))/COUNT($C$5:$C$92),"")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27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IFERROR((COUNTIF($C$5:$C$92,"&lt;"&amp;C61)+0.5*COUNTIF($C$5:$C$92,C61))/COUNT($C$5:$C$92),"")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27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IFERROR((COUNTIF($C$5:$C$92,"&lt;"&amp;C62)+0.5*COUNTIF($C$5:$C$92,C62))/COUNT($C$5:$C$92),"")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27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IFERROR((COUNTIF($C$5:$C$92,"&lt;"&amp;C63)+0.5*COUNTIF($C$5:$C$92,C63))/COUNT($C$5:$C$92),"")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27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IFERROR((COUNTIF($C$5:$C$92,"&lt;"&amp;C64)+0.5*COUNTIF($C$5:$C$92,C64))/COUNT($C$5:$C$92),"")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27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IFERROR((COUNTIF($C$5:$C$92,"&lt;"&amp;C65)+0.5*COUNTIF($C$5:$C$92,C65))/COUNT($C$5:$C$92),"")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27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IFERROR((COUNTIF($C$5:$C$92,"&lt;"&amp;C66)+0.5*COUNTIF($C$5:$C$92,C66))/COUNT($C$5:$C$92),"")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27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IFERROR((COUNTIF($C$5:$C$92,"&lt;"&amp;C67)+0.5*COUNTIF($C$5:$C$92,C67))/COUNT($C$5:$C$92),"")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27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IFERROR((COUNTIF($C$5:$C$92,"&lt;"&amp;C68)+0.5*COUNTIF($C$5:$C$92,C68))/COUNT($C$5:$C$92),"")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27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IFERROR((COUNTIF($C$5:$C$92,"&lt;"&amp;C69)+0.5*COUNTIF($C$5:$C$92,C69))/COUNT($C$5:$C$92),"")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27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IFERROR((COUNTIF($C$5:$C$92,"&lt;"&amp;C70)+0.5*COUNTIF($C$5:$C$92,C70))/COUNT($C$5:$C$92),"")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27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IFERROR((COUNTIF($C$5:$C$92,"&lt;"&amp;C71)+0.5*COUNTIF($C$5:$C$92,C71))/COUNT($C$5:$C$92),"")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27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IFERROR((COUNTIF($C$5:$C$92,"&lt;"&amp;C72)+0.5*COUNTIF($C$5:$C$92,C72))/COUNT($C$5:$C$92),"")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27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IFERROR((COUNTIF($C$5:$C$92,"&lt;"&amp;C73)+0.5*COUNTIF($C$5:$C$92,C73))/COUNT($C$5:$C$92),"")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27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IFERROR((COUNTIF($C$5:$C$92,"&lt;"&amp;C74)+0.5*COUNTIF($C$5:$C$92,C74))/COUNT($C$5:$C$92),"")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27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IFERROR((COUNTIF($C$5:$C$92,"&lt;"&amp;C75)+0.5*COUNTIF($C$5:$C$92,C75))/COUNT($C$5:$C$92),"")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27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IFERROR((COUNTIF($C$5:$C$92,"&lt;"&amp;C76)+0.5*COUNTIF($C$5:$C$92,C76))/COUNT($C$5:$C$92),"")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27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IFERROR((COUNTIF($C$5:$C$92,"&lt;"&amp;C77)+0.5*COUNTIF($C$5:$C$92,C77))/COUNT($C$5:$C$92),"")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27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IFERROR((COUNTIF($C$5:$C$92,"&lt;"&amp;C78)+0.5*COUNTIF($C$5:$C$92,C78))/COUNT($C$5:$C$92),"")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27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IFERROR((COUNTIF($C$5:$C$92,"&lt;"&amp;C79)+0.5*COUNTIF($C$5:$C$92,C79))/COUNT($C$5:$C$92),"")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27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IFERROR((COUNTIF($C$5:$C$92,"&lt;"&amp;C80)+0.5*COUNTIF($C$5:$C$92,C80))/COUNT($C$5:$C$92),"")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27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IFERROR((COUNTIF($C$5:$C$92,"&lt;"&amp;C81)+0.5*COUNTIF($C$5:$C$92,C81))/COUNT($C$5:$C$92),"")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27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IFERROR((COUNTIF($C$5:$C$92,"&lt;"&amp;C82)+0.5*COUNTIF($C$5:$C$92,C82))/COUNT($C$5:$C$92),"")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27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IFERROR((COUNTIF($C$5:$C$92,"&lt;"&amp;C83)+0.5*COUNTIF($C$5:$C$92,C83))/COUNT($C$5:$C$92),"")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27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IFERROR((COUNTIF($C$5:$C$92,"&lt;"&amp;C84)+0.5*COUNTIF($C$5:$C$92,C84))/COUNT($C$5:$C$92),"")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27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IFERROR((COUNTIF($C$5:$C$92,"&lt;"&amp;C85)+0.5*COUNTIF($C$5:$C$92,C85))/COUNT($C$5:$C$92),"")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27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IFERROR((COUNTIF($C$5:$C$92,"&lt;"&amp;C86)+0.5*COUNTIF($C$5:$C$92,C86))/COUNT($C$5:$C$92),"")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27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IFERROR((COUNTIF($C$5:$C$92,"&lt;"&amp;C87)+0.5*COUNTIF($C$5:$C$92,C87))/COUNT($C$5:$C$92),"")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27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IFERROR((COUNTIF($C$5:$C$92,"&lt;"&amp;C88)+0.5*COUNTIF($C$5:$C$92,C88))/COUNT($C$5:$C$92),"")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27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IFERROR((COUNTIF($C$5:$C$92,"&lt;"&amp;C89)+0.5*COUNTIF($C$5:$C$92,C89))/COUNT($C$5:$C$92),"")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27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IFERROR((COUNTIF($C$5:$C$92,"&lt;"&amp;C90)+0.5*COUNTIF($C$5:$C$92,C90))/COUNT($C$5:$C$92),"")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27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IFERROR((COUNTIF($C$5:$C$92,"&lt;"&amp;C91)+0.5*COUNTIF($C$5:$C$92,C91))/COUNT($C$5:$C$92),"")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27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IFERROR((COUNTIF($C$5:$C$92,"&lt;"&amp;C92)+0.5*COUNTIF($C$5:$C$92,C92))/COUNT($C$5:$C$92),"")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27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IFERROR((COUNTIF($C$93:$C$114,"&lt;"&amp;C93)+0.5*COUNTIF($C$93:$C$114,C93))/COUNT($C$93:$C$114),"")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27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IFERROR((COUNTIF($C$93:$C$114,"&lt;"&amp;C94)+0.5*COUNTIF($C$93:$C$114,C94))/COUNT($C$93:$C$114),"")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27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IFERROR((COUNTIF($C$93:$C$114,"&lt;"&amp;C95)+0.5*COUNTIF($C$93:$C$114,C95))/COUNT($C$93:$C$114),"")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27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IFERROR((COUNTIF($C$93:$C$114,"&lt;"&amp;C96)+0.5*COUNTIF($C$93:$C$114,C96))/COUNT($C$93:$C$114),"")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27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IFERROR((COUNTIF($C$93:$C$114,"&lt;"&amp;C97)+0.5*COUNTIF($C$93:$C$114,C97))/COUNT($C$93:$C$114),"")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27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IFERROR((COUNTIF($C$93:$C$114,"&lt;"&amp;C98)+0.5*COUNTIF($C$93:$C$114,C98))/COUNT($C$93:$C$114),"")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27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IFERROR((COUNTIF($C$93:$C$114,"&lt;"&amp;C99)+0.5*COUNTIF($C$93:$C$114,C99))/COUNT($C$93:$C$114),"")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27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IFERROR((COUNTIF($C$93:$C$114,"&lt;"&amp;C100)+0.5*COUNTIF($C$93:$C$114,C100))/COUNT($C$93:$C$114),"")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27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IFERROR((COUNTIF($C$93:$C$114,"&lt;"&amp;C101)+0.5*COUNTIF($C$93:$C$114,C101))/COUNT($C$93:$C$114),"")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27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IFERROR((COUNTIF($C$93:$C$114,"&lt;"&amp;C102)+0.5*COUNTIF($C$93:$C$114,C102))/COUNT($C$93:$C$114),"")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27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IFERROR((COUNTIF($C$93:$C$114,"&lt;"&amp;C103)+0.5*COUNTIF($C$93:$C$114,C103))/COUNT($C$93:$C$114),"")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27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IFERROR((COUNTIF($C$93:$C$114,"&lt;"&amp;C104)+0.5*COUNTIF($C$93:$C$114,C104))/COUNT($C$93:$C$114),"")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27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IFERROR((COUNTIF($C$93:$C$114,"&lt;"&amp;C105)+0.5*COUNTIF($C$93:$C$114,C105))/COUNT($C$93:$C$114),"")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27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IFERROR((COUNTIF($C$93:$C$114,"&lt;"&amp;C106)+0.5*COUNTIF($C$93:$C$114,C106))/COUNT($C$93:$C$114),"")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27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IFERROR((COUNTIF($C$93:$C$114,"&lt;"&amp;C107)+0.5*COUNTIF($C$93:$C$114,C107))/COUNT($C$93:$C$114),"")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27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IFERROR((COUNTIF($C$93:$C$114,"&lt;"&amp;C108)+0.5*COUNTIF($C$93:$C$114,C108))/COUNT($C$93:$C$114),"")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27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IFERROR((COUNTIF($C$93:$C$114,"&lt;"&amp;C109)+0.5*COUNTIF($C$93:$C$114,C109))/COUNT($C$93:$C$114),"")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27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IFERROR((COUNTIF($C$93:$C$114,"&lt;"&amp;C110)+0.5*COUNTIF($C$93:$C$114,C110))/COUNT($C$93:$C$114),"")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27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IFERROR((COUNTIF($C$93:$C$114,"&lt;"&amp;C111)+0.5*COUNTIF($C$93:$C$114,C111))/COUNT($C$93:$C$114),"")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27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IFERROR((COUNTIF($C$93:$C$114,"&lt;"&amp;C112)+0.5*COUNTIF($C$93:$C$114,C112))/COUNT($C$93:$C$114),"")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27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IFERROR((COUNTIF($C$93:$C$114,"&lt;"&amp;C113)+0.5*COUNTIF($C$93:$C$114,C113))/COUNT($C$93:$C$114),"")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27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IFERROR((COUNTIF($C$93:$C$114,"&lt;"&amp;C114)+0.5*COUNTIF($C$93:$C$114,C114))/COUNT($C$93:$C$114),"")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46283</v>
      </c>
      <c r="B70" s="57" t="n">
        <v>19.74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2026-09-19T14:23:27Z</dcterms:modified>
</cp:coreProperties>
</file>