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cktest" sheetId="2" state="visible" r:id="rId2"/>
    <sheet xmlns:r="http://schemas.openxmlformats.org/officeDocument/2006/relationships" name="Growth_Matrix" sheetId="3" state="visible" r:id="rId3"/>
    <sheet xmlns:r="http://schemas.openxmlformats.org/officeDocument/2006/relationships" name="Signal_Backtest" sheetId="4" state="visible" r:id="rId4"/>
    <sheet xmlns:r="http://schemas.openxmlformats.org/officeDocument/2006/relationships" name="Quarterly_Data" sheetId="5" state="visible" r:id="rId5"/>
    <sheet xmlns:r="http://schemas.openxmlformats.org/officeDocument/2006/relationships" name="PE_History_Post2021" sheetId="6" state="visible" r:id="rId6"/>
    <sheet xmlns:r="http://schemas.openxmlformats.org/officeDocument/2006/relationships" name="Daily_Log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4" hidden="1">'Quarterly_Data'!$A$4:$R$114</definedName>
    <definedName name="_xlnm._FilterDatabase" localSheetId="5" hidden="1">'PE_History_Post2021'!$A$4:$D$70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0%;[Red](0.00%);-"/>
    <numFmt numFmtId="168" formatCode="0.0%;[Red](0.0%);-"/>
    <numFmt numFmtId="169" formatCode="0.0"/>
    <numFmt numFmtId="170" formatCode="0.0x;[Red](0.0x);-"/>
  </numFmts>
  <fonts count="1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FFFFFF"/>
    </font>
    <font>
      <color rgb="00666666"/>
    </font>
    <font>
      <color rgb="00008000"/>
    </font>
    <font>
      <color rgb="00008000"/>
      <sz val="9"/>
    </font>
    <font>
      <color rgb="00000000"/>
    </font>
    <font>
      <color rgb="000000FF"/>
    </font>
    <font>
      <b val="1"/>
      <color rgb="000000FF"/>
    </font>
    <font>
      <b val="1"/>
      <color rgb="00000000"/>
    </font>
    <font>
      <b val="1"/>
      <color rgb="00FFFFFF"/>
      <sz val="26"/>
    </font>
    <font>
      <color rgb="00666666"/>
      <sz val="10"/>
    </font>
    <font>
      <i val="1"/>
      <color rgb="00666666"/>
    </font>
    <font>
      <b val="1"/>
      <color rgb="00666666"/>
    </font>
    <font>
      <b val="1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6D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/>
    </xf>
    <xf numFmtId="0" fontId="7" fillId="0" borderId="0" pivotButton="0" quotePrefix="0" xfId="0"/>
    <xf numFmtId="164" fontId="8" fillId="5" borderId="0" applyAlignment="1" pivotButton="0" quotePrefix="0" xfId="0">
      <alignment horizontal="right"/>
    </xf>
    <xf numFmtId="0" fontId="11" fillId="7" borderId="0" applyAlignment="1" pivotButton="0" quotePrefix="0" xfId="0">
      <alignment horizontal="center" vertical="center"/>
    </xf>
    <xf numFmtId="165" fontId="9" fillId="5" borderId="0" applyAlignment="1" pivotButton="0" quotePrefix="0" xfId="0">
      <alignment horizontal="right"/>
    </xf>
    <xf numFmtId="166" fontId="9" fillId="5" borderId="0" applyAlignment="1" pivotButton="0" quotePrefix="0" xfId="0">
      <alignment horizontal="right"/>
    </xf>
    <xf numFmtId="167" fontId="7" fillId="6" borderId="0" applyAlignment="1" pivotButton="0" quotePrefix="0" xfId="0">
      <alignment horizontal="right"/>
    </xf>
    <xf numFmtId="168" fontId="7" fillId="6" borderId="0" applyAlignment="1" pivotButton="0" quotePrefix="0" xfId="0">
      <alignment horizontal="right"/>
    </xf>
    <xf numFmtId="166" fontId="7" fillId="6" borderId="0" applyAlignment="1" pivotButton="0" quotePrefix="0" xfId="0">
      <alignment horizontal="right"/>
    </xf>
    <xf numFmtId="0" fontId="12" fillId="0" borderId="0" applyAlignment="1" pivotButton="0" quotePrefix="0" xfId="0">
      <alignment vertical="top" wrapText="1"/>
    </xf>
    <xf numFmtId="165" fontId="7" fillId="6" borderId="0" applyAlignment="1" pivotButton="0" quotePrefix="0" xfId="0">
      <alignment horizontal="right"/>
    </xf>
    <xf numFmtId="165" fontId="8" fillId="5" borderId="0" applyAlignment="1" pivotButton="0" quotePrefix="0" xfId="0">
      <alignment horizontal="right"/>
    </xf>
    <xf numFmtId="166" fontId="8" fillId="5" borderId="0" applyAlignment="1" pivotButton="0" quotePrefix="0" xfId="0">
      <alignment horizontal="right"/>
    </xf>
    <xf numFmtId="169" fontId="7" fillId="6" borderId="0" applyAlignment="1" pivotButton="0" quotePrefix="0" xfId="0">
      <alignment horizontal="right"/>
    </xf>
    <xf numFmtId="0" fontId="10" fillId="0" borderId="0" pivotButton="0" quotePrefix="0" xfId="0"/>
    <xf numFmtId="169" fontId="10" fillId="6" borderId="0" applyAlignment="1" pivotButton="0" quotePrefix="0" xfId="0">
      <alignment horizontal="right"/>
    </xf>
    <xf numFmtId="0" fontId="10" fillId="6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8" fontId="0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pivotButton="0" quotePrefix="0" xfId="0"/>
    <xf numFmtId="1" fontId="0" fillId="0" borderId="0" pivotButton="0" quotePrefix="0" xfId="0"/>
    <xf numFmtId="17" fontId="4" fillId="0" borderId="0" pivotButton="0" quotePrefix="0" xfId="0"/>
    <xf numFmtId="165" fontId="5" fillId="0" borderId="0" pivotButton="0" quotePrefix="0" xfId="0"/>
    <xf numFmtId="170" fontId="5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5" fillId="0" borderId="0" pivotButton="0" quotePrefix="0" xfId="0"/>
    <xf numFmtId="0" fontId="5" fillId="0" borderId="0" pivotButton="0" quotePrefix="0" xfId="0"/>
    <xf numFmtId="0" fontId="0" fillId="8" borderId="0" applyAlignment="1" pivotButton="0" quotePrefix="0" xfId="0">
      <alignment vertical="top" wrapText="1"/>
    </xf>
    <xf numFmtId="164" fontId="8" fillId="5" borderId="0" applyAlignment="1" pivotButton="0" quotePrefix="0" xfId="0">
      <alignment horizontal="right"/>
    </xf>
    <xf numFmtId="166" fontId="9" fillId="5" borderId="0" applyAlignment="1" pivotButton="0" quotePrefix="0" xfId="0">
      <alignment horizontal="right"/>
    </xf>
    <xf numFmtId="167" fontId="7" fillId="6" borderId="0" applyAlignment="1" pivotButton="0" quotePrefix="0" xfId="0">
      <alignment horizontal="right"/>
    </xf>
    <xf numFmtId="168" fontId="7" fillId="6" borderId="0" applyAlignment="1" pivotButton="0" quotePrefix="0" xfId="0">
      <alignment horizontal="right"/>
    </xf>
    <xf numFmtId="166" fontId="7" fillId="6" borderId="0" applyAlignment="1" pivotButton="0" quotePrefix="0" xfId="0">
      <alignment horizontal="right"/>
    </xf>
    <xf numFmtId="166" fontId="8" fillId="5" borderId="0" applyAlignment="1" pivotButton="0" quotePrefix="0" xfId="0">
      <alignment horizontal="right"/>
    </xf>
    <xf numFmtId="169" fontId="7" fillId="6" borderId="0" applyAlignment="1" pivotButton="0" quotePrefix="0" xfId="0">
      <alignment horizontal="right"/>
    </xf>
    <xf numFmtId="169" fontId="10" fillId="6" borderId="0" applyAlignment="1" pivotButton="0" quotePrefix="0" xfId="0">
      <alignment horizontal="right"/>
    </xf>
    <xf numFmtId="168" fontId="0" fillId="0" borderId="0" pivotButton="0" quotePrefix="0" xfId="0"/>
    <xf numFmtId="170" fontId="5" fillId="0" borderId="0" pivotButton="0" quotePrefix="0" xfId="0"/>
    <xf numFmtId="169" fontId="0" fillId="0" borderId="0" pivotButton="0" quotePrefix="0" xfId="0"/>
    <xf numFmtId="166" fontId="5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70AD47"/>
        </patternFill>
      </fill>
    </dxf>
    <dxf>
      <fill>
        <patternFill patternType="solid">
          <fgColor rgb="00BF9000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Forward Return by Starting Valuation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'Dashboard'!$A$33:$A$37</f>
            </numRef>
          </cat>
          <val>
            <numRef>
              <f>'Dashboard'!$B$33:$B$37</f>
            </numRef>
          </val>
        </ser>
        <ser>
          <idx val="1"/>
          <order val="1"/>
          <tx>
            <strRef>
              <f>'Dashboard'!C32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'Dashboard'!$A$33:$A$37</f>
            </numRef>
          </cat>
          <val>
            <numRef>
              <f>'Dashboard'!$C$33:$C$37</f>
            </numRef>
          </val>
        </ser>
        <ser>
          <idx val="2"/>
          <order val="2"/>
          <tx>
            <strRef>
              <f>'Dashboard'!D32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'Dashboard'!$A$33:$A$37</f>
            </numRef>
          </cat>
          <val>
            <numRef>
              <f>'Dashboard'!$D$33:$D$37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Regime-normalised valuation quintile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/ CAGR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6" authorId="0" shapeId="0">
      <text>
        <t>NIFTY 50 close, 18 Sep 2026. Sources: https://downstox.com/india-markets ; https://finance.yahoo.com/quote/%5ENSEI/history/</t>
      </text>
    </comment>
    <comment ref="B7" authorId="0" shapeId="0">
      <text>
        <t>NIFTY 50 P/E, 18 Sep 2026. Source: https://downstox.com/nifty-pe/nifty-50 ; underlying source NSE Indices.</t>
      </text>
    </comment>
    <comment ref="B13" authorId="0" shapeId="0">
      <text>
        <t>NIFTY 50 month-end close, 30 Sep 2025. Source: https://www.sensexindia.in/indices/NIFTY-50-Returns.aspx</t>
      </text>
    </comment>
    <comment ref="B14" authorId="0" shapeId="0">
      <text>
        <t>NIFTY 50 Sep-2025 month-end P/E, consolidated basis. Source: https://downstox.com/nifty-pe/nifty-50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5" authorId="0" shapeId="0">
      <text>
        <t>Historical NIFTY 50 close source used for this backtest: https://www.sensexindia.in/indices/NIFTY-50-Returns.aspx ; cross-check available via Yahoo Finance ^NSEI history.</t>
      </text>
    </comment>
    <comment ref="C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" authorId="0" shapeId="0">
      <text>
        <t>Historical NIFTY 50 close source used for this backtest: https://www.sensexindia.in/indices/NIFTY-50-Returns.aspx ; cross-check available via Yahoo Finance ^NSEI history.</t>
      </text>
    </comment>
    <comment ref="C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" authorId="0" shapeId="0">
      <text>
        <t>Historical NIFTY 50 close source used for this backtest: https://www.sensexindia.in/indices/NIFTY-50-Returns.aspx ; cross-check available via Yahoo Finance ^NSEI history.</t>
      </text>
    </comment>
    <comment ref="C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" authorId="0" shapeId="0">
      <text>
        <t>Historical NIFTY 50 close source used for this backtest: https://www.sensexindia.in/indices/NIFTY-50-Returns.aspx ; cross-check available via Yahoo Finance ^NSEI history.</t>
      </text>
    </comment>
    <comment ref="C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" authorId="0" shapeId="0">
      <text>
        <t>Historical NIFTY 50 close source used for this backtest: https://www.sensexindia.in/indices/NIFTY-50-Returns.aspx ; cross-check available via Yahoo Finance ^NSEI history.</t>
      </text>
    </comment>
    <comment ref="C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" authorId="0" shapeId="0">
      <text>
        <t>Historical NIFTY 50 close source used for this backtest: https://www.sensexindia.in/indices/NIFTY-50-Returns.aspx ; cross-check available via Yahoo Finance ^NSEI history.</t>
      </text>
    </comment>
    <comment ref="C1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" authorId="0" shapeId="0">
      <text>
        <t>Historical NIFTY 50 close source used for this backtest: https://www.sensexindia.in/indices/NIFTY-50-Returns.aspx ; cross-check available via Yahoo Finance ^NSEI history.</t>
      </text>
    </comment>
    <comment ref="C1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2" authorId="0" shapeId="0">
      <text>
        <t>Historical NIFTY 50 close source used for this backtest: https://www.sensexindia.in/indices/NIFTY-50-Returns.aspx ; cross-check available via Yahoo Finance ^NSEI history.</t>
      </text>
    </comment>
    <comment ref="C1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3" authorId="0" shapeId="0">
      <text>
        <t>Historical NIFTY 50 close source used for this backtest: https://www.sensexindia.in/indices/NIFTY-50-Returns.aspx ; cross-check available via Yahoo Finance ^NSEI history.</t>
      </text>
    </comment>
    <comment ref="C1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4" authorId="0" shapeId="0">
      <text>
        <t>Historical NIFTY 50 close source used for this backtest: https://www.sensexindia.in/indices/NIFTY-50-Returns.aspx ; cross-check available via Yahoo Finance ^NSEI history.</t>
      </text>
    </comment>
    <comment ref="C1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5" authorId="0" shapeId="0">
      <text>
        <t>Historical NIFTY 50 close source used for this backtest: https://www.sensexindia.in/indices/NIFTY-50-Returns.aspx ; cross-check available via Yahoo Finance ^NSEI history.</t>
      </text>
    </comment>
    <comment ref="C1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6" authorId="0" shapeId="0">
      <text>
        <t>Historical NIFTY 50 close source used for this backtest: https://www.sensexindia.in/indices/NIFTY-50-Returns.aspx ; cross-check available via Yahoo Finance ^NSEI history.</t>
      </text>
    </comment>
    <comment ref="C1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7" authorId="0" shapeId="0">
      <text>
        <t>Historical NIFTY 50 close source used for this backtest: https://www.sensexindia.in/indices/NIFTY-50-Returns.aspx ; cross-check available via Yahoo Finance ^NSEI history.</t>
      </text>
    </comment>
    <comment ref="C1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8" authorId="0" shapeId="0">
      <text>
        <t>Historical NIFTY 50 close source used for this backtest: https://www.sensexindia.in/indices/NIFTY-50-Returns.aspx ; cross-check available via Yahoo Finance ^NSEI history.</t>
      </text>
    </comment>
    <comment ref="C1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9" authorId="0" shapeId="0">
      <text>
        <t>Historical NIFTY 50 close source used for this backtest: https://www.sensexindia.in/indices/NIFTY-50-Returns.aspx ; cross-check available via Yahoo Finance ^NSEI history.</t>
      </text>
    </comment>
    <comment ref="C1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0" authorId="0" shapeId="0">
      <text>
        <t>Historical NIFTY 50 close source used for this backtest: https://www.sensexindia.in/indices/NIFTY-50-Returns.aspx ; cross-check available via Yahoo Finance ^NSEI history.</t>
      </text>
    </comment>
    <comment ref="C2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1" authorId="0" shapeId="0">
      <text>
        <t>Historical NIFTY 50 close source used for this backtest: https://www.sensexindia.in/indices/NIFTY-50-Returns.aspx ; cross-check available via Yahoo Finance ^NSEI history.</t>
      </text>
    </comment>
    <comment ref="C2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2" authorId="0" shapeId="0">
      <text>
        <t>Historical NIFTY 50 close source used for this backtest: https://www.sensexindia.in/indices/NIFTY-50-Returns.aspx ; cross-check available via Yahoo Finance ^NSEI history.</t>
      </text>
    </comment>
    <comment ref="C2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3" authorId="0" shapeId="0">
      <text>
        <t>Historical NIFTY 50 close source used for this backtest: https://www.sensexindia.in/indices/NIFTY-50-Returns.aspx ; cross-check available via Yahoo Finance ^NSEI history.</t>
      </text>
    </comment>
    <comment ref="C2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4" authorId="0" shapeId="0">
      <text>
        <t>Historical NIFTY 50 close source used for this backtest: https://www.sensexindia.in/indices/NIFTY-50-Returns.aspx ; cross-check available via Yahoo Finance ^NSEI history.</t>
      </text>
    </comment>
    <comment ref="C2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5" authorId="0" shapeId="0">
      <text>
        <t>Historical NIFTY 50 close source used for this backtest: https://www.sensexindia.in/indices/NIFTY-50-Returns.aspx ; cross-check available via Yahoo Finance ^NSEI history.</t>
      </text>
    </comment>
    <comment ref="C2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6" authorId="0" shapeId="0">
      <text>
        <t>Historical NIFTY 50 close source used for this backtest: https://www.sensexindia.in/indices/NIFTY-50-Returns.aspx ; cross-check available via Yahoo Finance ^NSEI history.</t>
      </text>
    </comment>
    <comment ref="C2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7" authorId="0" shapeId="0">
      <text>
        <t>Historical NIFTY 50 close source used for this backtest: https://www.sensexindia.in/indices/NIFTY-50-Returns.aspx ; cross-check available via Yahoo Finance ^NSEI history.</t>
      </text>
    </comment>
    <comment ref="C2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8" authorId="0" shapeId="0">
      <text>
        <t>Historical NIFTY 50 close source used for this backtest: https://www.sensexindia.in/indices/NIFTY-50-Returns.aspx ; cross-check available via Yahoo Finance ^NSEI history.</t>
      </text>
    </comment>
    <comment ref="C2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9" authorId="0" shapeId="0">
      <text>
        <t>Historical NIFTY 50 close source used for this backtest: https://www.sensexindia.in/indices/NIFTY-50-Returns.aspx ; cross-check available via Yahoo Finance ^NSEI history.</t>
      </text>
    </comment>
    <comment ref="C2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0" authorId="0" shapeId="0">
      <text>
        <t>Historical NIFTY 50 close source used for this backtest: https://www.sensexindia.in/indices/NIFTY-50-Returns.aspx ; cross-check available via Yahoo Finance ^NSEI history.</t>
      </text>
    </comment>
    <comment ref="C3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1" authorId="0" shapeId="0">
      <text>
        <t>Historical NIFTY 50 close source used for this backtest: https://www.sensexindia.in/indices/NIFTY-50-Returns.aspx ; cross-check available via Yahoo Finance ^NSEI history.</t>
      </text>
    </comment>
    <comment ref="C3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2" authorId="0" shapeId="0">
      <text>
        <t>Historical NIFTY 50 close source used for this backtest: https://www.sensexindia.in/indices/NIFTY-50-Returns.aspx ; cross-check available via Yahoo Finance ^NSEI history.</t>
      </text>
    </comment>
    <comment ref="C3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3" authorId="0" shapeId="0">
      <text>
        <t>Historical NIFTY 50 close source used for this backtest: https://www.sensexindia.in/indices/NIFTY-50-Returns.aspx ; cross-check available via Yahoo Finance ^NSEI history.</t>
      </text>
    </comment>
    <comment ref="C3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4" authorId="0" shapeId="0">
      <text>
        <t>Historical NIFTY 50 close source used for this backtest: https://www.sensexindia.in/indices/NIFTY-50-Returns.aspx ; cross-check available via Yahoo Finance ^NSEI history.</t>
      </text>
    </comment>
    <comment ref="C3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5" authorId="0" shapeId="0">
      <text>
        <t>Historical NIFTY 50 close source used for this backtest: https://www.sensexindia.in/indices/NIFTY-50-Returns.aspx ; cross-check available via Yahoo Finance ^NSEI history.</t>
      </text>
    </comment>
    <comment ref="C3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6" authorId="0" shapeId="0">
      <text>
        <t>Historical NIFTY 50 close source used for this backtest: https://www.sensexindia.in/indices/NIFTY-50-Returns.aspx ; cross-check available via Yahoo Finance ^NSEI history.</t>
      </text>
    </comment>
    <comment ref="C3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7" authorId="0" shapeId="0">
      <text>
        <t>Historical NIFTY 50 close source used for this backtest: https://www.sensexindia.in/indices/NIFTY-50-Returns.aspx ; cross-check available via Yahoo Finance ^NSEI history.</t>
      </text>
    </comment>
    <comment ref="C3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8" authorId="0" shapeId="0">
      <text>
        <t>Historical NIFTY 50 close source used for this backtest: https://www.sensexindia.in/indices/NIFTY-50-Returns.aspx ; cross-check available via Yahoo Finance ^NSEI history.</t>
      </text>
    </comment>
    <comment ref="C3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9" authorId="0" shapeId="0">
      <text>
        <t>Historical NIFTY 50 close source used for this backtest: https://www.sensexindia.in/indices/NIFTY-50-Returns.aspx ; cross-check available via Yahoo Finance ^NSEI history.</t>
      </text>
    </comment>
    <comment ref="C3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0" authorId="0" shapeId="0">
      <text>
        <t>Historical NIFTY 50 close source used for this backtest: https://www.sensexindia.in/indices/NIFTY-50-Returns.aspx ; cross-check available via Yahoo Finance ^NSEI history.</t>
      </text>
    </comment>
    <comment ref="C4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1" authorId="0" shapeId="0">
      <text>
        <t>Historical NIFTY 50 close source used for this backtest: https://www.sensexindia.in/indices/NIFTY-50-Returns.aspx ; cross-check available via Yahoo Finance ^NSEI history.</t>
      </text>
    </comment>
    <comment ref="C4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2" authorId="0" shapeId="0">
      <text>
        <t>Historical NIFTY 50 close source used for this backtest: https://www.sensexindia.in/indices/NIFTY-50-Returns.aspx ; cross-check available via Yahoo Finance ^NSEI history.</t>
      </text>
    </comment>
    <comment ref="C4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3" authorId="0" shapeId="0">
      <text>
        <t>Historical NIFTY 50 close source used for this backtest: https://www.sensexindia.in/indices/NIFTY-50-Returns.aspx ; cross-check available via Yahoo Finance ^NSEI history.</t>
      </text>
    </comment>
    <comment ref="C4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4" authorId="0" shapeId="0">
      <text>
        <t>Historical NIFTY 50 close source used for this backtest: https://www.sensexindia.in/indices/NIFTY-50-Returns.aspx ; cross-check available via Yahoo Finance ^NSEI history.</t>
      </text>
    </comment>
    <comment ref="C4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5" authorId="0" shapeId="0">
      <text>
        <t>Historical NIFTY 50 close source used for this backtest: https://www.sensexindia.in/indices/NIFTY-50-Returns.aspx ; cross-check available via Yahoo Finance ^NSEI history.</t>
      </text>
    </comment>
    <comment ref="C4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6" authorId="0" shapeId="0">
      <text>
        <t>Historical NIFTY 50 close source used for this backtest: https://www.sensexindia.in/indices/NIFTY-50-Returns.aspx ; cross-check available via Yahoo Finance ^NSEI history.</t>
      </text>
    </comment>
    <comment ref="C4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7" authorId="0" shapeId="0">
      <text>
        <t>Historical NIFTY 50 close source used for this backtest: https://www.sensexindia.in/indices/NIFTY-50-Returns.aspx ; cross-check available via Yahoo Finance ^NSEI history.</t>
      </text>
    </comment>
    <comment ref="C4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8" authorId="0" shapeId="0">
      <text>
        <t>Historical NIFTY 50 close source used for this backtest: https://www.sensexindia.in/indices/NIFTY-50-Returns.aspx ; cross-check available via Yahoo Finance ^NSEI history.</t>
      </text>
    </comment>
    <comment ref="C4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9" authorId="0" shapeId="0">
      <text>
        <t>Historical NIFTY 50 close source used for this backtest: https://www.sensexindia.in/indices/NIFTY-50-Returns.aspx ; cross-check available via Yahoo Finance ^NSEI history.</t>
      </text>
    </comment>
    <comment ref="C4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0" authorId="0" shapeId="0">
      <text>
        <t>Historical NIFTY 50 close source used for this backtest: https://www.sensexindia.in/indices/NIFTY-50-Returns.aspx ; cross-check available via Yahoo Finance ^NSEI history.</t>
      </text>
    </comment>
    <comment ref="C5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1" authorId="0" shapeId="0">
      <text>
        <t>Historical NIFTY 50 close source used for this backtest: https://www.sensexindia.in/indices/NIFTY-50-Returns.aspx ; cross-check available via Yahoo Finance ^NSEI history.</t>
      </text>
    </comment>
    <comment ref="C5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2" authorId="0" shapeId="0">
      <text>
        <t>Historical NIFTY 50 close source used for this backtest: https://www.sensexindia.in/indices/NIFTY-50-Returns.aspx ; cross-check available via Yahoo Finance ^NSEI history.</t>
      </text>
    </comment>
    <comment ref="C5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3" authorId="0" shapeId="0">
      <text>
        <t>Historical NIFTY 50 close source used for this backtest: https://www.sensexindia.in/indices/NIFTY-50-Returns.aspx ; cross-check available via Yahoo Finance ^NSEI history.</t>
      </text>
    </comment>
    <comment ref="C5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4" authorId="0" shapeId="0">
      <text>
        <t>Historical NIFTY 50 close source used for this backtest: https://www.sensexindia.in/indices/NIFTY-50-Returns.aspx ; cross-check available via Yahoo Finance ^NSEI history.</t>
      </text>
    </comment>
    <comment ref="C5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5" authorId="0" shapeId="0">
      <text>
        <t>Historical NIFTY 50 close source used for this backtest: https://www.sensexindia.in/indices/NIFTY-50-Returns.aspx ; cross-check available via Yahoo Finance ^NSEI history.</t>
      </text>
    </comment>
    <comment ref="C5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6" authorId="0" shapeId="0">
      <text>
        <t>Historical NIFTY 50 close source used for this backtest: https://www.sensexindia.in/indices/NIFTY-50-Returns.aspx ; cross-check available via Yahoo Finance ^NSEI history.</t>
      </text>
    </comment>
    <comment ref="C5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7" authorId="0" shapeId="0">
      <text>
        <t>Historical NIFTY 50 close source used for this backtest: https://www.sensexindia.in/indices/NIFTY-50-Returns.aspx ; cross-check available via Yahoo Finance ^NSEI history.</t>
      </text>
    </comment>
    <comment ref="C5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8" authorId="0" shapeId="0">
      <text>
        <t>Historical NIFTY 50 close source used for this backtest: https://www.sensexindia.in/indices/NIFTY-50-Returns.aspx ; cross-check available via Yahoo Finance ^NSEI history.</t>
      </text>
    </comment>
    <comment ref="C5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9" authorId="0" shapeId="0">
      <text>
        <t>Historical NIFTY 50 close source used for this backtest: https://www.sensexindia.in/indices/NIFTY-50-Returns.aspx ; cross-check available via Yahoo Finance ^NSEI history.</t>
      </text>
    </comment>
    <comment ref="C5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0" authorId="0" shapeId="0">
      <text>
        <t>Historical NIFTY 50 close source used for this backtest: https://www.sensexindia.in/indices/NIFTY-50-Returns.aspx ; cross-check available via Yahoo Finance ^NSEI history.</t>
      </text>
    </comment>
    <comment ref="C6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1" authorId="0" shapeId="0">
      <text>
        <t>Historical NIFTY 50 close source used for this backtest: https://www.sensexindia.in/indices/NIFTY-50-Returns.aspx ; cross-check available via Yahoo Finance ^NSEI history.</t>
      </text>
    </comment>
    <comment ref="C6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2" authorId="0" shapeId="0">
      <text>
        <t>Historical NIFTY 50 close source used for this backtest: https://www.sensexindia.in/indices/NIFTY-50-Returns.aspx ; cross-check available via Yahoo Finance ^NSEI history.</t>
      </text>
    </comment>
    <comment ref="C6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3" authorId="0" shapeId="0">
      <text>
        <t>Historical NIFTY 50 close source used for this backtest: https://www.sensexindia.in/indices/NIFTY-50-Returns.aspx ; cross-check available via Yahoo Finance ^NSEI history.</t>
      </text>
    </comment>
    <comment ref="C6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4" authorId="0" shapeId="0">
      <text>
        <t>Historical NIFTY 50 close source used for this backtest: https://www.sensexindia.in/indices/NIFTY-50-Returns.aspx ; cross-check available via Yahoo Finance ^NSEI history.</t>
      </text>
    </comment>
    <comment ref="C6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5" authorId="0" shapeId="0">
      <text>
        <t>Historical NIFTY 50 close source used for this backtest: https://www.sensexindia.in/indices/NIFTY-50-Returns.aspx ; cross-check available via Yahoo Finance ^NSEI history.</t>
      </text>
    </comment>
    <comment ref="C6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6" authorId="0" shapeId="0">
      <text>
        <t>Historical NIFTY 50 close source used for this backtest: https://www.sensexindia.in/indices/NIFTY-50-Returns.aspx ; cross-check available via Yahoo Finance ^NSEI history.</t>
      </text>
    </comment>
    <comment ref="C6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7" authorId="0" shapeId="0">
      <text>
        <t>Historical NIFTY 50 close source used for this backtest: https://www.sensexindia.in/indices/NIFTY-50-Returns.aspx ; cross-check available via Yahoo Finance ^NSEI history.</t>
      </text>
    </comment>
    <comment ref="C6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8" authorId="0" shapeId="0">
      <text>
        <t>Historical NIFTY 50 close source used for this backtest: https://www.sensexindia.in/indices/NIFTY-50-Returns.aspx ; cross-check available via Yahoo Finance ^NSEI history.</t>
      </text>
    </comment>
    <comment ref="C6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9" authorId="0" shapeId="0">
      <text>
        <t>Historical NIFTY 50 close source used for this backtest: https://www.sensexindia.in/indices/NIFTY-50-Returns.aspx ; cross-check available via Yahoo Finance ^NSEI history.</t>
      </text>
    </comment>
    <comment ref="C6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0" authorId="0" shapeId="0">
      <text>
        <t>Historical NIFTY 50 close source used for this backtest: https://www.sensexindia.in/indices/NIFTY-50-Returns.aspx ; cross-check available via Yahoo Finance ^NSEI history.</t>
      </text>
    </comment>
    <comment ref="C7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1" authorId="0" shapeId="0">
      <text>
        <t>Historical NIFTY 50 close source used for this backtest: https://www.sensexindia.in/indices/NIFTY-50-Returns.aspx ; cross-check available via Yahoo Finance ^NSEI history.</t>
      </text>
    </comment>
    <comment ref="C7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2" authorId="0" shapeId="0">
      <text>
        <t>Historical NIFTY 50 close source used for this backtest: https://www.sensexindia.in/indices/NIFTY-50-Returns.aspx ; cross-check available via Yahoo Finance ^NSEI history.</t>
      </text>
    </comment>
    <comment ref="C7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3" authorId="0" shapeId="0">
      <text>
        <t>Historical NIFTY 50 close source used for this backtest: https://www.sensexindia.in/indices/NIFTY-50-Returns.aspx ; cross-check available via Yahoo Finance ^NSEI history.</t>
      </text>
    </comment>
    <comment ref="C7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4" authorId="0" shapeId="0">
      <text>
        <t>Historical NIFTY 50 close source used for this backtest: https://www.sensexindia.in/indices/NIFTY-50-Returns.aspx ; cross-check available via Yahoo Finance ^NSEI history.</t>
      </text>
    </comment>
    <comment ref="C7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5" authorId="0" shapeId="0">
      <text>
        <t>Historical NIFTY 50 close source used for this backtest: https://www.sensexindia.in/indices/NIFTY-50-Returns.aspx ; cross-check available via Yahoo Finance ^NSEI history.</t>
      </text>
    </comment>
    <comment ref="C7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6" authorId="0" shapeId="0">
      <text>
        <t>Historical NIFTY 50 close source used for this backtest: https://www.sensexindia.in/indices/NIFTY-50-Returns.aspx ; cross-check available via Yahoo Finance ^NSEI history.</t>
      </text>
    </comment>
    <comment ref="C7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7" authorId="0" shapeId="0">
      <text>
        <t>Historical NIFTY 50 close source used for this backtest: https://www.sensexindia.in/indices/NIFTY-50-Returns.aspx ; cross-check available via Yahoo Finance ^NSEI history.</t>
      </text>
    </comment>
    <comment ref="C7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8" authorId="0" shapeId="0">
      <text>
        <t>Historical NIFTY 50 close source used for this backtest: https://www.sensexindia.in/indices/NIFTY-50-Returns.aspx ; cross-check available via Yahoo Finance ^NSEI history.</t>
      </text>
    </comment>
    <comment ref="C7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9" authorId="0" shapeId="0">
      <text>
        <t>Historical NIFTY 50 close source used for this backtest: https://www.sensexindia.in/indices/NIFTY-50-Returns.aspx ; cross-check available via Yahoo Finance ^NSEI history.</t>
      </text>
    </comment>
    <comment ref="C7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0" authorId="0" shapeId="0">
      <text>
        <t>Historical NIFTY 50 close source used for this backtest: https://www.sensexindia.in/indices/NIFTY-50-Returns.aspx ; cross-check available via Yahoo Finance ^NSEI history.</t>
      </text>
    </comment>
    <comment ref="C8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1" authorId="0" shapeId="0">
      <text>
        <t>Historical NIFTY 50 close source used for this backtest: https://www.sensexindia.in/indices/NIFTY-50-Returns.aspx ; cross-check available via Yahoo Finance ^NSEI history.</t>
      </text>
    </comment>
    <comment ref="C8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2" authorId="0" shapeId="0">
      <text>
        <t>Historical NIFTY 50 close source used for this backtest: https://www.sensexindia.in/indices/NIFTY-50-Returns.aspx ; cross-check available via Yahoo Finance ^NSEI history.</t>
      </text>
    </comment>
    <comment ref="C8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3" authorId="0" shapeId="0">
      <text>
        <t>Historical NIFTY 50 close source used for this backtest: https://www.sensexindia.in/indices/NIFTY-50-Returns.aspx ; cross-check available via Yahoo Finance ^NSEI history.</t>
      </text>
    </comment>
    <comment ref="C8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4" authorId="0" shapeId="0">
      <text>
        <t>Historical NIFTY 50 close source used for this backtest: https://www.sensexindia.in/indices/NIFTY-50-Returns.aspx ; cross-check available via Yahoo Finance ^NSEI history.</t>
      </text>
    </comment>
    <comment ref="C8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5" authorId="0" shapeId="0">
      <text>
        <t>Historical NIFTY 50 close source used for this backtest: https://www.sensexindia.in/indices/NIFTY-50-Returns.aspx ; cross-check available via Yahoo Finance ^NSEI history.</t>
      </text>
    </comment>
    <comment ref="C8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6" authorId="0" shapeId="0">
      <text>
        <t>Historical NIFTY 50 close source used for this backtest: https://www.sensexindia.in/indices/NIFTY-50-Returns.aspx ; cross-check available via Yahoo Finance ^NSEI history.</t>
      </text>
    </comment>
    <comment ref="C8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7" authorId="0" shapeId="0">
      <text>
        <t>Historical NIFTY 50 close source used for this backtest: https://www.sensexindia.in/indices/NIFTY-50-Returns.aspx ; cross-check available via Yahoo Finance ^NSEI history.</t>
      </text>
    </comment>
    <comment ref="C8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8" authorId="0" shapeId="0">
      <text>
        <t>Historical NIFTY 50 close source used for this backtest: https://www.sensexindia.in/indices/NIFTY-50-Returns.aspx ; cross-check available via Yahoo Finance ^NSEI history.</t>
      </text>
    </comment>
    <comment ref="C8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9" authorId="0" shapeId="0">
      <text>
        <t>Historical NIFTY 50 close source used for this backtest: https://www.sensexindia.in/indices/NIFTY-50-Returns.aspx ; cross-check available via Yahoo Finance ^NSEI history.</t>
      </text>
    </comment>
    <comment ref="C8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0" authorId="0" shapeId="0">
      <text>
        <t>Historical NIFTY 50 close source used for this backtest: https://www.sensexindia.in/indices/NIFTY-50-Returns.aspx ; cross-check available via Yahoo Finance ^NSEI history.</t>
      </text>
    </comment>
    <comment ref="C9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1" authorId="0" shapeId="0">
      <text>
        <t>Historical NIFTY 50 close source used for this backtest: https://www.sensexindia.in/indices/NIFTY-50-Returns.aspx ; cross-check available via Yahoo Finance ^NSEI history.</t>
      </text>
    </comment>
    <comment ref="C9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2" authorId="0" shapeId="0">
      <text>
        <t>Historical NIFTY 50 close source used for this backtest: https://www.sensexindia.in/indices/NIFTY-50-Returns.aspx ; cross-check available via Yahoo Finance ^NSEI history.</t>
      </text>
    </comment>
    <comment ref="C9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3" authorId="0" shapeId="0">
      <text>
        <t>Historical NIFTY 50 close source used for this backtest: https://www.sensexindia.in/indices/NIFTY-50-Returns.aspx ; cross-check available via Yahoo Finance ^NSEI history.</t>
      </text>
    </comment>
    <comment ref="C9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4" authorId="0" shapeId="0">
      <text>
        <t>Historical NIFTY 50 close source used for this backtest: https://www.sensexindia.in/indices/NIFTY-50-Returns.aspx ; cross-check available via Yahoo Finance ^NSEI history.</t>
      </text>
    </comment>
    <comment ref="C9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5" authorId="0" shapeId="0">
      <text>
        <t>Historical NIFTY 50 close source used for this backtest: https://www.sensexindia.in/indices/NIFTY-50-Returns.aspx ; cross-check available via Yahoo Finance ^NSEI history.</t>
      </text>
    </comment>
    <comment ref="C9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6" authorId="0" shapeId="0">
      <text>
        <t>Historical NIFTY 50 close source used for this backtest: https://www.sensexindia.in/indices/NIFTY-50-Returns.aspx ; cross-check available via Yahoo Finance ^NSEI history.</t>
      </text>
    </comment>
    <comment ref="C9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7" authorId="0" shapeId="0">
      <text>
        <t>Historical NIFTY 50 close source used for this backtest: https://www.sensexindia.in/indices/NIFTY-50-Returns.aspx ; cross-check available via Yahoo Finance ^NSEI history.</t>
      </text>
    </comment>
    <comment ref="C9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8" authorId="0" shapeId="0">
      <text>
        <t>Historical NIFTY 50 close source used for this backtest: https://www.sensexindia.in/indices/NIFTY-50-Returns.aspx ; cross-check available via Yahoo Finance ^NSEI history.</t>
      </text>
    </comment>
    <comment ref="C9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9" authorId="0" shapeId="0">
      <text>
        <t>Historical NIFTY 50 close source used for this backtest: https://www.sensexindia.in/indices/NIFTY-50-Returns.aspx ; cross-check available via Yahoo Finance ^NSEI history.</t>
      </text>
    </comment>
    <comment ref="C9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0" authorId="0" shapeId="0">
      <text>
        <t>Historical NIFTY 50 close source used for this backtest: https://www.sensexindia.in/indices/NIFTY-50-Returns.aspx ; cross-check available via Yahoo Finance ^NSEI history.</t>
      </text>
    </comment>
    <comment ref="C10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1" authorId="0" shapeId="0">
      <text>
        <t>Historical NIFTY 50 close source used for this backtest: https://www.sensexindia.in/indices/NIFTY-50-Returns.aspx ; cross-check available via Yahoo Finance ^NSEI history.</t>
      </text>
    </comment>
    <comment ref="C10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2" authorId="0" shapeId="0">
      <text>
        <t>Historical NIFTY 50 close source used for this backtest: https://www.sensexindia.in/indices/NIFTY-50-Returns.aspx ; cross-check available via Yahoo Finance ^NSEI history.</t>
      </text>
    </comment>
    <comment ref="C10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3" authorId="0" shapeId="0">
      <text>
        <t>Historical NIFTY 50 close source used for this backtest: https://www.sensexindia.in/indices/NIFTY-50-Returns.aspx ; cross-check available via Yahoo Finance ^NSEI history.</t>
      </text>
    </comment>
    <comment ref="C10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4" authorId="0" shapeId="0">
      <text>
        <t>Historical NIFTY 50 close source used for this backtest: https://www.sensexindia.in/indices/NIFTY-50-Returns.aspx ; cross-check available via Yahoo Finance ^NSEI history.</t>
      </text>
    </comment>
    <comment ref="C10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5" authorId="0" shapeId="0">
      <text>
        <t>Historical NIFTY 50 close source used for this backtest: https://www.sensexindia.in/indices/NIFTY-50-Returns.aspx ; cross-check available via Yahoo Finance ^NSEI history.</t>
      </text>
    </comment>
    <comment ref="C10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6" authorId="0" shapeId="0">
      <text>
        <t>Historical NIFTY 50 close source used for this backtest: https://www.sensexindia.in/indices/NIFTY-50-Returns.aspx ; cross-check available via Yahoo Finance ^NSEI history.</t>
      </text>
    </comment>
    <comment ref="C10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7" authorId="0" shapeId="0">
      <text>
        <t>Historical NIFTY 50 close source used for this backtest: https://www.sensexindia.in/indices/NIFTY-50-Returns.aspx ; cross-check available via Yahoo Finance ^NSEI history.</t>
      </text>
    </comment>
    <comment ref="C10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8" authorId="0" shapeId="0">
      <text>
        <t>Historical NIFTY 50 close source used for this backtest: https://www.sensexindia.in/indices/NIFTY-50-Returns.aspx ; cross-check available via Yahoo Finance ^NSEI history.</t>
      </text>
    </comment>
    <comment ref="C10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9" authorId="0" shapeId="0">
      <text>
        <t>Historical NIFTY 50 close source used for this backtest: https://www.sensexindia.in/indices/NIFTY-50-Returns.aspx ; cross-check available via Yahoo Finance ^NSEI history.</t>
      </text>
    </comment>
    <comment ref="C10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0" authorId="0" shapeId="0">
      <text>
        <t>Historical NIFTY 50 close source used for this backtest: https://www.sensexindia.in/indices/NIFTY-50-Returns.aspx ; cross-check available via Yahoo Finance ^NSEI history.</t>
      </text>
    </comment>
    <comment ref="C11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1" authorId="0" shapeId="0">
      <text>
        <t>Historical NIFTY 50 close source used for this backtest: https://www.sensexindia.in/indices/NIFTY-50-Returns.aspx ; cross-check available via Yahoo Finance ^NSEI history.</t>
      </text>
    </comment>
    <comment ref="C11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2" authorId="0" shapeId="0">
      <text>
        <t>Historical NIFTY 50 close source used for this backtest: https://www.sensexindia.in/indices/NIFTY-50-Returns.aspx ; cross-check available via Yahoo Finance ^NSEI history.</t>
      </text>
    </comment>
    <comment ref="C11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3" authorId="0" shapeId="0">
      <text>
        <t>Historical NIFTY 50 close source used for this backtest: https://www.sensexindia.in/indices/NIFTY-50-Returns.aspx ; cross-check available via Yahoo Finance ^NSEI history.</t>
      </text>
    </comment>
    <comment ref="C11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4" authorId="0" shapeId="0">
      <text>
        <t>Historical NIFTY 50 close source used for this backtest: https://www.sensexindia.in/indices/NIFTY-50-Returns.aspx ; cross-check available via Yahoo Finance ^NSEI history.</t>
      </text>
    </comment>
    <comment ref="C11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B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30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NIFTY 50 Valuation &amp; Forward-Return Tracker</t>
        </is>
      </c>
    </row>
    <row r="2" ht="34" customHeight="1">
      <c r="A2" s="2" t="inlineStr">
        <is>
          <t>Methodology-adjusted valuation signal. BUY / HOLD / SELL is a long-horizon allocation signal, not a short-term trading call or a recommendation to short the index.</t>
        </is>
      </c>
    </row>
    <row r="4" ht="20" customHeight="1">
      <c r="A4" s="3" t="inlineStr">
        <is>
          <t>LIVE SIGNAL</t>
        </is>
      </c>
    </row>
    <row r="5">
      <c r="A5" s="4" t="inlineStr">
        <is>
          <t>As of</t>
        </is>
      </c>
      <c r="B5" s="42" t="n">
        <v>46283</v>
      </c>
      <c r="D5" s="6">
        <f>B20</f>
        <v/>
      </c>
    </row>
    <row r="6">
      <c r="A6" s="4" t="inlineStr">
        <is>
          <t>NIFTY 50 Close</t>
        </is>
      </c>
      <c r="B6" s="7" t="n">
        <v>23346.4</v>
      </c>
    </row>
    <row r="7">
      <c r="A7" s="4" t="inlineStr">
        <is>
          <t>Current P/E</t>
        </is>
      </c>
      <c r="B7" s="43" t="n">
        <v>19.74</v>
      </c>
    </row>
    <row r="8">
      <c r="A8" s="4" t="inlineStr">
        <is>
          <t>Earnings Yield</t>
        </is>
      </c>
      <c r="B8" s="44">
        <f>IFERROR(1/B7,"")</f>
        <v/>
      </c>
    </row>
    <row r="9">
      <c r="A9" s="4" t="inlineStr">
        <is>
          <t>Post-2021 P/E Percentile</t>
        </is>
      </c>
      <c r="B9" s="45">
        <f>IFERROR((COUNTIF(PE_History_Post2021!$B$5:$B$2000,"&lt;"&amp;B7)+0.5*COUNTIF(PE_History_Post2021!$B$5:$B$2000,B7))/COUNT(PE_History_Post2021!$B$5:$B$2000),"")</f>
        <v/>
      </c>
    </row>
    <row r="10">
      <c r="A10" s="4" t="inlineStr">
        <is>
          <t>Era Median P/E</t>
        </is>
      </c>
      <c r="B10" s="46">
        <f>IFERROR(MEDIAN(PE_History_Post2021!$B$5:$B$2000),"")</f>
        <v/>
      </c>
      <c r="D10" s="12">
        <f>IF(B20="BUY","Valuation is unusually low versus the consolidated-earnings era; gradual allocation is historically favoured.",IF(B20="HOLD","Valuation/growth mix is neutral; maintain strategic allocation.","Valuation/growth mix is unfavourable; consider reducing fresh allocation rather than shorting."))</f>
        <v/>
      </c>
    </row>
    <row r="11">
      <c r="A11" s="4" t="inlineStr">
        <is>
          <t>Current Implied EPS</t>
        </is>
      </c>
      <c r="B11" s="13">
        <f>IFERROR(B6/B7,"")</f>
        <v/>
      </c>
    </row>
    <row r="12">
      <c r="A12" s="4" t="inlineStr">
        <is>
          <t>Prior-year comparison month</t>
        </is>
      </c>
      <c r="B12" s="42" t="n">
        <v>45930</v>
      </c>
    </row>
    <row r="13">
      <c r="A13" s="4" t="inlineStr">
        <is>
          <t>Prior-year NIFTY close</t>
        </is>
      </c>
      <c r="B13" s="14" t="n">
        <v>24691.95</v>
      </c>
    </row>
    <row r="14">
      <c r="A14" s="4" t="inlineStr">
        <is>
          <t>Prior-year P/E</t>
        </is>
      </c>
      <c r="B14" s="47" t="n">
        <v>21.8</v>
      </c>
    </row>
    <row r="15">
      <c r="A15" s="4" t="inlineStr">
        <is>
          <t>Prior-year Implied EPS</t>
        </is>
      </c>
      <c r="B15" s="13">
        <f>IFERROR(B13/B14,"")</f>
        <v/>
      </c>
    </row>
    <row r="16">
      <c r="A16" s="4" t="inlineStr">
        <is>
          <t>Approx. YoY Implied EPS Growth</t>
        </is>
      </c>
      <c r="B16" s="45">
        <f>IFERROR(B11/B15-1,"")</f>
        <v/>
      </c>
    </row>
    <row r="17">
      <c r="A17" s="4" t="inlineStr">
        <is>
          <t>Valuation Score</t>
        </is>
      </c>
      <c r="B17" s="48">
        <f>IF(B9="","",100*(1-B9))</f>
        <v/>
      </c>
    </row>
    <row r="18">
      <c r="A18" s="4" t="inlineStr">
        <is>
          <t>Growth Score</t>
        </is>
      </c>
      <c r="B18" s="48">
        <f>IF(B16="","",IF(B16&lt;=0,20,IF(B16&lt;5%,20+400*B16,IF(B16&lt;10%,40+400*(B16-5%),IF(B16&lt;15%,60+400*(B16-10%),IF(B16&lt;25%,80+200*(B16-15%),100))))))</f>
        <v/>
      </c>
    </row>
    <row r="19">
      <c r="A19" s="17" t="inlineStr">
        <is>
          <t>Composite Score</t>
        </is>
      </c>
      <c r="B19" s="49">
        <f>IF(OR(B17="",B18=""),"",70%*B17+30%*B18)</f>
        <v/>
      </c>
    </row>
    <row r="20">
      <c r="A20" s="17" t="inlineStr">
        <is>
          <t>Signal</t>
        </is>
      </c>
      <c r="B20" s="19">
        <f>IF(B19="","",IF(B19&gt;=70,"BUY",IF(B19&gt;=40,"HOLD","SELL")))</f>
        <v/>
      </c>
    </row>
    <row r="23" ht="20" customHeight="1">
      <c r="A23" s="3" t="inlineStr">
        <is>
          <t>SIGNAL RULE</t>
        </is>
      </c>
    </row>
    <row r="24">
      <c r="A24" s="20" t="inlineStr">
        <is>
          <t>Component</t>
        </is>
      </c>
      <c r="B24" s="20" t="inlineStr">
        <is>
          <t>Weight</t>
        </is>
      </c>
      <c r="C24" s="20" t="inlineStr">
        <is>
          <t>Definition</t>
        </is>
      </c>
    </row>
    <row r="25">
      <c r="A25" t="inlineStr">
        <is>
          <t>Valuation percentile</t>
        </is>
      </c>
      <c r="B25" s="21" t="inlineStr">
        <is>
          <t>70%</t>
        </is>
      </c>
      <c r="C25" s="22" t="inlineStr">
        <is>
          <t>Lower regime-relative P/E = higher score</t>
        </is>
      </c>
    </row>
    <row r="26">
      <c r="A26" t="inlineStr">
        <is>
          <t>YoY implied EPS growth</t>
        </is>
      </c>
      <c r="B26" s="21" t="inlineStr">
        <is>
          <t>30%</t>
        </is>
      </c>
      <c r="C26" s="22" t="inlineStr">
        <is>
          <t>Higher index EPS growth = higher score</t>
        </is>
      </c>
    </row>
    <row r="27">
      <c r="A27" t="inlineStr">
        <is>
          <t>BUY</t>
        </is>
      </c>
      <c r="B27" s="21" t="inlineStr">
        <is>
          <t>Score ≥ 70</t>
        </is>
      </c>
      <c r="C27" s="22" t="inlineStr">
        <is>
          <t>Long-horizon valuation signal</t>
        </is>
      </c>
    </row>
    <row r="28">
      <c r="A28" t="inlineStr">
        <is>
          <t>HOLD</t>
        </is>
      </c>
      <c r="B28" s="21" t="inlineStr">
        <is>
          <t>40 ≤ Score &lt; 70</t>
        </is>
      </c>
      <c r="C28" s="22" t="inlineStr">
        <is>
          <t>Neutral / maintain strategic allocation</t>
        </is>
      </c>
    </row>
    <row r="29">
      <c r="A29" t="inlineStr">
        <is>
          <t>SELL</t>
        </is>
      </c>
      <c r="B29" s="21" t="inlineStr">
        <is>
          <t>Score &lt; 40</t>
        </is>
      </c>
      <c r="C29" s="22" t="inlineStr">
        <is>
          <t>Reduce/avoid fresh allocation; not a short call</t>
        </is>
      </c>
    </row>
    <row r="31" ht="20" customHeight="1">
      <c r="A31" s="3" t="inlineStr">
        <is>
          <t>REGIME-NORMALISED BACKTEST — MEDIAN FORWARD PRICE RETURNS</t>
        </is>
      </c>
    </row>
    <row r="32">
      <c r="A32" s="20" t="inlineStr">
        <is>
          <t>Valuation Quintile</t>
        </is>
      </c>
      <c r="B32" s="20" t="inlineStr">
        <is>
          <t>1Y</t>
        </is>
      </c>
      <c r="C32" s="20" t="inlineStr">
        <is>
          <t>3Y CAGR</t>
        </is>
      </c>
      <c r="D32" s="20" t="inlineStr">
        <is>
          <t>5Y CAGR</t>
        </is>
      </c>
      <c r="E32" s="20" t="inlineStr">
        <is>
          <t>10Y CAGR</t>
        </is>
      </c>
    </row>
    <row r="33">
      <c r="A33" t="inlineStr">
        <is>
          <t>Q1 Cheapest</t>
        </is>
      </c>
      <c r="B33" s="50">
        <f>Backtest!D6</f>
        <v/>
      </c>
      <c r="C33" s="50">
        <f>Backtest!D15</f>
        <v/>
      </c>
      <c r="D33" s="50">
        <f>Backtest!D24</f>
        <v/>
      </c>
      <c r="E33" s="50">
        <f>Backtest!D33</f>
        <v/>
      </c>
    </row>
    <row r="34">
      <c r="A34" t="inlineStr">
        <is>
          <t>Q2</t>
        </is>
      </c>
      <c r="B34" s="50">
        <f>Backtest!D7</f>
        <v/>
      </c>
      <c r="C34" s="50">
        <f>Backtest!D16</f>
        <v/>
      </c>
      <c r="D34" s="50">
        <f>Backtest!D25</f>
        <v/>
      </c>
      <c r="E34" s="50">
        <f>Backtest!D34</f>
        <v/>
      </c>
    </row>
    <row r="35">
      <c r="A35" t="inlineStr">
        <is>
          <t>Q3</t>
        </is>
      </c>
      <c r="B35" s="50">
        <f>Backtest!D8</f>
        <v/>
      </c>
      <c r="C35" s="50">
        <f>Backtest!D17</f>
        <v/>
      </c>
      <c r="D35" s="50">
        <f>Backtest!D26</f>
        <v/>
      </c>
      <c r="E35" s="50">
        <f>Backtest!D35</f>
        <v/>
      </c>
    </row>
    <row r="36">
      <c r="A36" t="inlineStr">
        <is>
          <t>Q4</t>
        </is>
      </c>
      <c r="B36" s="50">
        <f>Backtest!D9</f>
        <v/>
      </c>
      <c r="C36" s="50">
        <f>Backtest!D18</f>
        <v/>
      </c>
      <c r="D36" s="50">
        <f>Backtest!D27</f>
        <v/>
      </c>
      <c r="E36" s="50">
        <f>Backtest!D36</f>
        <v/>
      </c>
    </row>
    <row r="37">
      <c r="A37" t="inlineStr">
        <is>
          <t>Q5 Most Expensive</t>
        </is>
      </c>
      <c r="B37" s="50">
        <f>Backtest!D10</f>
        <v/>
      </c>
      <c r="C37" s="50">
        <f>Backtest!D19</f>
        <v/>
      </c>
      <c r="D37" s="50">
        <f>Backtest!D28</f>
        <v/>
      </c>
      <c r="E37" s="50">
        <f>Backtest!D37</f>
        <v/>
      </c>
    </row>
  </sheetData>
  <mergeCells count="7">
    <mergeCell ref="A2:L2"/>
    <mergeCell ref="A31:H31"/>
    <mergeCell ref="A1:L1"/>
    <mergeCell ref="A23:H23"/>
    <mergeCell ref="D10:H11"/>
    <mergeCell ref="D5:H9"/>
    <mergeCell ref="A4:L4"/>
  </mergeCells>
  <conditionalFormatting sqref="D5:H9">
    <cfRule type="expression" priority="1" dxfId="0">
      <formula>$B$20="BUY"</formula>
    </cfRule>
    <cfRule type="expression" priority="2" dxfId="1">
      <formula>$B$20="HOLD"</formula>
    </cfRule>
    <cfRule type="expression" priority="3" dxfId="2">
      <formula>$B$20="SELL"</formula>
    </cfRule>
  </conditionalFormatting>
  <pageMargins left="0.75" right="0.75" top="1" bottom="1" header="0.5" footer="0.5"/>
  <pageSetup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</cols>
  <sheetData>
    <row r="1" ht="28" customHeight="1">
      <c r="A1" s="1" t="inlineStr">
        <is>
          <t>Regime-Normalised P/E vs Forward NIFTY 50 Returns</t>
        </is>
      </c>
    </row>
    <row r="2" ht="34" customHeight="1">
      <c r="A2" s="2" t="inlineStr">
        <is>
          <t>Each P/E observation is ranked only against its own methodology regime. Quarter-end sampling is used to reduce overlap. Returns are price returns, not TRI.</t>
        </is>
      </c>
    </row>
    <row r="4" ht="20" customHeight="1">
      <c r="A4" s="3" t="inlineStr">
        <is>
          <t>1-YEAR FORWARD RETURN</t>
        </is>
      </c>
    </row>
    <row r="5">
      <c r="A5" s="20" t="inlineStr">
        <is>
          <t>Valuation Quintile</t>
        </is>
      </c>
      <c r="B5" s="20" t="inlineStr">
        <is>
          <t>N</t>
        </is>
      </c>
      <c r="C5" s="20" t="inlineStr">
        <is>
          <t>Average</t>
        </is>
      </c>
      <c r="D5" s="20" t="inlineStr">
        <is>
          <t>Median</t>
        </is>
      </c>
      <c r="E5" s="20" t="inlineStr">
        <is>
          <t>Positive %</t>
        </is>
      </c>
      <c r="F5" s="20" t="inlineStr">
        <is>
          <t>Loss %</t>
        </is>
      </c>
      <c r="G5" s="20" t="inlineStr">
        <is>
          <t>Worst</t>
        </is>
      </c>
      <c r="H5" s="20" t="inlineStr">
        <is>
          <t>Best</t>
        </is>
      </c>
    </row>
    <row r="6">
      <c r="A6" t="inlineStr">
        <is>
          <t>Q1 Cheapest</t>
        </is>
      </c>
      <c r="B6">
        <f>COUNTIFS(Quarterly_Data!$H$5:$H$114,A6,Quarterly_Data!$I$5:$I$114,"&lt;&gt;")</f>
        <v/>
      </c>
      <c r="C6" s="50">
        <f>IFERROR(AVERAGEIFS(Quarterly_Data!$I$5:$I$114,Quarterly_Data!$H$5:$H$114,A6),"")</f>
        <v/>
      </c>
      <c r="D6" s="50">
        <f>IFERROR(AGGREGATE(12,6,Quarterly_Data!$I$5:$I$114/(Quarterly_Data!$H$5:$H$114=A6)),"")</f>
        <v/>
      </c>
      <c r="E6" s="50">
        <f>IFERROR(COUNTIFS(Quarterly_Data!$H$5:$H$114,A6,Quarterly_Data!$I$5:$I$114,"&gt;0")/B6,"")</f>
        <v/>
      </c>
      <c r="F6" s="50">
        <f>IFERROR(COUNTIFS(Quarterly_Data!$H$5:$H$114,A6,Quarterly_Data!$I$5:$I$114,"&lt;0")/B6,"")</f>
        <v/>
      </c>
      <c r="G6" s="50">
        <f>IFERROR(MINIFS(Quarterly_Data!$I$5:$I$114,Quarterly_Data!$H$5:$H$114,A6),"")</f>
        <v/>
      </c>
      <c r="H6" s="50">
        <f>IFERROR(MAXIFS(Quarterly_Data!$I$5:$I$114,Quarterly_Data!$H$5:$H$114,A6),"")</f>
        <v/>
      </c>
    </row>
    <row r="7">
      <c r="A7" t="inlineStr">
        <is>
          <t>Q2</t>
        </is>
      </c>
      <c r="B7">
        <f>COUNTIFS(Quarterly_Data!$H$5:$H$114,A7,Quarterly_Data!$I$5:$I$114,"&lt;&gt;")</f>
        <v/>
      </c>
      <c r="C7" s="50">
        <f>IFERROR(AVERAGEIFS(Quarterly_Data!$I$5:$I$114,Quarterly_Data!$H$5:$H$114,A7),"")</f>
        <v/>
      </c>
      <c r="D7" s="50">
        <f>IFERROR(AGGREGATE(12,6,Quarterly_Data!$I$5:$I$114/(Quarterly_Data!$H$5:$H$114=A7)),"")</f>
        <v/>
      </c>
      <c r="E7" s="50">
        <f>IFERROR(COUNTIFS(Quarterly_Data!$H$5:$H$114,A7,Quarterly_Data!$I$5:$I$114,"&gt;0")/B7,"")</f>
        <v/>
      </c>
      <c r="F7" s="50">
        <f>IFERROR(COUNTIFS(Quarterly_Data!$H$5:$H$114,A7,Quarterly_Data!$I$5:$I$114,"&lt;0")/B7,"")</f>
        <v/>
      </c>
      <c r="G7" s="50">
        <f>IFERROR(MINIFS(Quarterly_Data!$I$5:$I$114,Quarterly_Data!$H$5:$H$114,A7),"")</f>
        <v/>
      </c>
      <c r="H7" s="50">
        <f>IFERROR(MAXIFS(Quarterly_Data!$I$5:$I$114,Quarterly_Data!$H$5:$H$114,A7),"")</f>
        <v/>
      </c>
    </row>
    <row r="8">
      <c r="A8" t="inlineStr">
        <is>
          <t>Q3</t>
        </is>
      </c>
      <c r="B8">
        <f>COUNTIFS(Quarterly_Data!$H$5:$H$114,A8,Quarterly_Data!$I$5:$I$114,"&lt;&gt;")</f>
        <v/>
      </c>
      <c r="C8" s="50">
        <f>IFERROR(AVERAGEIFS(Quarterly_Data!$I$5:$I$114,Quarterly_Data!$H$5:$H$114,A8),"")</f>
        <v/>
      </c>
      <c r="D8" s="50">
        <f>IFERROR(AGGREGATE(12,6,Quarterly_Data!$I$5:$I$114/(Quarterly_Data!$H$5:$H$114=A8)),"")</f>
        <v/>
      </c>
      <c r="E8" s="50">
        <f>IFERROR(COUNTIFS(Quarterly_Data!$H$5:$H$114,A8,Quarterly_Data!$I$5:$I$114,"&gt;0")/B8,"")</f>
        <v/>
      </c>
      <c r="F8" s="50">
        <f>IFERROR(COUNTIFS(Quarterly_Data!$H$5:$H$114,A8,Quarterly_Data!$I$5:$I$114,"&lt;0")/B8,"")</f>
        <v/>
      </c>
      <c r="G8" s="50">
        <f>IFERROR(MINIFS(Quarterly_Data!$I$5:$I$114,Quarterly_Data!$H$5:$H$114,A8),"")</f>
        <v/>
      </c>
      <c r="H8" s="50">
        <f>IFERROR(MAXIFS(Quarterly_Data!$I$5:$I$114,Quarterly_Data!$H$5:$H$114,A8),"")</f>
        <v/>
      </c>
    </row>
    <row r="9">
      <c r="A9" t="inlineStr">
        <is>
          <t>Q4</t>
        </is>
      </c>
      <c r="B9">
        <f>COUNTIFS(Quarterly_Data!$H$5:$H$114,A9,Quarterly_Data!$I$5:$I$114,"&lt;&gt;")</f>
        <v/>
      </c>
      <c r="C9" s="50">
        <f>IFERROR(AVERAGEIFS(Quarterly_Data!$I$5:$I$114,Quarterly_Data!$H$5:$H$114,A9),"")</f>
        <v/>
      </c>
      <c r="D9" s="50">
        <f>IFERROR(AGGREGATE(12,6,Quarterly_Data!$I$5:$I$114/(Quarterly_Data!$H$5:$H$114=A9)),"")</f>
        <v/>
      </c>
      <c r="E9" s="50">
        <f>IFERROR(COUNTIFS(Quarterly_Data!$H$5:$H$114,A9,Quarterly_Data!$I$5:$I$114,"&gt;0")/B9,"")</f>
        <v/>
      </c>
      <c r="F9" s="50">
        <f>IFERROR(COUNTIFS(Quarterly_Data!$H$5:$H$114,A9,Quarterly_Data!$I$5:$I$114,"&lt;0")/B9,"")</f>
        <v/>
      </c>
      <c r="G9" s="50">
        <f>IFERROR(MINIFS(Quarterly_Data!$I$5:$I$114,Quarterly_Data!$H$5:$H$114,A9),"")</f>
        <v/>
      </c>
      <c r="H9" s="50">
        <f>IFERROR(MAXIFS(Quarterly_Data!$I$5:$I$114,Quarterly_Data!$H$5:$H$114,A9),"")</f>
        <v/>
      </c>
    </row>
    <row r="10">
      <c r="A10" t="inlineStr">
        <is>
          <t>Q5 Most Expensive</t>
        </is>
      </c>
      <c r="B10">
        <f>COUNTIFS(Quarterly_Data!$H$5:$H$114,A10,Quarterly_Data!$I$5:$I$114,"&lt;&gt;")</f>
        <v/>
      </c>
      <c r="C10" s="50">
        <f>IFERROR(AVERAGEIFS(Quarterly_Data!$I$5:$I$114,Quarterly_Data!$H$5:$H$114,A10),"")</f>
        <v/>
      </c>
      <c r="D10" s="50">
        <f>IFERROR(AGGREGATE(12,6,Quarterly_Data!$I$5:$I$114/(Quarterly_Data!$H$5:$H$114=A10)),"")</f>
        <v/>
      </c>
      <c r="E10" s="50">
        <f>IFERROR(COUNTIFS(Quarterly_Data!$H$5:$H$114,A10,Quarterly_Data!$I$5:$I$114,"&gt;0")/B10,"")</f>
        <v/>
      </c>
      <c r="F10" s="50">
        <f>IFERROR(COUNTIFS(Quarterly_Data!$H$5:$H$114,A10,Quarterly_Data!$I$5:$I$114,"&lt;0")/B10,"")</f>
        <v/>
      </c>
      <c r="G10" s="50">
        <f>IFERROR(MINIFS(Quarterly_Data!$I$5:$I$114,Quarterly_Data!$H$5:$H$114,A10),"")</f>
        <v/>
      </c>
      <c r="H10" s="50">
        <f>IFERROR(MAXIFS(Quarterly_Data!$I$5:$I$114,Quarterly_Data!$H$5:$H$114,A10),"")</f>
        <v/>
      </c>
    </row>
    <row r="13" ht="20" customHeight="1">
      <c r="A13" s="3" t="inlineStr">
        <is>
          <t>3-YEAR FORWARD CAGR</t>
        </is>
      </c>
    </row>
    <row r="14">
      <c r="A14" s="20" t="inlineStr">
        <is>
          <t>Valuation Quintile</t>
        </is>
      </c>
      <c r="B14" s="20" t="inlineStr">
        <is>
          <t>N</t>
        </is>
      </c>
      <c r="C14" s="20" t="inlineStr">
        <is>
          <t>Average</t>
        </is>
      </c>
      <c r="D14" s="20" t="inlineStr">
        <is>
          <t>Median</t>
        </is>
      </c>
      <c r="E14" s="20" t="inlineStr">
        <is>
          <t>Positive %</t>
        </is>
      </c>
      <c r="F14" s="20" t="inlineStr">
        <is>
          <t>Loss %</t>
        </is>
      </c>
      <c r="G14" s="20" t="inlineStr">
        <is>
          <t>Worst</t>
        </is>
      </c>
      <c r="H14" s="20" t="inlineStr">
        <is>
          <t>Best</t>
        </is>
      </c>
    </row>
    <row r="15">
      <c r="A15" t="inlineStr">
        <is>
          <t>Q1 Cheapest</t>
        </is>
      </c>
      <c r="B15">
        <f>COUNTIFS(Quarterly_Data!$H$5:$H$114,A15,Quarterly_Data!$J$5:$J$114,"&lt;&gt;")</f>
        <v/>
      </c>
      <c r="C15" s="50">
        <f>IFERROR(AVERAGEIFS(Quarterly_Data!$J$5:$J$114,Quarterly_Data!$H$5:$H$114,A15),"")</f>
        <v/>
      </c>
      <c r="D15" s="50">
        <f>IFERROR(AGGREGATE(12,6,Quarterly_Data!$J$5:$J$114/(Quarterly_Data!$H$5:$H$114=A15)),"")</f>
        <v/>
      </c>
      <c r="E15" s="50">
        <f>IFERROR(COUNTIFS(Quarterly_Data!$H$5:$H$114,A15,Quarterly_Data!$J$5:$J$114,"&gt;0")/B15,"")</f>
        <v/>
      </c>
      <c r="F15" s="50">
        <f>IFERROR(COUNTIFS(Quarterly_Data!$H$5:$H$114,A15,Quarterly_Data!$J$5:$J$114,"&lt;0")/B15,"")</f>
        <v/>
      </c>
      <c r="G15" s="50">
        <f>IFERROR(MINIFS(Quarterly_Data!$J$5:$J$114,Quarterly_Data!$H$5:$H$114,A15),"")</f>
        <v/>
      </c>
      <c r="H15" s="50">
        <f>IFERROR(MAXIFS(Quarterly_Data!$J$5:$J$114,Quarterly_Data!$H$5:$H$114,A15),"")</f>
        <v/>
      </c>
    </row>
    <row r="16">
      <c r="A16" t="inlineStr">
        <is>
          <t>Q2</t>
        </is>
      </c>
      <c r="B16">
        <f>COUNTIFS(Quarterly_Data!$H$5:$H$114,A16,Quarterly_Data!$J$5:$J$114,"&lt;&gt;")</f>
        <v/>
      </c>
      <c r="C16" s="50">
        <f>IFERROR(AVERAGEIFS(Quarterly_Data!$J$5:$J$114,Quarterly_Data!$H$5:$H$114,A16),"")</f>
        <v/>
      </c>
      <c r="D16" s="50">
        <f>IFERROR(AGGREGATE(12,6,Quarterly_Data!$J$5:$J$114/(Quarterly_Data!$H$5:$H$114=A16)),"")</f>
        <v/>
      </c>
      <c r="E16" s="50">
        <f>IFERROR(COUNTIFS(Quarterly_Data!$H$5:$H$114,A16,Quarterly_Data!$J$5:$J$114,"&gt;0")/B16,"")</f>
        <v/>
      </c>
      <c r="F16" s="50">
        <f>IFERROR(COUNTIFS(Quarterly_Data!$H$5:$H$114,A16,Quarterly_Data!$J$5:$J$114,"&lt;0")/B16,"")</f>
        <v/>
      </c>
      <c r="G16" s="50">
        <f>IFERROR(MINIFS(Quarterly_Data!$J$5:$J$114,Quarterly_Data!$H$5:$H$114,A16),"")</f>
        <v/>
      </c>
      <c r="H16" s="50">
        <f>IFERROR(MAXIFS(Quarterly_Data!$J$5:$J$114,Quarterly_Data!$H$5:$H$114,A16),"")</f>
        <v/>
      </c>
    </row>
    <row r="17">
      <c r="A17" t="inlineStr">
        <is>
          <t>Q3</t>
        </is>
      </c>
      <c r="B17">
        <f>COUNTIFS(Quarterly_Data!$H$5:$H$114,A17,Quarterly_Data!$J$5:$J$114,"&lt;&gt;")</f>
        <v/>
      </c>
      <c r="C17" s="50">
        <f>IFERROR(AVERAGEIFS(Quarterly_Data!$J$5:$J$114,Quarterly_Data!$H$5:$H$114,A17),"")</f>
        <v/>
      </c>
      <c r="D17" s="50">
        <f>IFERROR(AGGREGATE(12,6,Quarterly_Data!$J$5:$J$114/(Quarterly_Data!$H$5:$H$114=A17)),"")</f>
        <v/>
      </c>
      <c r="E17" s="50">
        <f>IFERROR(COUNTIFS(Quarterly_Data!$H$5:$H$114,A17,Quarterly_Data!$J$5:$J$114,"&gt;0")/B17,"")</f>
        <v/>
      </c>
      <c r="F17" s="50">
        <f>IFERROR(COUNTIFS(Quarterly_Data!$H$5:$H$114,A17,Quarterly_Data!$J$5:$J$114,"&lt;0")/B17,"")</f>
        <v/>
      </c>
      <c r="G17" s="50">
        <f>IFERROR(MINIFS(Quarterly_Data!$J$5:$J$114,Quarterly_Data!$H$5:$H$114,A17),"")</f>
        <v/>
      </c>
      <c r="H17" s="50">
        <f>IFERROR(MAXIFS(Quarterly_Data!$J$5:$J$114,Quarterly_Data!$H$5:$H$114,A17),"")</f>
        <v/>
      </c>
    </row>
    <row r="18">
      <c r="A18" t="inlineStr">
        <is>
          <t>Q4</t>
        </is>
      </c>
      <c r="B18">
        <f>COUNTIFS(Quarterly_Data!$H$5:$H$114,A18,Quarterly_Data!$J$5:$J$114,"&lt;&gt;")</f>
        <v/>
      </c>
      <c r="C18" s="50">
        <f>IFERROR(AVERAGEIFS(Quarterly_Data!$J$5:$J$114,Quarterly_Data!$H$5:$H$114,A18),"")</f>
        <v/>
      </c>
      <c r="D18" s="50">
        <f>IFERROR(AGGREGATE(12,6,Quarterly_Data!$J$5:$J$114/(Quarterly_Data!$H$5:$H$114=A18)),"")</f>
        <v/>
      </c>
      <c r="E18" s="50">
        <f>IFERROR(COUNTIFS(Quarterly_Data!$H$5:$H$114,A18,Quarterly_Data!$J$5:$J$114,"&gt;0")/B18,"")</f>
        <v/>
      </c>
      <c r="F18" s="50">
        <f>IFERROR(COUNTIFS(Quarterly_Data!$H$5:$H$114,A18,Quarterly_Data!$J$5:$J$114,"&lt;0")/B18,"")</f>
        <v/>
      </c>
      <c r="G18" s="50">
        <f>IFERROR(MINIFS(Quarterly_Data!$J$5:$J$114,Quarterly_Data!$H$5:$H$114,A18),"")</f>
        <v/>
      </c>
      <c r="H18" s="50">
        <f>IFERROR(MAXIFS(Quarterly_Data!$J$5:$J$114,Quarterly_Data!$H$5:$H$114,A18),"")</f>
        <v/>
      </c>
    </row>
    <row r="19">
      <c r="A19" t="inlineStr">
        <is>
          <t>Q5 Most Expensive</t>
        </is>
      </c>
      <c r="B19">
        <f>COUNTIFS(Quarterly_Data!$H$5:$H$114,A19,Quarterly_Data!$J$5:$J$114,"&lt;&gt;")</f>
        <v/>
      </c>
      <c r="C19" s="50">
        <f>IFERROR(AVERAGEIFS(Quarterly_Data!$J$5:$J$114,Quarterly_Data!$H$5:$H$114,A19),"")</f>
        <v/>
      </c>
      <c r="D19" s="50">
        <f>IFERROR(AGGREGATE(12,6,Quarterly_Data!$J$5:$J$114/(Quarterly_Data!$H$5:$H$114=A19)),"")</f>
        <v/>
      </c>
      <c r="E19" s="50">
        <f>IFERROR(COUNTIFS(Quarterly_Data!$H$5:$H$114,A19,Quarterly_Data!$J$5:$J$114,"&gt;0")/B19,"")</f>
        <v/>
      </c>
      <c r="F19" s="50">
        <f>IFERROR(COUNTIFS(Quarterly_Data!$H$5:$H$114,A19,Quarterly_Data!$J$5:$J$114,"&lt;0")/B19,"")</f>
        <v/>
      </c>
      <c r="G19" s="50">
        <f>IFERROR(MINIFS(Quarterly_Data!$J$5:$J$114,Quarterly_Data!$H$5:$H$114,A19),"")</f>
        <v/>
      </c>
      <c r="H19" s="50">
        <f>IFERROR(MAXIFS(Quarterly_Data!$J$5:$J$114,Quarterly_Data!$H$5:$H$114,A19),"")</f>
        <v/>
      </c>
    </row>
    <row r="22" ht="20" customHeight="1">
      <c r="A22" s="3" t="inlineStr">
        <is>
          <t>5-YEAR FORWARD CAGR</t>
        </is>
      </c>
    </row>
    <row r="23">
      <c r="A23" s="20" t="inlineStr">
        <is>
          <t>Valuation Quintile</t>
        </is>
      </c>
      <c r="B23" s="20" t="inlineStr">
        <is>
          <t>N</t>
        </is>
      </c>
      <c r="C23" s="20" t="inlineStr">
        <is>
          <t>Average</t>
        </is>
      </c>
      <c r="D23" s="20" t="inlineStr">
        <is>
          <t>Median</t>
        </is>
      </c>
      <c r="E23" s="20" t="inlineStr">
        <is>
          <t>Positive %</t>
        </is>
      </c>
      <c r="F23" s="20" t="inlineStr">
        <is>
          <t>Loss %</t>
        </is>
      </c>
      <c r="G23" s="20" t="inlineStr">
        <is>
          <t>Worst</t>
        </is>
      </c>
      <c r="H23" s="20" t="inlineStr">
        <is>
          <t>Best</t>
        </is>
      </c>
    </row>
    <row r="24">
      <c r="A24" t="inlineStr">
        <is>
          <t>Q1 Cheapest</t>
        </is>
      </c>
      <c r="B24">
        <f>COUNTIFS(Quarterly_Data!$H$5:$H$114,A24,Quarterly_Data!$K$5:$K$114,"&lt;&gt;")</f>
        <v/>
      </c>
      <c r="C24" s="50">
        <f>IFERROR(AVERAGEIFS(Quarterly_Data!$K$5:$K$114,Quarterly_Data!$H$5:$H$114,A24),"")</f>
        <v/>
      </c>
      <c r="D24" s="50">
        <f>IFERROR(AGGREGATE(12,6,Quarterly_Data!$K$5:$K$114/(Quarterly_Data!$H$5:$H$114=A24)),"")</f>
        <v/>
      </c>
      <c r="E24" s="50">
        <f>IFERROR(COUNTIFS(Quarterly_Data!$H$5:$H$114,A24,Quarterly_Data!$K$5:$K$114,"&gt;0")/B24,"")</f>
        <v/>
      </c>
      <c r="F24" s="50">
        <f>IFERROR(COUNTIFS(Quarterly_Data!$H$5:$H$114,A24,Quarterly_Data!$K$5:$K$114,"&lt;0")/B24,"")</f>
        <v/>
      </c>
      <c r="G24" s="50">
        <f>IFERROR(MINIFS(Quarterly_Data!$K$5:$K$114,Quarterly_Data!$H$5:$H$114,A24),"")</f>
        <v/>
      </c>
      <c r="H24" s="50">
        <f>IFERROR(MAXIFS(Quarterly_Data!$K$5:$K$114,Quarterly_Data!$H$5:$H$114,A24),"")</f>
        <v/>
      </c>
    </row>
    <row r="25">
      <c r="A25" t="inlineStr">
        <is>
          <t>Q2</t>
        </is>
      </c>
      <c r="B25">
        <f>COUNTIFS(Quarterly_Data!$H$5:$H$114,A25,Quarterly_Data!$K$5:$K$114,"&lt;&gt;")</f>
        <v/>
      </c>
      <c r="C25" s="50">
        <f>IFERROR(AVERAGEIFS(Quarterly_Data!$K$5:$K$114,Quarterly_Data!$H$5:$H$114,A25),"")</f>
        <v/>
      </c>
      <c r="D25" s="50">
        <f>IFERROR(AGGREGATE(12,6,Quarterly_Data!$K$5:$K$114/(Quarterly_Data!$H$5:$H$114=A25)),"")</f>
        <v/>
      </c>
      <c r="E25" s="50">
        <f>IFERROR(COUNTIFS(Quarterly_Data!$H$5:$H$114,A25,Quarterly_Data!$K$5:$K$114,"&gt;0")/B25,"")</f>
        <v/>
      </c>
      <c r="F25" s="50">
        <f>IFERROR(COUNTIFS(Quarterly_Data!$H$5:$H$114,A25,Quarterly_Data!$K$5:$K$114,"&lt;0")/B25,"")</f>
        <v/>
      </c>
      <c r="G25" s="50">
        <f>IFERROR(MINIFS(Quarterly_Data!$K$5:$K$114,Quarterly_Data!$H$5:$H$114,A25),"")</f>
        <v/>
      </c>
      <c r="H25" s="50">
        <f>IFERROR(MAXIFS(Quarterly_Data!$K$5:$K$114,Quarterly_Data!$H$5:$H$114,A25),"")</f>
        <v/>
      </c>
    </row>
    <row r="26">
      <c r="A26" t="inlineStr">
        <is>
          <t>Q3</t>
        </is>
      </c>
      <c r="B26">
        <f>COUNTIFS(Quarterly_Data!$H$5:$H$114,A26,Quarterly_Data!$K$5:$K$114,"&lt;&gt;")</f>
        <v/>
      </c>
      <c r="C26" s="50">
        <f>IFERROR(AVERAGEIFS(Quarterly_Data!$K$5:$K$114,Quarterly_Data!$H$5:$H$114,A26),"")</f>
        <v/>
      </c>
      <c r="D26" s="50">
        <f>IFERROR(AGGREGATE(12,6,Quarterly_Data!$K$5:$K$114/(Quarterly_Data!$H$5:$H$114=A26)),"")</f>
        <v/>
      </c>
      <c r="E26" s="50">
        <f>IFERROR(COUNTIFS(Quarterly_Data!$H$5:$H$114,A26,Quarterly_Data!$K$5:$K$114,"&gt;0")/B26,"")</f>
        <v/>
      </c>
      <c r="F26" s="50">
        <f>IFERROR(COUNTIFS(Quarterly_Data!$H$5:$H$114,A26,Quarterly_Data!$K$5:$K$114,"&lt;0")/B26,"")</f>
        <v/>
      </c>
      <c r="G26" s="50">
        <f>IFERROR(MINIFS(Quarterly_Data!$K$5:$K$114,Quarterly_Data!$H$5:$H$114,A26),"")</f>
        <v/>
      </c>
      <c r="H26" s="50">
        <f>IFERROR(MAXIFS(Quarterly_Data!$K$5:$K$114,Quarterly_Data!$H$5:$H$114,A26),"")</f>
        <v/>
      </c>
    </row>
    <row r="27">
      <c r="A27" t="inlineStr">
        <is>
          <t>Q4</t>
        </is>
      </c>
      <c r="B27">
        <f>COUNTIFS(Quarterly_Data!$H$5:$H$114,A27,Quarterly_Data!$K$5:$K$114,"&lt;&gt;")</f>
        <v/>
      </c>
      <c r="C27" s="50">
        <f>IFERROR(AVERAGEIFS(Quarterly_Data!$K$5:$K$114,Quarterly_Data!$H$5:$H$114,A27),"")</f>
        <v/>
      </c>
      <c r="D27" s="50">
        <f>IFERROR(AGGREGATE(12,6,Quarterly_Data!$K$5:$K$114/(Quarterly_Data!$H$5:$H$114=A27)),"")</f>
        <v/>
      </c>
      <c r="E27" s="50">
        <f>IFERROR(COUNTIFS(Quarterly_Data!$H$5:$H$114,A27,Quarterly_Data!$K$5:$K$114,"&gt;0")/B27,"")</f>
        <v/>
      </c>
      <c r="F27" s="50">
        <f>IFERROR(COUNTIFS(Quarterly_Data!$H$5:$H$114,A27,Quarterly_Data!$K$5:$K$114,"&lt;0")/B27,"")</f>
        <v/>
      </c>
      <c r="G27" s="50">
        <f>IFERROR(MINIFS(Quarterly_Data!$K$5:$K$114,Quarterly_Data!$H$5:$H$114,A27),"")</f>
        <v/>
      </c>
      <c r="H27" s="50">
        <f>IFERROR(MAXIFS(Quarterly_Data!$K$5:$K$114,Quarterly_Data!$H$5:$H$114,A27),"")</f>
        <v/>
      </c>
    </row>
    <row r="28">
      <c r="A28" t="inlineStr">
        <is>
          <t>Q5 Most Expensive</t>
        </is>
      </c>
      <c r="B28">
        <f>COUNTIFS(Quarterly_Data!$H$5:$H$114,A28,Quarterly_Data!$K$5:$K$114,"&lt;&gt;")</f>
        <v/>
      </c>
      <c r="C28" s="50">
        <f>IFERROR(AVERAGEIFS(Quarterly_Data!$K$5:$K$114,Quarterly_Data!$H$5:$H$114,A28),"")</f>
        <v/>
      </c>
      <c r="D28" s="50">
        <f>IFERROR(AGGREGATE(12,6,Quarterly_Data!$K$5:$K$114/(Quarterly_Data!$H$5:$H$114=A28)),"")</f>
        <v/>
      </c>
      <c r="E28" s="50">
        <f>IFERROR(COUNTIFS(Quarterly_Data!$H$5:$H$114,A28,Quarterly_Data!$K$5:$K$114,"&gt;0")/B28,"")</f>
        <v/>
      </c>
      <c r="F28" s="50">
        <f>IFERROR(COUNTIFS(Quarterly_Data!$H$5:$H$114,A28,Quarterly_Data!$K$5:$K$114,"&lt;0")/B28,"")</f>
        <v/>
      </c>
      <c r="G28" s="50">
        <f>IFERROR(MINIFS(Quarterly_Data!$K$5:$K$114,Quarterly_Data!$H$5:$H$114,A28),"")</f>
        <v/>
      </c>
      <c r="H28" s="50">
        <f>IFERROR(MAXIFS(Quarterly_Data!$K$5:$K$114,Quarterly_Data!$H$5:$H$114,A28),"")</f>
        <v/>
      </c>
    </row>
    <row r="31" ht="20" customHeight="1">
      <c r="A31" s="3" t="inlineStr">
        <is>
          <t>10-YEAR FORWARD CAGR</t>
        </is>
      </c>
    </row>
    <row r="32">
      <c r="A32" s="20" t="inlineStr">
        <is>
          <t>Valuation Quintile</t>
        </is>
      </c>
      <c r="B32" s="20" t="inlineStr">
        <is>
          <t>N</t>
        </is>
      </c>
      <c r="C32" s="20" t="inlineStr">
        <is>
          <t>Average</t>
        </is>
      </c>
      <c r="D32" s="20" t="inlineStr">
        <is>
          <t>Median</t>
        </is>
      </c>
      <c r="E32" s="20" t="inlineStr">
        <is>
          <t>Positive %</t>
        </is>
      </c>
      <c r="F32" s="20" t="inlineStr">
        <is>
          <t>Loss %</t>
        </is>
      </c>
      <c r="G32" s="20" t="inlineStr">
        <is>
          <t>Worst</t>
        </is>
      </c>
      <c r="H32" s="20" t="inlineStr">
        <is>
          <t>Best</t>
        </is>
      </c>
    </row>
    <row r="33">
      <c r="A33" t="inlineStr">
        <is>
          <t>Q1 Cheapest</t>
        </is>
      </c>
      <c r="B33">
        <f>COUNTIFS(Quarterly_Data!$H$5:$H$114,A33,Quarterly_Data!$L$5:$L$114,"&lt;&gt;")</f>
        <v/>
      </c>
      <c r="C33" s="50">
        <f>IFERROR(AVERAGEIFS(Quarterly_Data!$L$5:$L$114,Quarterly_Data!$H$5:$H$114,A33),"")</f>
        <v/>
      </c>
      <c r="D33" s="50">
        <f>IFERROR(AGGREGATE(12,6,Quarterly_Data!$L$5:$L$114/(Quarterly_Data!$H$5:$H$114=A33)),"")</f>
        <v/>
      </c>
      <c r="E33" s="50">
        <f>IFERROR(COUNTIFS(Quarterly_Data!$H$5:$H$114,A33,Quarterly_Data!$L$5:$L$114,"&gt;0")/B33,"")</f>
        <v/>
      </c>
      <c r="F33" s="50">
        <f>IFERROR(COUNTIFS(Quarterly_Data!$H$5:$H$114,A33,Quarterly_Data!$L$5:$L$114,"&lt;0")/B33,"")</f>
        <v/>
      </c>
      <c r="G33" s="50">
        <f>IFERROR(MINIFS(Quarterly_Data!$L$5:$L$114,Quarterly_Data!$H$5:$H$114,A33),"")</f>
        <v/>
      </c>
      <c r="H33" s="50">
        <f>IFERROR(MAXIFS(Quarterly_Data!$L$5:$L$114,Quarterly_Data!$H$5:$H$114,A33),"")</f>
        <v/>
      </c>
    </row>
    <row r="34">
      <c r="A34" t="inlineStr">
        <is>
          <t>Q2</t>
        </is>
      </c>
      <c r="B34">
        <f>COUNTIFS(Quarterly_Data!$H$5:$H$114,A34,Quarterly_Data!$L$5:$L$114,"&lt;&gt;")</f>
        <v/>
      </c>
      <c r="C34" s="50">
        <f>IFERROR(AVERAGEIFS(Quarterly_Data!$L$5:$L$114,Quarterly_Data!$H$5:$H$114,A34),"")</f>
        <v/>
      </c>
      <c r="D34" s="50">
        <f>IFERROR(AGGREGATE(12,6,Quarterly_Data!$L$5:$L$114/(Quarterly_Data!$H$5:$H$114=A34)),"")</f>
        <v/>
      </c>
      <c r="E34" s="50">
        <f>IFERROR(COUNTIFS(Quarterly_Data!$H$5:$H$114,A34,Quarterly_Data!$L$5:$L$114,"&gt;0")/B34,"")</f>
        <v/>
      </c>
      <c r="F34" s="50">
        <f>IFERROR(COUNTIFS(Quarterly_Data!$H$5:$H$114,A34,Quarterly_Data!$L$5:$L$114,"&lt;0")/B34,"")</f>
        <v/>
      </c>
      <c r="G34" s="50">
        <f>IFERROR(MINIFS(Quarterly_Data!$L$5:$L$114,Quarterly_Data!$H$5:$H$114,A34),"")</f>
        <v/>
      </c>
      <c r="H34" s="50">
        <f>IFERROR(MAXIFS(Quarterly_Data!$L$5:$L$114,Quarterly_Data!$H$5:$H$114,A34),"")</f>
        <v/>
      </c>
    </row>
    <row r="35">
      <c r="A35" t="inlineStr">
        <is>
          <t>Q3</t>
        </is>
      </c>
      <c r="B35">
        <f>COUNTIFS(Quarterly_Data!$H$5:$H$114,A35,Quarterly_Data!$L$5:$L$114,"&lt;&gt;")</f>
        <v/>
      </c>
      <c r="C35" s="50">
        <f>IFERROR(AVERAGEIFS(Quarterly_Data!$L$5:$L$114,Quarterly_Data!$H$5:$H$114,A35),"")</f>
        <v/>
      </c>
      <c r="D35" s="50">
        <f>IFERROR(AGGREGATE(12,6,Quarterly_Data!$L$5:$L$114/(Quarterly_Data!$H$5:$H$114=A35)),"")</f>
        <v/>
      </c>
      <c r="E35" s="50">
        <f>IFERROR(COUNTIFS(Quarterly_Data!$H$5:$H$114,A35,Quarterly_Data!$L$5:$L$114,"&gt;0")/B35,"")</f>
        <v/>
      </c>
      <c r="F35" s="50">
        <f>IFERROR(COUNTIFS(Quarterly_Data!$H$5:$H$114,A35,Quarterly_Data!$L$5:$L$114,"&lt;0")/B35,"")</f>
        <v/>
      </c>
      <c r="G35" s="50">
        <f>IFERROR(MINIFS(Quarterly_Data!$L$5:$L$114,Quarterly_Data!$H$5:$H$114,A35),"")</f>
        <v/>
      </c>
      <c r="H35" s="50">
        <f>IFERROR(MAXIFS(Quarterly_Data!$L$5:$L$114,Quarterly_Data!$H$5:$H$114,A35),"")</f>
        <v/>
      </c>
    </row>
    <row r="36">
      <c r="A36" t="inlineStr">
        <is>
          <t>Q4</t>
        </is>
      </c>
      <c r="B36">
        <f>COUNTIFS(Quarterly_Data!$H$5:$H$114,A36,Quarterly_Data!$L$5:$L$114,"&lt;&gt;")</f>
        <v/>
      </c>
      <c r="C36" s="50">
        <f>IFERROR(AVERAGEIFS(Quarterly_Data!$L$5:$L$114,Quarterly_Data!$H$5:$H$114,A36),"")</f>
        <v/>
      </c>
      <c r="D36" s="50">
        <f>IFERROR(AGGREGATE(12,6,Quarterly_Data!$L$5:$L$114/(Quarterly_Data!$H$5:$H$114=A36)),"")</f>
        <v/>
      </c>
      <c r="E36" s="50">
        <f>IFERROR(COUNTIFS(Quarterly_Data!$H$5:$H$114,A36,Quarterly_Data!$L$5:$L$114,"&gt;0")/B36,"")</f>
        <v/>
      </c>
      <c r="F36" s="50">
        <f>IFERROR(COUNTIFS(Quarterly_Data!$H$5:$H$114,A36,Quarterly_Data!$L$5:$L$114,"&lt;0")/B36,"")</f>
        <v/>
      </c>
      <c r="G36" s="50">
        <f>IFERROR(MINIFS(Quarterly_Data!$L$5:$L$114,Quarterly_Data!$H$5:$H$114,A36),"")</f>
        <v/>
      </c>
      <c r="H36" s="50">
        <f>IFERROR(MAXIFS(Quarterly_Data!$L$5:$L$114,Quarterly_Data!$H$5:$H$114,A36),"")</f>
        <v/>
      </c>
    </row>
    <row r="37">
      <c r="A37" t="inlineStr">
        <is>
          <t>Q5 Most Expensive</t>
        </is>
      </c>
      <c r="B37">
        <f>COUNTIFS(Quarterly_Data!$H$5:$H$114,A37,Quarterly_Data!$L$5:$L$114,"&lt;&gt;")</f>
        <v/>
      </c>
      <c r="C37" s="50">
        <f>IFERROR(AVERAGEIFS(Quarterly_Data!$L$5:$L$114,Quarterly_Data!$H$5:$H$114,A37),"")</f>
        <v/>
      </c>
      <c r="D37" s="50">
        <f>IFERROR(AGGREGATE(12,6,Quarterly_Data!$L$5:$L$114/(Quarterly_Data!$H$5:$H$114=A37)),"")</f>
        <v/>
      </c>
      <c r="E37" s="50">
        <f>IFERROR(COUNTIFS(Quarterly_Data!$H$5:$H$114,A37,Quarterly_Data!$L$5:$L$114,"&gt;0")/B37,"")</f>
        <v/>
      </c>
      <c r="F37" s="50">
        <f>IFERROR(COUNTIFS(Quarterly_Data!$H$5:$H$114,A37,Quarterly_Data!$L$5:$L$114,"&lt;0")/B37,"")</f>
        <v/>
      </c>
      <c r="G37" s="50">
        <f>IFERROR(MINIFS(Quarterly_Data!$L$5:$L$114,Quarterly_Data!$H$5:$H$114,A37),"")</f>
        <v/>
      </c>
      <c r="H37" s="50">
        <f>IFERROR(MAXIFS(Quarterly_Data!$L$5:$L$114,Quarterly_Data!$H$5:$H$114,A37),"")</f>
        <v/>
      </c>
    </row>
    <row r="40">
      <c r="A40" s="24" t="inlineStr">
        <is>
          <t>Note: The Q5 bucket contains the 2020–21 earnings-collapse episode, which can make very high trailing P/E look better than a normal expensive market. Use the direction and distribution, not a single point estimate.</t>
        </is>
      </c>
    </row>
  </sheetData>
  <mergeCells count="7">
    <mergeCell ref="A4:H4"/>
    <mergeCell ref="A2:I2"/>
    <mergeCell ref="A1:I1"/>
    <mergeCell ref="A13:H13"/>
    <mergeCell ref="A31:H31"/>
    <mergeCell ref="A22:H22"/>
    <mergeCell ref="A40:H40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3" customWidth="1" min="4" max="4"/>
    <col width="13" customWidth="1" min="5" max="5"/>
    <col width="21" customWidth="1" min="6" max="6"/>
    <col width="4" customWidth="1" min="7" max="7"/>
  </cols>
  <sheetData>
    <row r="1" ht="28" customHeight="1">
      <c r="A1" s="1" t="inlineStr">
        <is>
          <t>Valuation × Earnings Growth Matrix</t>
        </is>
      </c>
    </row>
    <row r="2" ht="34" customHeight="1">
      <c r="A2" s="2" t="inlineStr">
        <is>
          <t>Average forward price CAGR by regime-normalised valuation quintile and YoY implied NIFTY EPS growth. Small cell counts are shown underneath and should be treated cautiously.</t>
        </is>
      </c>
    </row>
    <row r="4" ht="20" customHeight="1">
      <c r="A4" s="3" t="inlineStr">
        <is>
          <t>3-YEAR FORWARD CAGR — AVERAGE</t>
        </is>
      </c>
    </row>
    <row r="5">
      <c r="A5" s="20" t="inlineStr">
        <is>
          <t>EPS Growth</t>
        </is>
      </c>
      <c r="B5" s="20" t="inlineStr">
        <is>
          <t>Q1 Cheapest</t>
        </is>
      </c>
      <c r="C5" s="20" t="inlineStr">
        <is>
          <t>Q2</t>
        </is>
      </c>
      <c r="D5" s="20" t="inlineStr">
        <is>
          <t>Q3</t>
        </is>
      </c>
      <c r="E5" s="20" t="inlineStr">
        <is>
          <t>Q4</t>
        </is>
      </c>
      <c r="F5" s="20" t="inlineStr">
        <is>
          <t>Q5 Most Expensive</t>
        </is>
      </c>
    </row>
    <row r="6">
      <c r="A6" t="inlineStr">
        <is>
          <t>&lt;5%</t>
        </is>
      </c>
      <c r="B6" s="50">
        <f>IFERROR(AVERAGEIFS(Quarterly_Data!$J$5:$J$114,Quarterly_Data!$H$5:$H$114,B$5,Quarterly_Data!$M$5:$M$114,$A6),"")</f>
        <v/>
      </c>
      <c r="C6" s="50">
        <f>IFERROR(AVERAGEIFS(Quarterly_Data!$J$5:$J$114,Quarterly_Data!$H$5:$H$114,C$5,Quarterly_Data!$M$5:$M$114,$A6),"")</f>
        <v/>
      </c>
      <c r="D6" s="50">
        <f>IFERROR(AVERAGEIFS(Quarterly_Data!$J$5:$J$114,Quarterly_Data!$H$5:$H$114,D$5,Quarterly_Data!$M$5:$M$114,$A6),"")</f>
        <v/>
      </c>
      <c r="E6" s="50">
        <f>IFERROR(AVERAGEIFS(Quarterly_Data!$J$5:$J$114,Quarterly_Data!$H$5:$H$114,E$5,Quarterly_Data!$M$5:$M$114,$A6),"")</f>
        <v/>
      </c>
      <c r="F6" s="50">
        <f>IFERROR(AVERAGEIFS(Quarterly_Data!$J$5:$J$114,Quarterly_Data!$H$5:$H$114,F$5,Quarterly_Data!$M$5:$M$114,$A6),"")</f>
        <v/>
      </c>
    </row>
    <row r="7">
      <c r="A7" t="inlineStr">
        <is>
          <t>5-15%</t>
        </is>
      </c>
      <c r="B7" s="50">
        <f>IFERROR(AVERAGEIFS(Quarterly_Data!$J$5:$J$114,Quarterly_Data!$H$5:$H$114,B$5,Quarterly_Data!$M$5:$M$114,$A7),"")</f>
        <v/>
      </c>
      <c r="C7" s="50">
        <f>IFERROR(AVERAGEIFS(Quarterly_Data!$J$5:$J$114,Quarterly_Data!$H$5:$H$114,C$5,Quarterly_Data!$M$5:$M$114,$A7),"")</f>
        <v/>
      </c>
      <c r="D7" s="50">
        <f>IFERROR(AVERAGEIFS(Quarterly_Data!$J$5:$J$114,Quarterly_Data!$H$5:$H$114,D$5,Quarterly_Data!$M$5:$M$114,$A7),"")</f>
        <v/>
      </c>
      <c r="E7" s="50">
        <f>IFERROR(AVERAGEIFS(Quarterly_Data!$J$5:$J$114,Quarterly_Data!$H$5:$H$114,E$5,Quarterly_Data!$M$5:$M$114,$A7),"")</f>
        <v/>
      </c>
      <c r="F7" s="50">
        <f>IFERROR(AVERAGEIFS(Quarterly_Data!$J$5:$J$114,Quarterly_Data!$H$5:$H$114,F$5,Quarterly_Data!$M$5:$M$114,$A7),"")</f>
        <v/>
      </c>
    </row>
    <row r="8">
      <c r="A8" t="inlineStr">
        <is>
          <t>&gt;15%</t>
        </is>
      </c>
      <c r="B8" s="50">
        <f>IFERROR(AVERAGEIFS(Quarterly_Data!$J$5:$J$114,Quarterly_Data!$H$5:$H$114,B$5,Quarterly_Data!$M$5:$M$114,$A8),"")</f>
        <v/>
      </c>
      <c r="C8" s="50">
        <f>IFERROR(AVERAGEIFS(Quarterly_Data!$J$5:$J$114,Quarterly_Data!$H$5:$H$114,C$5,Quarterly_Data!$M$5:$M$114,$A8),"")</f>
        <v/>
      </c>
      <c r="D8" s="50">
        <f>IFERROR(AVERAGEIFS(Quarterly_Data!$J$5:$J$114,Quarterly_Data!$H$5:$H$114,D$5,Quarterly_Data!$M$5:$M$114,$A8),"")</f>
        <v/>
      </c>
      <c r="E8" s="50">
        <f>IFERROR(AVERAGEIFS(Quarterly_Data!$J$5:$J$114,Quarterly_Data!$H$5:$H$114,E$5,Quarterly_Data!$M$5:$M$114,$A8),"")</f>
        <v/>
      </c>
      <c r="F8" s="50">
        <f>IFERROR(AVERAGEIFS(Quarterly_Data!$J$5:$J$114,Quarterly_Data!$H$5:$H$114,F$5,Quarterly_Data!$M$5:$M$114,$A8),"")</f>
        <v/>
      </c>
    </row>
    <row r="10">
      <c r="A10" s="25" t="inlineStr">
        <is>
          <t>Observation count (N)</t>
        </is>
      </c>
    </row>
    <row r="11">
      <c r="A11" t="inlineStr">
        <is>
          <t>&lt;5%</t>
        </is>
      </c>
      <c r="B11" s="26">
        <f>COUNTIFS(Quarterly_Data!$H$5:$H$114,B$5,Quarterly_Data!$M$5:$M$114,$A11,Quarterly_Data!$J$5:$J$114,"&lt;&gt;")</f>
        <v/>
      </c>
      <c r="C11" s="26">
        <f>COUNTIFS(Quarterly_Data!$H$5:$H$114,C$5,Quarterly_Data!$M$5:$M$114,$A11,Quarterly_Data!$J$5:$J$114,"&lt;&gt;")</f>
        <v/>
      </c>
      <c r="D11" s="26">
        <f>COUNTIFS(Quarterly_Data!$H$5:$H$114,D$5,Quarterly_Data!$M$5:$M$114,$A11,Quarterly_Data!$J$5:$J$114,"&lt;&gt;")</f>
        <v/>
      </c>
      <c r="E11" s="26">
        <f>COUNTIFS(Quarterly_Data!$H$5:$H$114,E$5,Quarterly_Data!$M$5:$M$114,$A11,Quarterly_Data!$J$5:$J$114,"&lt;&gt;")</f>
        <v/>
      </c>
      <c r="F11" s="26">
        <f>COUNTIFS(Quarterly_Data!$H$5:$H$114,F$5,Quarterly_Data!$M$5:$M$114,$A11,Quarterly_Data!$J$5:$J$114,"&lt;&gt;")</f>
        <v/>
      </c>
    </row>
    <row r="12">
      <c r="A12" t="inlineStr">
        <is>
          <t>5-15%</t>
        </is>
      </c>
      <c r="B12" s="26">
        <f>COUNTIFS(Quarterly_Data!$H$5:$H$114,B$5,Quarterly_Data!$M$5:$M$114,$A12,Quarterly_Data!$J$5:$J$114,"&lt;&gt;")</f>
        <v/>
      </c>
      <c r="C12" s="26">
        <f>COUNTIFS(Quarterly_Data!$H$5:$H$114,C$5,Quarterly_Data!$M$5:$M$114,$A12,Quarterly_Data!$J$5:$J$114,"&lt;&gt;")</f>
        <v/>
      </c>
      <c r="D12" s="26">
        <f>COUNTIFS(Quarterly_Data!$H$5:$H$114,D$5,Quarterly_Data!$M$5:$M$114,$A12,Quarterly_Data!$J$5:$J$114,"&lt;&gt;")</f>
        <v/>
      </c>
      <c r="E12" s="26">
        <f>COUNTIFS(Quarterly_Data!$H$5:$H$114,E$5,Quarterly_Data!$M$5:$M$114,$A12,Quarterly_Data!$J$5:$J$114,"&lt;&gt;")</f>
        <v/>
      </c>
      <c r="F12" s="26">
        <f>COUNTIFS(Quarterly_Data!$H$5:$H$114,F$5,Quarterly_Data!$M$5:$M$114,$A12,Quarterly_Data!$J$5:$J$114,"&lt;&gt;")</f>
        <v/>
      </c>
    </row>
    <row r="13">
      <c r="A13" t="inlineStr">
        <is>
          <t>&gt;15%</t>
        </is>
      </c>
      <c r="B13" s="26">
        <f>COUNTIFS(Quarterly_Data!$H$5:$H$114,B$5,Quarterly_Data!$M$5:$M$114,$A13,Quarterly_Data!$J$5:$J$114,"&lt;&gt;")</f>
        <v/>
      </c>
      <c r="C13" s="26">
        <f>COUNTIFS(Quarterly_Data!$H$5:$H$114,C$5,Quarterly_Data!$M$5:$M$114,$A13,Quarterly_Data!$J$5:$J$114,"&lt;&gt;")</f>
        <v/>
      </c>
      <c r="D13" s="26">
        <f>COUNTIFS(Quarterly_Data!$H$5:$H$114,D$5,Quarterly_Data!$M$5:$M$114,$A13,Quarterly_Data!$J$5:$J$114,"&lt;&gt;")</f>
        <v/>
      </c>
      <c r="E13" s="26">
        <f>COUNTIFS(Quarterly_Data!$H$5:$H$114,E$5,Quarterly_Data!$M$5:$M$114,$A13,Quarterly_Data!$J$5:$J$114,"&lt;&gt;")</f>
        <v/>
      </c>
      <c r="F13" s="26">
        <f>COUNTIFS(Quarterly_Data!$H$5:$H$114,F$5,Quarterly_Data!$M$5:$M$114,$A13,Quarterly_Data!$J$5:$J$114,"&lt;&gt;")</f>
        <v/>
      </c>
    </row>
    <row r="14" ht="20" customHeight="1">
      <c r="A14" s="3" t="inlineStr">
        <is>
          <t>5-YEAR FORWARD CAGR — AVERAGE</t>
        </is>
      </c>
    </row>
    <row r="15">
      <c r="A15" s="20" t="inlineStr">
        <is>
          <t>EPS Growth</t>
        </is>
      </c>
      <c r="B15" s="20" t="inlineStr">
        <is>
          <t>Q1 Cheapest</t>
        </is>
      </c>
      <c r="C15" s="20" t="inlineStr">
        <is>
          <t>Q2</t>
        </is>
      </c>
      <c r="D15" s="20" t="inlineStr">
        <is>
          <t>Q3</t>
        </is>
      </c>
      <c r="E15" s="20" t="inlineStr">
        <is>
          <t>Q4</t>
        </is>
      </c>
      <c r="F15" s="20" t="inlineStr">
        <is>
          <t>Q5 Most Expensive</t>
        </is>
      </c>
    </row>
    <row r="16">
      <c r="A16" t="inlineStr">
        <is>
          <t>&lt;5%</t>
        </is>
      </c>
      <c r="B16" s="50">
        <f>IFERROR(AVERAGEIFS(Quarterly_Data!$K$5:$K$114,Quarterly_Data!$H$5:$H$114,B$15,Quarterly_Data!$M$5:$M$114,$A16),"")</f>
        <v/>
      </c>
      <c r="C16" s="50">
        <f>IFERROR(AVERAGEIFS(Quarterly_Data!$K$5:$K$114,Quarterly_Data!$H$5:$H$114,C$15,Quarterly_Data!$M$5:$M$114,$A16),"")</f>
        <v/>
      </c>
      <c r="D16" s="50">
        <f>IFERROR(AVERAGEIFS(Quarterly_Data!$K$5:$K$114,Quarterly_Data!$H$5:$H$114,D$15,Quarterly_Data!$M$5:$M$114,$A16),"")</f>
        <v/>
      </c>
      <c r="E16" s="50">
        <f>IFERROR(AVERAGEIFS(Quarterly_Data!$K$5:$K$114,Quarterly_Data!$H$5:$H$114,E$15,Quarterly_Data!$M$5:$M$114,$A16),"")</f>
        <v/>
      </c>
      <c r="F16" s="50">
        <f>IFERROR(AVERAGEIFS(Quarterly_Data!$K$5:$K$114,Quarterly_Data!$H$5:$H$114,F$15,Quarterly_Data!$M$5:$M$114,$A16),"")</f>
        <v/>
      </c>
    </row>
    <row r="17">
      <c r="A17" t="inlineStr">
        <is>
          <t>5-15%</t>
        </is>
      </c>
      <c r="B17" s="50">
        <f>IFERROR(AVERAGEIFS(Quarterly_Data!$K$5:$K$114,Quarterly_Data!$H$5:$H$114,B$15,Quarterly_Data!$M$5:$M$114,$A17),"")</f>
        <v/>
      </c>
      <c r="C17" s="50">
        <f>IFERROR(AVERAGEIFS(Quarterly_Data!$K$5:$K$114,Quarterly_Data!$H$5:$H$114,C$15,Quarterly_Data!$M$5:$M$114,$A17),"")</f>
        <v/>
      </c>
      <c r="D17" s="50">
        <f>IFERROR(AVERAGEIFS(Quarterly_Data!$K$5:$K$114,Quarterly_Data!$H$5:$H$114,D$15,Quarterly_Data!$M$5:$M$114,$A17),"")</f>
        <v/>
      </c>
      <c r="E17" s="50">
        <f>IFERROR(AVERAGEIFS(Quarterly_Data!$K$5:$K$114,Quarterly_Data!$H$5:$H$114,E$15,Quarterly_Data!$M$5:$M$114,$A17),"")</f>
        <v/>
      </c>
      <c r="F17" s="50">
        <f>IFERROR(AVERAGEIFS(Quarterly_Data!$K$5:$K$114,Quarterly_Data!$H$5:$H$114,F$15,Quarterly_Data!$M$5:$M$114,$A17),"")</f>
        <v/>
      </c>
    </row>
    <row r="18">
      <c r="A18" t="inlineStr">
        <is>
          <t>&gt;15%</t>
        </is>
      </c>
      <c r="B18" s="50">
        <f>IFERROR(AVERAGEIFS(Quarterly_Data!$K$5:$K$114,Quarterly_Data!$H$5:$H$114,B$15,Quarterly_Data!$M$5:$M$114,$A18),"")</f>
        <v/>
      </c>
      <c r="C18" s="50">
        <f>IFERROR(AVERAGEIFS(Quarterly_Data!$K$5:$K$114,Quarterly_Data!$H$5:$H$114,C$15,Quarterly_Data!$M$5:$M$114,$A18),"")</f>
        <v/>
      </c>
      <c r="D18" s="50">
        <f>IFERROR(AVERAGEIFS(Quarterly_Data!$K$5:$K$114,Quarterly_Data!$H$5:$H$114,D$15,Quarterly_Data!$M$5:$M$114,$A18),"")</f>
        <v/>
      </c>
      <c r="E18" s="50">
        <f>IFERROR(AVERAGEIFS(Quarterly_Data!$K$5:$K$114,Quarterly_Data!$H$5:$H$114,E$15,Quarterly_Data!$M$5:$M$114,$A18),"")</f>
        <v/>
      </c>
      <c r="F18" s="50">
        <f>IFERROR(AVERAGEIFS(Quarterly_Data!$K$5:$K$114,Quarterly_Data!$H$5:$H$114,F$15,Quarterly_Data!$M$5:$M$114,$A18),"")</f>
        <v/>
      </c>
    </row>
    <row r="20">
      <c r="A20" s="25" t="inlineStr">
        <is>
          <t>Observation count (N)</t>
        </is>
      </c>
    </row>
    <row r="21">
      <c r="A21" t="inlineStr">
        <is>
          <t>&lt;5%</t>
        </is>
      </c>
      <c r="B21" s="26">
        <f>COUNTIFS(Quarterly_Data!$H$5:$H$114,B$15,Quarterly_Data!$M$5:$M$114,$A21,Quarterly_Data!$K$5:$K$114,"&lt;&gt;")</f>
        <v/>
      </c>
      <c r="C21" s="26">
        <f>COUNTIFS(Quarterly_Data!$H$5:$H$114,C$15,Quarterly_Data!$M$5:$M$114,$A21,Quarterly_Data!$K$5:$K$114,"&lt;&gt;")</f>
        <v/>
      </c>
      <c r="D21" s="26">
        <f>COUNTIFS(Quarterly_Data!$H$5:$H$114,D$15,Quarterly_Data!$M$5:$M$114,$A21,Quarterly_Data!$K$5:$K$114,"&lt;&gt;")</f>
        <v/>
      </c>
      <c r="E21" s="26">
        <f>COUNTIFS(Quarterly_Data!$H$5:$H$114,E$15,Quarterly_Data!$M$5:$M$114,$A21,Quarterly_Data!$K$5:$K$114,"&lt;&gt;")</f>
        <v/>
      </c>
      <c r="F21" s="26">
        <f>COUNTIFS(Quarterly_Data!$H$5:$H$114,F$15,Quarterly_Data!$M$5:$M$114,$A21,Quarterly_Data!$K$5:$K$114,"&lt;&gt;")</f>
        <v/>
      </c>
    </row>
    <row r="22">
      <c r="A22" t="inlineStr">
        <is>
          <t>5-15%</t>
        </is>
      </c>
      <c r="B22" s="26">
        <f>COUNTIFS(Quarterly_Data!$H$5:$H$114,B$15,Quarterly_Data!$M$5:$M$114,$A22,Quarterly_Data!$K$5:$K$114,"&lt;&gt;")</f>
        <v/>
      </c>
      <c r="C22" s="26">
        <f>COUNTIFS(Quarterly_Data!$H$5:$H$114,C$15,Quarterly_Data!$M$5:$M$114,$A22,Quarterly_Data!$K$5:$K$114,"&lt;&gt;")</f>
        <v/>
      </c>
      <c r="D22" s="26">
        <f>COUNTIFS(Quarterly_Data!$H$5:$H$114,D$15,Quarterly_Data!$M$5:$M$114,$A22,Quarterly_Data!$K$5:$K$114,"&lt;&gt;")</f>
        <v/>
      </c>
      <c r="E22" s="26">
        <f>COUNTIFS(Quarterly_Data!$H$5:$H$114,E$15,Quarterly_Data!$M$5:$M$114,$A22,Quarterly_Data!$K$5:$K$114,"&lt;&gt;")</f>
        <v/>
      </c>
      <c r="F22" s="26">
        <f>COUNTIFS(Quarterly_Data!$H$5:$H$114,F$15,Quarterly_Data!$M$5:$M$114,$A22,Quarterly_Data!$K$5:$K$114,"&lt;&gt;")</f>
        <v/>
      </c>
    </row>
    <row r="23">
      <c r="A23" t="inlineStr">
        <is>
          <t>&gt;15%</t>
        </is>
      </c>
      <c r="B23" s="26">
        <f>COUNTIFS(Quarterly_Data!$H$5:$H$114,B$15,Quarterly_Data!$M$5:$M$114,$A23,Quarterly_Data!$K$5:$K$114,"&lt;&gt;")</f>
        <v/>
      </c>
      <c r="C23" s="26">
        <f>COUNTIFS(Quarterly_Data!$H$5:$H$114,C$15,Quarterly_Data!$M$5:$M$114,$A23,Quarterly_Data!$K$5:$K$114,"&lt;&gt;")</f>
        <v/>
      </c>
      <c r="D23" s="26">
        <f>COUNTIFS(Quarterly_Data!$H$5:$H$114,D$15,Quarterly_Data!$M$5:$M$114,$A23,Quarterly_Data!$K$5:$K$114,"&lt;&gt;")</f>
        <v/>
      </c>
      <c r="E23" s="26">
        <f>COUNTIFS(Quarterly_Data!$H$5:$H$114,E$15,Quarterly_Data!$M$5:$M$114,$A23,Quarterly_Data!$K$5:$K$114,"&lt;&gt;")</f>
        <v/>
      </c>
      <c r="F23" s="26">
        <f>COUNTIFS(Quarterly_Data!$H$5:$H$114,F$15,Quarterly_Data!$M$5:$M$114,$A23,Quarterly_Data!$K$5:$K$114,"&lt;&gt;")</f>
        <v/>
      </c>
    </row>
  </sheetData>
  <mergeCells count="4">
    <mergeCell ref="A14:G14"/>
    <mergeCell ref="A4:G4"/>
    <mergeCell ref="A2:H2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1" t="inlineStr">
        <is>
          <t>Backtest of Transparent BUY / HOLD / SELL Rule</t>
        </is>
      </c>
    </row>
    <row r="2" ht="34" customHeight="1">
      <c r="A2" s="2" t="inlineStr">
        <is>
          <t>No-lookahead expanding P/E percentile within each regime. The rule uses 70% valuation score + 30% YoY implied EPS-growth score. Results are descriptive, not a guarantee.</t>
        </is>
      </c>
    </row>
    <row r="4" ht="20" customHeight="1">
      <c r="A4" s="3" t="inlineStr">
        <is>
          <t>FORWARD RETURNS BY HISTORICAL SIGNAL</t>
        </is>
      </c>
    </row>
    <row r="5">
      <c r="A5" s="20" t="inlineStr">
        <is>
          <t>Signal</t>
        </is>
      </c>
      <c r="B5" s="20" t="inlineStr">
        <is>
          <t>1Y N</t>
        </is>
      </c>
      <c r="C5" s="20" t="inlineStr">
        <is>
          <t>1Y Avg</t>
        </is>
      </c>
      <c r="D5" s="20" t="inlineStr">
        <is>
          <t>1Y Loss %</t>
        </is>
      </c>
      <c r="E5" s="20" t="inlineStr">
        <is>
          <t>3Y N</t>
        </is>
      </c>
      <c r="F5" s="20" t="inlineStr">
        <is>
          <t>3Y CAGR Avg</t>
        </is>
      </c>
      <c r="G5" s="20" t="inlineStr">
        <is>
          <t>3Y Loss %</t>
        </is>
      </c>
      <c r="H5" s="20" t="inlineStr">
        <is>
          <t>5Y N</t>
        </is>
      </c>
      <c r="I5" s="20" t="inlineStr">
        <is>
          <t>5Y CAGR Avg</t>
        </is>
      </c>
      <c r="J5" s="20" t="inlineStr">
        <is>
          <t>5Y Loss %</t>
        </is>
      </c>
    </row>
    <row r="6">
      <c r="A6" t="inlineStr">
        <is>
          <t>BUY</t>
        </is>
      </c>
      <c r="B6">
        <f>COUNTIFS(Quarterly_Data!$R$5:$R$114,$A6,Quarterly_Data!$I$5:$I$114,"&lt;&gt;")</f>
        <v/>
      </c>
      <c r="C6" s="50">
        <f>IFERROR(AVERAGEIFS(Quarterly_Data!$I$5:$I$114,Quarterly_Data!$R$5:$R$114,$A6),"")</f>
        <v/>
      </c>
      <c r="D6" s="50">
        <f>IFERROR(COUNTIFS(Quarterly_Data!$R$5:$R$114,$A6,Quarterly_Data!$I$5:$I$114,"&lt;0")/B6,"")</f>
        <v/>
      </c>
      <c r="E6">
        <f>COUNTIFS(Quarterly_Data!$R$5:$R$114,$A6,Quarterly_Data!$J$5:$J$114,"&lt;&gt;")</f>
        <v/>
      </c>
      <c r="F6" s="50">
        <f>IFERROR(AVERAGEIFS(Quarterly_Data!$J$5:$J$114,Quarterly_Data!$R$5:$R$114,$A6),"")</f>
        <v/>
      </c>
      <c r="G6" s="50">
        <f>IFERROR(COUNTIFS(Quarterly_Data!$R$5:$R$114,$A6,Quarterly_Data!$J$5:$J$114,"&lt;0")/E6,"")</f>
        <v/>
      </c>
      <c r="H6">
        <f>COUNTIFS(Quarterly_Data!$R$5:$R$114,$A6,Quarterly_Data!$K$5:$K$114,"&lt;&gt;")</f>
        <v/>
      </c>
      <c r="I6" s="50">
        <f>IFERROR(AVERAGEIFS(Quarterly_Data!$K$5:$K$114,Quarterly_Data!$R$5:$R$114,$A6),"")</f>
        <v/>
      </c>
      <c r="J6" s="50">
        <f>IFERROR(COUNTIFS(Quarterly_Data!$R$5:$R$114,$A6,Quarterly_Data!$K$5:$K$114,"&lt;0")/H6,"")</f>
        <v/>
      </c>
    </row>
    <row r="7">
      <c r="A7" t="inlineStr">
        <is>
          <t>HOLD</t>
        </is>
      </c>
      <c r="B7">
        <f>COUNTIFS(Quarterly_Data!$R$5:$R$114,$A7,Quarterly_Data!$I$5:$I$114,"&lt;&gt;")</f>
        <v/>
      </c>
      <c r="C7" s="50">
        <f>IFERROR(AVERAGEIFS(Quarterly_Data!$I$5:$I$114,Quarterly_Data!$R$5:$R$114,$A7),"")</f>
        <v/>
      </c>
      <c r="D7" s="50">
        <f>IFERROR(COUNTIFS(Quarterly_Data!$R$5:$R$114,$A7,Quarterly_Data!$I$5:$I$114,"&lt;0")/B7,"")</f>
        <v/>
      </c>
      <c r="E7">
        <f>COUNTIFS(Quarterly_Data!$R$5:$R$114,$A7,Quarterly_Data!$J$5:$J$114,"&lt;&gt;")</f>
        <v/>
      </c>
      <c r="F7" s="50">
        <f>IFERROR(AVERAGEIFS(Quarterly_Data!$J$5:$J$114,Quarterly_Data!$R$5:$R$114,$A7),"")</f>
        <v/>
      </c>
      <c r="G7" s="50">
        <f>IFERROR(COUNTIFS(Quarterly_Data!$R$5:$R$114,$A7,Quarterly_Data!$J$5:$J$114,"&lt;0")/E7,"")</f>
        <v/>
      </c>
      <c r="H7">
        <f>COUNTIFS(Quarterly_Data!$R$5:$R$114,$A7,Quarterly_Data!$K$5:$K$114,"&lt;&gt;")</f>
        <v/>
      </c>
      <c r="I7" s="50">
        <f>IFERROR(AVERAGEIFS(Quarterly_Data!$K$5:$K$114,Quarterly_Data!$R$5:$R$114,$A7),"")</f>
        <v/>
      </c>
      <c r="J7" s="50">
        <f>IFERROR(COUNTIFS(Quarterly_Data!$R$5:$R$114,$A7,Quarterly_Data!$K$5:$K$114,"&lt;0")/H7,"")</f>
        <v/>
      </c>
    </row>
    <row r="8">
      <c r="A8" t="inlineStr">
        <is>
          <t>SELL</t>
        </is>
      </c>
      <c r="B8">
        <f>COUNTIFS(Quarterly_Data!$R$5:$R$114,$A8,Quarterly_Data!$I$5:$I$114,"&lt;&gt;")</f>
        <v/>
      </c>
      <c r="C8" s="50">
        <f>IFERROR(AVERAGEIFS(Quarterly_Data!$I$5:$I$114,Quarterly_Data!$R$5:$R$114,$A8),"")</f>
        <v/>
      </c>
      <c r="D8" s="50">
        <f>IFERROR(COUNTIFS(Quarterly_Data!$R$5:$R$114,$A8,Quarterly_Data!$I$5:$I$114,"&lt;0")/B8,"")</f>
        <v/>
      </c>
      <c r="E8">
        <f>COUNTIFS(Quarterly_Data!$R$5:$R$114,$A8,Quarterly_Data!$J$5:$J$114,"&lt;&gt;")</f>
        <v/>
      </c>
      <c r="F8" s="50">
        <f>IFERROR(AVERAGEIFS(Quarterly_Data!$J$5:$J$114,Quarterly_Data!$R$5:$R$114,$A8),"")</f>
        <v/>
      </c>
      <c r="G8" s="50">
        <f>IFERROR(COUNTIFS(Quarterly_Data!$R$5:$R$114,$A8,Quarterly_Data!$J$5:$J$114,"&lt;0")/E8,"")</f>
        <v/>
      </c>
      <c r="H8">
        <f>COUNTIFS(Quarterly_Data!$R$5:$R$114,$A8,Quarterly_Data!$K$5:$K$114,"&lt;&gt;")</f>
        <v/>
      </c>
      <c r="I8" s="50">
        <f>IFERROR(AVERAGEIFS(Quarterly_Data!$K$5:$K$114,Quarterly_Data!$R$5:$R$114,$A8),"")</f>
        <v/>
      </c>
      <c r="J8" s="50">
        <f>IFERROR(COUNTIFS(Quarterly_Data!$R$5:$R$114,$A8,Quarterly_Data!$K$5:$K$114,"&lt;0")/H8,"")</f>
        <v/>
      </c>
    </row>
    <row r="11" ht="20" customHeight="1">
      <c r="A11" s="3" t="inlineStr">
        <is>
          <t>RULE DEFINITION</t>
        </is>
      </c>
    </row>
    <row r="12">
      <c r="A12" t="inlineStr">
        <is>
          <t>Valuation score</t>
        </is>
      </c>
      <c r="B12" s="22" t="inlineStr">
        <is>
          <t>100 × (1 − expanding regime PE percentile)</t>
        </is>
      </c>
    </row>
    <row r="13">
      <c r="A13" t="inlineStr">
        <is>
          <t>Growth score</t>
        </is>
      </c>
      <c r="B13" s="22" t="inlineStr">
        <is>
          <t>20–100 piecewise score: ≤0% growth = 20; 5%=40; 10%=60; 15%=80; 25%+=100</t>
        </is>
      </c>
    </row>
    <row r="14">
      <c r="A14" t="inlineStr">
        <is>
          <t>Composite</t>
        </is>
      </c>
      <c r="B14" s="22" t="inlineStr">
        <is>
          <t>70% × Valuation Score + 30% × Growth Score</t>
        </is>
      </c>
    </row>
    <row r="15">
      <c r="A15" t="inlineStr">
        <is>
          <t>BUY</t>
        </is>
      </c>
      <c r="B15" s="22" t="inlineStr">
        <is>
          <t>Composite ≥70</t>
        </is>
      </c>
    </row>
    <row r="16">
      <c r="A16" t="inlineStr">
        <is>
          <t>HOLD</t>
        </is>
      </c>
      <c r="B16" s="22" t="inlineStr">
        <is>
          <t>40–69.9</t>
        </is>
      </c>
    </row>
    <row r="17">
      <c r="A17" t="inlineStr">
        <is>
          <t>SELL</t>
        </is>
      </c>
      <c r="B17" s="22" t="inlineStr">
        <is>
          <t>&lt;40; interpreted as reduce/avoid fresh allocation, not shorting</t>
        </is>
      </c>
    </row>
  </sheetData>
  <mergeCells count="10">
    <mergeCell ref="B16:G16"/>
    <mergeCell ref="A1:J1"/>
    <mergeCell ref="B14:G14"/>
    <mergeCell ref="B17:G17"/>
    <mergeCell ref="A4:J4"/>
    <mergeCell ref="B12:G12"/>
    <mergeCell ref="B13:G13"/>
    <mergeCell ref="A2:J2"/>
    <mergeCell ref="A11:G11"/>
    <mergeCell ref="B15:G15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4" customWidth="1" min="4" max="4"/>
    <col width="12" customWidth="1" min="5" max="5"/>
    <col width="13" customWidth="1" min="6" max="6"/>
    <col width="15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6" customWidth="1" min="14" max="14"/>
    <col width="13" customWidth="1" min="15" max="15"/>
    <col width="12" customWidth="1" min="16" max="16"/>
    <col width="14" customWidth="1" min="17" max="17"/>
    <col width="10" customWidth="1" min="18" max="18"/>
  </cols>
  <sheetData>
    <row r="1" ht="28" customHeight="1">
      <c r="A1" s="1" t="inlineStr">
        <is>
          <t>NIFTY 50 Quarterly Backtest Data</t>
        </is>
      </c>
    </row>
    <row r="2" ht="34" customHeight="1">
      <c r="A2" s="2" t="inlineStr">
        <is>
          <t>Quarter-end sampling reduces overlapping observations. Historical returns are NIFTY 50 Price Return Index returns (dividends excluded). Period-end labels represent month-end observations.</t>
        </is>
      </c>
    </row>
    <row r="4">
      <c r="A4" s="20" t="inlineStr">
        <is>
          <t>Period End</t>
        </is>
      </c>
      <c r="B4" s="20" t="inlineStr">
        <is>
          <t>NIFTY 50 Close</t>
        </is>
      </c>
      <c r="C4" s="20" t="inlineStr">
        <is>
          <t>P/E (TTM)</t>
        </is>
      </c>
      <c r="D4" s="20" t="inlineStr">
        <is>
          <t>P/E Regime</t>
        </is>
      </c>
      <c r="E4" s="20" t="inlineStr">
        <is>
          <t>Implied EPS</t>
        </is>
      </c>
      <c r="F4" s="20" t="inlineStr">
        <is>
          <t>EPS Growth YoY</t>
        </is>
      </c>
      <c r="G4" s="20" t="inlineStr">
        <is>
          <t>Regime PE Percentile</t>
        </is>
      </c>
      <c r="H4" s="20" t="inlineStr">
        <is>
          <t>Valuation Quintile</t>
        </is>
      </c>
      <c r="I4" s="20" t="inlineStr">
        <is>
          <t>Fwd 1Y Return</t>
        </is>
      </c>
      <c r="J4" s="20" t="inlineStr">
        <is>
          <t>Fwd 3Y CAGR</t>
        </is>
      </c>
      <c r="K4" s="20" t="inlineStr">
        <is>
          <t>Fwd 5Y CAGR</t>
        </is>
      </c>
      <c r="L4" s="20" t="inlineStr">
        <is>
          <t>Fwd 10Y CAGR</t>
        </is>
      </c>
      <c r="M4" s="20" t="inlineStr">
        <is>
          <t>Growth Bucket</t>
        </is>
      </c>
      <c r="N4" s="20" t="inlineStr">
        <is>
          <t>Expanding PE Percentile</t>
        </is>
      </c>
      <c r="O4" s="20" t="inlineStr">
        <is>
          <t>Valuation Score</t>
        </is>
      </c>
      <c r="P4" s="20" t="inlineStr">
        <is>
          <t>Growth Score</t>
        </is>
      </c>
      <c r="Q4" s="20" t="inlineStr">
        <is>
          <t>Composite Score</t>
        </is>
      </c>
      <c r="R4" s="20" t="inlineStr">
        <is>
          <t>Signal</t>
        </is>
      </c>
    </row>
    <row r="5">
      <c r="A5" s="27" t="n">
        <v>36250</v>
      </c>
      <c r="B5" s="28" t="n">
        <v>1078</v>
      </c>
      <c r="C5" s="51" t="n">
        <v>16.5</v>
      </c>
      <c r="D5" s="30" t="inlineStr">
        <is>
          <t>Standalone</t>
        </is>
      </c>
      <c r="E5" s="31">
        <f>IFERROR(B5/C5,"")</f>
        <v/>
      </c>
      <c r="F5" s="50" t="inlineStr"/>
      <c r="G5" s="50">
        <f>IFERROR((COUNTIF($C$5:$C$92,"&lt;"&amp;C5)+0.5*COUNTIF($C$5:$C$92,C5))/COUNT($C$5:$C$92),"")</f>
        <v/>
      </c>
      <c r="H5">
        <f>IF(G5="","",IF(G5&lt;=20%,"Q1 Cheapest",IF(G5&lt;=40%,"Q2",IF(G5&lt;=60%,"Q3",IF(G5&lt;=80%,"Q4","Q5 Most Expensive")))))</f>
        <v/>
      </c>
      <c r="I5" s="50">
        <f>IFERROR(B9/B5-1,"")</f>
        <v/>
      </c>
      <c r="J5" s="50">
        <f>IFERROR((B17/B5)^(1/3)-1,"")</f>
        <v/>
      </c>
      <c r="K5" s="50">
        <f>IFERROR((B25/B5)^(1/5)-1,"")</f>
        <v/>
      </c>
      <c r="L5" s="50">
        <f>IFERROR((B45/B5)^(1/10)-1,"")</f>
        <v/>
      </c>
      <c r="M5">
        <f>IF(F5="","",IF(F5&lt;5%,"&lt;5%",IF(F5&lt;15%,"5-15%","&gt;15%")))</f>
        <v/>
      </c>
      <c r="N5" s="50">
        <f>IF(COUNT($C$5:C5)&lt;8,"",(COUNTIF($C$5:C5,"&lt;"&amp;C5)+0.5*COUNTIF($C$5:C5,C5))/COUNT($C$5:C5))</f>
        <v/>
      </c>
      <c r="O5" s="52">
        <f>IF(N5="","",100*(1-N5))</f>
        <v/>
      </c>
      <c r="P5" s="52">
        <f>IF(F5="","",IF(F5&lt;=0,20,IF(F5&lt;5%,20+400*F5,IF(F5&lt;10%,40+400*(F5-5%),IF(F5&lt;15%,60+400*(F5-10%),IF(F5&lt;25%,80+200*(F5-15%),100))))))</f>
        <v/>
      </c>
      <c r="Q5" s="52">
        <f>IF(OR(O5="",P5=""),"",70%*O5+30%*P5)</f>
        <v/>
      </c>
      <c r="R5">
        <f>IF(Q5="","",IF(Q5&gt;=70,"BUY",IF(Q5&gt;=40,"HOLD","SELL")))</f>
        <v/>
      </c>
    </row>
    <row r="6">
      <c r="A6" s="27" t="n">
        <v>36341</v>
      </c>
      <c r="B6" s="28" t="n">
        <v>1187.7</v>
      </c>
      <c r="C6" s="51" t="n">
        <v>17.9</v>
      </c>
      <c r="D6" s="30" t="inlineStr">
        <is>
          <t>Standalone</t>
        </is>
      </c>
      <c r="E6" s="31">
        <f>IFERROR(B6/C6,"")</f>
        <v/>
      </c>
      <c r="F6" s="50" t="inlineStr"/>
      <c r="G6" s="50">
        <f>IFERROR((COUNTIF($C$5:$C$92,"&lt;"&amp;C6)+0.5*COUNTIF($C$5:$C$92,C6))/COUNT($C$5:$C$92),"")</f>
        <v/>
      </c>
      <c r="H6">
        <f>IF(G6="","",IF(G6&lt;=20%,"Q1 Cheapest",IF(G6&lt;=40%,"Q2",IF(G6&lt;=60%,"Q3",IF(G6&lt;=80%,"Q4","Q5 Most Expensive")))))</f>
        <v/>
      </c>
      <c r="I6" s="50">
        <f>IFERROR(B10/B6-1,"")</f>
        <v/>
      </c>
      <c r="J6" s="50">
        <f>IFERROR((B18/B6)^(1/3)-1,"")</f>
        <v/>
      </c>
      <c r="K6" s="50">
        <f>IFERROR((B26/B6)^(1/5)-1,"")</f>
        <v/>
      </c>
      <c r="L6" s="50">
        <f>IFERROR((B46/B6)^(1/10)-1,"")</f>
        <v/>
      </c>
      <c r="M6">
        <f>IF(F6="","",IF(F6&lt;5%,"&lt;5%",IF(F6&lt;15%,"5-15%","&gt;15%")))</f>
        <v/>
      </c>
      <c r="N6" s="50">
        <f>IF(COUNT($C$5:C6)&lt;8,"",(COUNTIF($C$5:C6,"&lt;"&amp;C6)+0.5*COUNTIF($C$5:C6,C6))/COUNT($C$5:C6))</f>
        <v/>
      </c>
      <c r="O6" s="52">
        <f>IF(N6="","",100*(1-N6))</f>
        <v/>
      </c>
      <c r="P6" s="52">
        <f>IF(F6="","",IF(F6&lt;=0,20,IF(F6&lt;5%,20+400*F6,IF(F6&lt;10%,40+400*(F6-5%),IF(F6&lt;15%,60+400*(F6-10%),IF(F6&lt;25%,80+200*(F6-15%),100))))))</f>
        <v/>
      </c>
      <c r="Q6" s="52">
        <f>IF(OR(O6="",P6=""),"",70%*O6+30%*P6)</f>
        <v/>
      </c>
      <c r="R6">
        <f>IF(Q6="","",IF(Q6&gt;=70,"BUY",IF(Q6&gt;=40,"HOLD","SELL")))</f>
        <v/>
      </c>
    </row>
    <row r="7">
      <c r="A7" s="27" t="n">
        <v>36433</v>
      </c>
      <c r="B7" s="28" t="n">
        <v>1413.1</v>
      </c>
      <c r="C7" s="51" t="n">
        <v>22</v>
      </c>
      <c r="D7" s="30" t="inlineStr">
        <is>
          <t>Standalone</t>
        </is>
      </c>
      <c r="E7" s="31">
        <f>IFERROR(B7/C7,"")</f>
        <v/>
      </c>
      <c r="F7" s="50" t="inlineStr"/>
      <c r="G7" s="50">
        <f>IFERROR((COUNTIF($C$5:$C$92,"&lt;"&amp;C7)+0.5*COUNTIF($C$5:$C$92,C7))/COUNT($C$5:$C$92),"")</f>
        <v/>
      </c>
      <c r="H7">
        <f>IF(G7="","",IF(G7&lt;=20%,"Q1 Cheapest",IF(G7&lt;=40%,"Q2",IF(G7&lt;=60%,"Q3",IF(G7&lt;=80%,"Q4","Q5 Most Expensive")))))</f>
        <v/>
      </c>
      <c r="I7" s="50">
        <f>IFERROR(B11/B7-1,"")</f>
        <v/>
      </c>
      <c r="J7" s="50">
        <f>IFERROR((B19/B7)^(1/3)-1,"")</f>
        <v/>
      </c>
      <c r="K7" s="50">
        <f>IFERROR((B27/B7)^(1/5)-1,"")</f>
        <v/>
      </c>
      <c r="L7" s="50">
        <f>IFERROR((B47/B7)^(1/10)-1,"")</f>
        <v/>
      </c>
      <c r="M7">
        <f>IF(F7="","",IF(F7&lt;5%,"&lt;5%",IF(F7&lt;15%,"5-15%","&gt;15%")))</f>
        <v/>
      </c>
      <c r="N7" s="50">
        <f>IF(COUNT($C$5:C7)&lt;8,"",(COUNTIF($C$5:C7,"&lt;"&amp;C7)+0.5*COUNTIF($C$5:C7,C7))/COUNT($C$5:C7))</f>
        <v/>
      </c>
      <c r="O7" s="52">
        <f>IF(N7="","",100*(1-N7))</f>
        <v/>
      </c>
      <c r="P7" s="52">
        <f>IF(F7="","",IF(F7&lt;=0,20,IF(F7&lt;5%,20+400*F7,IF(F7&lt;10%,40+400*(F7-5%),IF(F7&lt;15%,60+400*(F7-10%),IF(F7&lt;25%,80+200*(F7-15%),100))))))</f>
        <v/>
      </c>
      <c r="Q7" s="52">
        <f>IF(OR(O7="",P7=""),"",70%*O7+30%*P7)</f>
        <v/>
      </c>
      <c r="R7">
        <f>IF(Q7="","",IF(Q7&gt;=70,"BUY",IF(Q7&gt;=40,"HOLD","SELL")))</f>
        <v/>
      </c>
    </row>
    <row r="8">
      <c r="A8" s="27" t="n">
        <v>36525</v>
      </c>
      <c r="B8" s="28" t="n">
        <v>1480.4</v>
      </c>
      <c r="C8" s="51" t="n">
        <v>24.1</v>
      </c>
      <c r="D8" s="30" t="inlineStr">
        <is>
          <t>Standalone</t>
        </is>
      </c>
      <c r="E8" s="31">
        <f>IFERROR(B8/C8,"")</f>
        <v/>
      </c>
      <c r="F8" s="50" t="inlineStr"/>
      <c r="G8" s="50">
        <f>IFERROR((COUNTIF($C$5:$C$92,"&lt;"&amp;C8)+0.5*COUNTIF($C$5:$C$92,C8))/COUNT($C$5:$C$92),"")</f>
        <v/>
      </c>
      <c r="H8">
        <f>IF(G8="","",IF(G8&lt;=20%,"Q1 Cheapest",IF(G8&lt;=40%,"Q2",IF(G8&lt;=60%,"Q3",IF(G8&lt;=80%,"Q4","Q5 Most Expensive")))))</f>
        <v/>
      </c>
      <c r="I8" s="50">
        <f>IFERROR(B12/B8-1,"")</f>
        <v/>
      </c>
      <c r="J8" s="50">
        <f>IFERROR((B20/B8)^(1/3)-1,"")</f>
        <v/>
      </c>
      <c r="K8" s="50">
        <f>IFERROR((B28/B8)^(1/5)-1,"")</f>
        <v/>
      </c>
      <c r="L8" s="50">
        <f>IFERROR((B48/B8)^(1/10)-1,"")</f>
        <v/>
      </c>
      <c r="M8">
        <f>IF(F8="","",IF(F8&lt;5%,"&lt;5%",IF(F8&lt;15%,"5-15%","&gt;15%")))</f>
        <v/>
      </c>
      <c r="N8" s="50">
        <f>IF(COUNT($C$5:C8)&lt;8,"",(COUNTIF($C$5:C8,"&lt;"&amp;C8)+0.5*COUNTIF($C$5:C8,C8))/COUNT($C$5:C8))</f>
        <v/>
      </c>
      <c r="O8" s="52">
        <f>IF(N8="","",100*(1-N8))</f>
        <v/>
      </c>
      <c r="P8" s="52">
        <f>IF(F8="","",IF(F8&lt;=0,20,IF(F8&lt;5%,20+400*F8,IF(F8&lt;10%,40+400*(F8-5%),IF(F8&lt;15%,60+400*(F8-10%),IF(F8&lt;25%,80+200*(F8-15%),100))))))</f>
        <v/>
      </c>
      <c r="Q8" s="52">
        <f>IF(OR(O8="",P8=""),"",70%*O8+30%*P8)</f>
        <v/>
      </c>
      <c r="R8">
        <f>IF(Q8="","",IF(Q8&gt;=70,"BUY",IF(Q8&gt;=40,"HOLD","SELL")))</f>
        <v/>
      </c>
    </row>
    <row r="9">
      <c r="A9" s="27" t="n">
        <v>36616</v>
      </c>
      <c r="B9" s="28" t="n">
        <v>1528.4</v>
      </c>
      <c r="C9" s="51" t="n">
        <v>24.6</v>
      </c>
      <c r="D9" s="30" t="inlineStr">
        <is>
          <t>Standalone</t>
        </is>
      </c>
      <c r="E9" s="31">
        <f>IFERROR(B9/C9,"")</f>
        <v/>
      </c>
      <c r="F9" s="50">
        <f>IF(D9=D5,IFERROR(E9/E5-1,""),"")</f>
        <v/>
      </c>
      <c r="G9" s="50">
        <f>IFERROR((COUNTIF($C$5:$C$92,"&lt;"&amp;C9)+0.5*COUNTIF($C$5:$C$92,C9))/COUNT($C$5:$C$92),"")</f>
        <v/>
      </c>
      <c r="H9">
        <f>IF(G9="","",IF(G9&lt;=20%,"Q1 Cheapest",IF(G9&lt;=40%,"Q2",IF(G9&lt;=60%,"Q3",IF(G9&lt;=80%,"Q4","Q5 Most Expensive")))))</f>
        <v/>
      </c>
      <c r="I9" s="50">
        <f>IFERROR(B13/B9-1,"")</f>
        <v/>
      </c>
      <c r="J9" s="50">
        <f>IFERROR((B21/B9)^(1/3)-1,"")</f>
        <v/>
      </c>
      <c r="K9" s="50">
        <f>IFERROR((B29/B9)^(1/5)-1,"")</f>
        <v/>
      </c>
      <c r="L9" s="50">
        <f>IFERROR((B49/B9)^(1/10)-1,"")</f>
        <v/>
      </c>
      <c r="M9">
        <f>IF(F9="","",IF(F9&lt;5%,"&lt;5%",IF(F9&lt;15%,"5-15%","&gt;15%")))</f>
        <v/>
      </c>
      <c r="N9" s="50">
        <f>IF(COUNT($C$5:C9)&lt;8,"",(COUNTIF($C$5:C9,"&lt;"&amp;C9)+0.5*COUNTIF($C$5:C9,C9))/COUNT($C$5:C9))</f>
        <v/>
      </c>
      <c r="O9" s="52">
        <f>IF(N9="","",100*(1-N9))</f>
        <v/>
      </c>
      <c r="P9" s="52">
        <f>IF(F9="","",IF(F9&lt;=0,20,IF(F9&lt;5%,20+400*F9,IF(F9&lt;10%,40+400*(F9-5%),IF(F9&lt;15%,60+400*(F9-10%),IF(F9&lt;25%,80+200*(F9-15%),100))))))</f>
        <v/>
      </c>
      <c r="Q9" s="52">
        <f>IF(OR(O9="",P9=""),"",70%*O9+30%*P9)</f>
        <v/>
      </c>
      <c r="R9">
        <f>IF(Q9="","",IF(Q9&gt;=70,"BUY",IF(Q9&gt;=40,"HOLD","SELL")))</f>
        <v/>
      </c>
    </row>
    <row r="10">
      <c r="A10" s="27" t="n">
        <v>36707</v>
      </c>
      <c r="B10" s="28" t="n">
        <v>1471.4</v>
      </c>
      <c r="C10" s="51" t="n">
        <v>22.9</v>
      </c>
      <c r="D10" s="30" t="inlineStr">
        <is>
          <t>Standalone</t>
        </is>
      </c>
      <c r="E10" s="31">
        <f>IFERROR(B10/C10,"")</f>
        <v/>
      </c>
      <c r="F10" s="50">
        <f>IF(D10=D6,IFERROR(E10/E6-1,""),"")</f>
        <v/>
      </c>
      <c r="G10" s="50">
        <f>IFERROR((COUNTIF($C$5:$C$92,"&lt;"&amp;C10)+0.5*COUNTIF($C$5:$C$92,C10))/COUNT($C$5:$C$92),"")</f>
        <v/>
      </c>
      <c r="H10">
        <f>IF(G10="","",IF(G10&lt;=20%,"Q1 Cheapest",IF(G10&lt;=40%,"Q2",IF(G10&lt;=60%,"Q3",IF(G10&lt;=80%,"Q4","Q5 Most Expensive")))))</f>
        <v/>
      </c>
      <c r="I10" s="50">
        <f>IFERROR(B14/B10-1,"")</f>
        <v/>
      </c>
      <c r="J10" s="50">
        <f>IFERROR((B22/B10)^(1/3)-1,"")</f>
        <v/>
      </c>
      <c r="K10" s="50">
        <f>IFERROR((B30/B10)^(1/5)-1,"")</f>
        <v/>
      </c>
      <c r="L10" s="50">
        <f>IFERROR((B50/B10)^(1/10)-1,"")</f>
        <v/>
      </c>
      <c r="M10">
        <f>IF(F10="","",IF(F10&lt;5%,"&lt;5%",IF(F10&lt;15%,"5-15%","&gt;15%")))</f>
        <v/>
      </c>
      <c r="N10" s="50">
        <f>IF(COUNT($C$5:C10)&lt;8,"",(COUNTIF($C$5:C10,"&lt;"&amp;C10)+0.5*COUNTIF($C$5:C10,C10))/COUNT($C$5:C10))</f>
        <v/>
      </c>
      <c r="O10" s="52">
        <f>IF(N10="","",100*(1-N10))</f>
        <v/>
      </c>
      <c r="P10" s="52">
        <f>IF(F10="","",IF(F10&lt;=0,20,IF(F10&lt;5%,20+400*F10,IF(F10&lt;10%,40+400*(F10-5%),IF(F10&lt;15%,60+400*(F10-10%),IF(F10&lt;25%,80+200*(F10-15%),100))))))</f>
        <v/>
      </c>
      <c r="Q10" s="52">
        <f>IF(OR(O10="",P10=""),"",70%*O10+30%*P10)</f>
        <v/>
      </c>
      <c r="R10">
        <f>IF(Q10="","",IF(Q10&gt;=70,"BUY",IF(Q10&gt;=40,"HOLD","SELL")))</f>
        <v/>
      </c>
    </row>
    <row r="11">
      <c r="A11" s="27" t="n">
        <v>36799</v>
      </c>
      <c r="B11" s="28" t="n">
        <v>1271.6</v>
      </c>
      <c r="C11" s="51" t="n">
        <v>19.3</v>
      </c>
      <c r="D11" s="30" t="inlineStr">
        <is>
          <t>Standalone</t>
        </is>
      </c>
      <c r="E11" s="31">
        <f>IFERROR(B11/C11,"")</f>
        <v/>
      </c>
      <c r="F11" s="50">
        <f>IF(D11=D7,IFERROR(E11/E7-1,""),"")</f>
        <v/>
      </c>
      <c r="G11" s="50">
        <f>IFERROR((COUNTIF($C$5:$C$92,"&lt;"&amp;C11)+0.5*COUNTIF($C$5:$C$92,C11))/COUNT($C$5:$C$92),"")</f>
        <v/>
      </c>
      <c r="H11">
        <f>IF(G11="","",IF(G11&lt;=20%,"Q1 Cheapest",IF(G11&lt;=40%,"Q2",IF(G11&lt;=60%,"Q3",IF(G11&lt;=80%,"Q4","Q5 Most Expensive")))))</f>
        <v/>
      </c>
      <c r="I11" s="50">
        <f>IFERROR(B15/B11-1,"")</f>
        <v/>
      </c>
      <c r="J11" s="50">
        <f>IFERROR((B23/B11)^(1/3)-1,"")</f>
        <v/>
      </c>
      <c r="K11" s="50">
        <f>IFERROR((B31/B11)^(1/5)-1,"")</f>
        <v/>
      </c>
      <c r="L11" s="50">
        <f>IFERROR((B51/B11)^(1/10)-1,"")</f>
        <v/>
      </c>
      <c r="M11">
        <f>IF(F11="","",IF(F11&lt;5%,"&lt;5%",IF(F11&lt;15%,"5-15%","&gt;15%")))</f>
        <v/>
      </c>
      <c r="N11" s="50">
        <f>IF(COUNT($C$5:C11)&lt;8,"",(COUNTIF($C$5:C11,"&lt;"&amp;C11)+0.5*COUNTIF($C$5:C11,C11))/COUNT($C$5:C11))</f>
        <v/>
      </c>
      <c r="O11" s="52">
        <f>IF(N11="","",100*(1-N11))</f>
        <v/>
      </c>
      <c r="P11" s="52">
        <f>IF(F11="","",IF(F11&lt;=0,20,IF(F11&lt;5%,20+400*F11,IF(F11&lt;10%,40+400*(F11-5%),IF(F11&lt;15%,60+400*(F11-10%),IF(F11&lt;25%,80+200*(F11-15%),100))))))</f>
        <v/>
      </c>
      <c r="Q11" s="52">
        <f>IF(OR(O11="",P11=""),"",70%*O11+30%*P11)</f>
        <v/>
      </c>
      <c r="R11">
        <f>IF(Q11="","",IF(Q11&gt;=70,"BUY",IF(Q11&gt;=40,"HOLD","SELL")))</f>
        <v/>
      </c>
    </row>
    <row r="12">
      <c r="A12" s="27" t="n">
        <v>36891</v>
      </c>
      <c r="B12" s="28" t="n">
        <v>1263.5</v>
      </c>
      <c r="C12" s="51" t="n">
        <v>19.2</v>
      </c>
      <c r="D12" s="30" t="inlineStr">
        <is>
          <t>Standalone</t>
        </is>
      </c>
      <c r="E12" s="31">
        <f>IFERROR(B12/C12,"")</f>
        <v/>
      </c>
      <c r="F12" s="50">
        <f>IF(D12=D8,IFERROR(E12/E8-1,""),"")</f>
        <v/>
      </c>
      <c r="G12" s="50">
        <f>IFERROR((COUNTIF($C$5:$C$92,"&lt;"&amp;C12)+0.5*COUNTIF($C$5:$C$92,C12))/COUNT($C$5:$C$92),"")</f>
        <v/>
      </c>
      <c r="H12">
        <f>IF(G12="","",IF(G12&lt;=20%,"Q1 Cheapest",IF(G12&lt;=40%,"Q2",IF(G12&lt;=60%,"Q3",IF(G12&lt;=80%,"Q4","Q5 Most Expensive")))))</f>
        <v/>
      </c>
      <c r="I12" s="50">
        <f>IFERROR(B16/B12-1,"")</f>
        <v/>
      </c>
      <c r="J12" s="50">
        <f>IFERROR((B24/B12)^(1/3)-1,"")</f>
        <v/>
      </c>
      <c r="K12" s="50">
        <f>IFERROR((B32/B12)^(1/5)-1,"")</f>
        <v/>
      </c>
      <c r="L12" s="50">
        <f>IFERROR((B52/B12)^(1/10)-1,"")</f>
        <v/>
      </c>
      <c r="M12">
        <f>IF(F12="","",IF(F12&lt;5%,"&lt;5%",IF(F12&lt;15%,"5-15%","&gt;15%")))</f>
        <v/>
      </c>
      <c r="N12" s="50">
        <f>IF(COUNT($C$5:C12)&lt;8,"",(COUNTIF($C$5:C12,"&lt;"&amp;C12)+0.5*COUNTIF($C$5:C12,C12))/COUNT($C$5:C12))</f>
        <v/>
      </c>
      <c r="O12" s="52">
        <f>IF(N12="","",100*(1-N12))</f>
        <v/>
      </c>
      <c r="P12" s="52">
        <f>IF(F12="","",IF(F12&lt;=0,20,IF(F12&lt;5%,20+400*F12,IF(F12&lt;10%,40+400*(F12-5%),IF(F12&lt;15%,60+400*(F12-10%),IF(F12&lt;25%,80+200*(F12-15%),100))))))</f>
        <v/>
      </c>
      <c r="Q12" s="52">
        <f>IF(OR(O12="",P12=""),"",70%*O12+30%*P12)</f>
        <v/>
      </c>
      <c r="R12">
        <f>IF(Q12="","",IF(Q12&gt;=70,"BUY",IF(Q12&gt;=40,"HOLD","SELL")))</f>
        <v/>
      </c>
    </row>
    <row r="13">
      <c r="A13" s="27" t="n">
        <v>36981</v>
      </c>
      <c r="B13" s="28" t="n">
        <v>1148.2</v>
      </c>
      <c r="C13" s="51" t="n">
        <v>17.2</v>
      </c>
      <c r="D13" s="30" t="inlineStr">
        <is>
          <t>Standalone</t>
        </is>
      </c>
      <c r="E13" s="31">
        <f>IFERROR(B13/C13,"")</f>
        <v/>
      </c>
      <c r="F13" s="50">
        <f>IF(D13=D9,IFERROR(E13/E9-1,""),"")</f>
        <v/>
      </c>
      <c r="G13" s="50">
        <f>IFERROR((COUNTIF($C$5:$C$92,"&lt;"&amp;C13)+0.5*COUNTIF($C$5:$C$92,C13))/COUNT($C$5:$C$92),"")</f>
        <v/>
      </c>
      <c r="H13">
        <f>IF(G13="","",IF(G13&lt;=20%,"Q1 Cheapest",IF(G13&lt;=40%,"Q2",IF(G13&lt;=60%,"Q3",IF(G13&lt;=80%,"Q4","Q5 Most Expensive")))))</f>
        <v/>
      </c>
      <c r="I13" s="50">
        <f>IFERROR(B17/B13-1,"")</f>
        <v/>
      </c>
      <c r="J13" s="50">
        <f>IFERROR((B25/B13)^(1/3)-1,"")</f>
        <v/>
      </c>
      <c r="K13" s="50">
        <f>IFERROR((B33/B13)^(1/5)-1,"")</f>
        <v/>
      </c>
      <c r="L13" s="50">
        <f>IFERROR((B53/B13)^(1/10)-1,"")</f>
        <v/>
      </c>
      <c r="M13">
        <f>IF(F13="","",IF(F13&lt;5%,"&lt;5%",IF(F13&lt;15%,"5-15%","&gt;15%")))</f>
        <v/>
      </c>
      <c r="N13" s="50">
        <f>IF(COUNT($C$5:C13)&lt;8,"",(COUNTIF($C$5:C13,"&lt;"&amp;C13)+0.5*COUNTIF($C$5:C13,C13))/COUNT($C$5:C13))</f>
        <v/>
      </c>
      <c r="O13" s="52">
        <f>IF(N13="","",100*(1-N13))</f>
        <v/>
      </c>
      <c r="P13" s="52">
        <f>IF(F13="","",IF(F13&lt;=0,20,IF(F13&lt;5%,20+400*F13,IF(F13&lt;10%,40+400*(F13-5%),IF(F13&lt;15%,60+400*(F13-10%),IF(F13&lt;25%,80+200*(F13-15%),100))))))</f>
        <v/>
      </c>
      <c r="Q13" s="52">
        <f>IF(OR(O13="",P13=""),"",70%*O13+30%*P13)</f>
        <v/>
      </c>
      <c r="R13">
        <f>IF(Q13="","",IF(Q13&gt;=70,"BUY",IF(Q13&gt;=40,"HOLD","SELL")))</f>
        <v/>
      </c>
    </row>
    <row r="14">
      <c r="A14" s="27" t="n">
        <v>37072</v>
      </c>
      <c r="B14" s="28" t="n">
        <v>1107.9</v>
      </c>
      <c r="C14" s="51" t="n">
        <v>15.8</v>
      </c>
      <c r="D14" s="30" t="inlineStr">
        <is>
          <t>Standalone</t>
        </is>
      </c>
      <c r="E14" s="31">
        <f>IFERROR(B14/C14,"")</f>
        <v/>
      </c>
      <c r="F14" s="50">
        <f>IF(D14=D10,IFERROR(E14/E10-1,""),"")</f>
        <v/>
      </c>
      <c r="G14" s="50">
        <f>IFERROR((COUNTIF($C$5:$C$92,"&lt;"&amp;C14)+0.5*COUNTIF($C$5:$C$92,C14))/COUNT($C$5:$C$92),"")</f>
        <v/>
      </c>
      <c r="H14">
        <f>IF(G14="","",IF(G14&lt;=20%,"Q1 Cheapest",IF(G14&lt;=40%,"Q2",IF(G14&lt;=60%,"Q3",IF(G14&lt;=80%,"Q4","Q5 Most Expensive")))))</f>
        <v/>
      </c>
      <c r="I14" s="50">
        <f>IFERROR(B18/B14-1,"")</f>
        <v/>
      </c>
      <c r="J14" s="50">
        <f>IFERROR((B26/B14)^(1/3)-1,"")</f>
        <v/>
      </c>
      <c r="K14" s="50">
        <f>IFERROR((B34/B14)^(1/5)-1,"")</f>
        <v/>
      </c>
      <c r="L14" s="50">
        <f>IFERROR((B54/B14)^(1/10)-1,"")</f>
        <v/>
      </c>
      <c r="M14">
        <f>IF(F14="","",IF(F14&lt;5%,"&lt;5%",IF(F14&lt;15%,"5-15%","&gt;15%")))</f>
        <v/>
      </c>
      <c r="N14" s="50">
        <f>IF(COUNT($C$5:C14)&lt;8,"",(COUNTIF($C$5:C14,"&lt;"&amp;C14)+0.5*COUNTIF($C$5:C14,C14))/COUNT($C$5:C14))</f>
        <v/>
      </c>
      <c r="O14" s="52">
        <f>IF(N14="","",100*(1-N14))</f>
        <v/>
      </c>
      <c r="P14" s="52">
        <f>IF(F14="","",IF(F14&lt;=0,20,IF(F14&lt;5%,20+400*F14,IF(F14&lt;10%,40+400*(F14-5%),IF(F14&lt;15%,60+400*(F14-10%),IF(F14&lt;25%,80+200*(F14-15%),100))))))</f>
        <v/>
      </c>
      <c r="Q14" s="52">
        <f>IF(OR(O14="",P14=""),"",70%*O14+30%*P14)</f>
        <v/>
      </c>
      <c r="R14">
        <f>IF(Q14="","",IF(Q14&gt;=70,"BUY",IF(Q14&gt;=40,"HOLD","SELL")))</f>
        <v/>
      </c>
    </row>
    <row r="15">
      <c r="A15" s="27" t="n">
        <v>37164</v>
      </c>
      <c r="B15" s="28" t="n">
        <v>913.85</v>
      </c>
      <c r="C15" s="51" t="n">
        <v>13.2</v>
      </c>
      <c r="D15" s="30" t="inlineStr">
        <is>
          <t>Standalone</t>
        </is>
      </c>
      <c r="E15" s="31">
        <f>IFERROR(B15/C15,"")</f>
        <v/>
      </c>
      <c r="F15" s="50">
        <f>IF(D15=D11,IFERROR(E15/E11-1,""),"")</f>
        <v/>
      </c>
      <c r="G15" s="50">
        <f>IFERROR((COUNTIF($C$5:$C$92,"&lt;"&amp;C15)+0.5*COUNTIF($C$5:$C$92,C15))/COUNT($C$5:$C$92),"")</f>
        <v/>
      </c>
      <c r="H15">
        <f>IF(G15="","",IF(G15&lt;=20%,"Q1 Cheapest",IF(G15&lt;=40%,"Q2",IF(G15&lt;=60%,"Q3",IF(G15&lt;=80%,"Q4","Q5 Most Expensive")))))</f>
        <v/>
      </c>
      <c r="I15" s="50">
        <f>IFERROR(B19/B15-1,"")</f>
        <v/>
      </c>
      <c r="J15" s="50">
        <f>IFERROR((B27/B15)^(1/3)-1,"")</f>
        <v/>
      </c>
      <c r="K15" s="50">
        <f>IFERROR((B35/B15)^(1/5)-1,"")</f>
        <v/>
      </c>
      <c r="L15" s="50">
        <f>IFERROR((B55/B15)^(1/10)-1,"")</f>
        <v/>
      </c>
      <c r="M15">
        <f>IF(F15="","",IF(F15&lt;5%,"&lt;5%",IF(F15&lt;15%,"5-15%","&gt;15%")))</f>
        <v/>
      </c>
      <c r="N15" s="50">
        <f>IF(COUNT($C$5:C15)&lt;8,"",(COUNTIF($C$5:C15,"&lt;"&amp;C15)+0.5*COUNTIF($C$5:C15,C15))/COUNT($C$5:C15))</f>
        <v/>
      </c>
      <c r="O15" s="52">
        <f>IF(N15="","",100*(1-N15))</f>
        <v/>
      </c>
      <c r="P15" s="52">
        <f>IF(F15="","",IF(F15&lt;=0,20,IF(F15&lt;5%,20+400*F15,IF(F15&lt;10%,40+400*(F15-5%),IF(F15&lt;15%,60+400*(F15-10%),IF(F15&lt;25%,80+200*(F15-15%),100))))))</f>
        <v/>
      </c>
      <c r="Q15" s="52">
        <f>IF(OR(O15="",P15=""),"",70%*O15+30%*P15)</f>
        <v/>
      </c>
      <c r="R15">
        <f>IF(Q15="","",IF(Q15&gt;=70,"BUY",IF(Q15&gt;=40,"HOLD","SELL")))</f>
        <v/>
      </c>
    </row>
    <row r="16">
      <c r="A16" s="27" t="n">
        <v>37256</v>
      </c>
      <c r="B16" s="28" t="n">
        <v>1059</v>
      </c>
      <c r="C16" s="51" t="n">
        <v>15.3</v>
      </c>
      <c r="D16" s="30" t="inlineStr">
        <is>
          <t>Standalone</t>
        </is>
      </c>
      <c r="E16" s="31">
        <f>IFERROR(B16/C16,"")</f>
        <v/>
      </c>
      <c r="F16" s="50">
        <f>IF(D16=D12,IFERROR(E16/E12-1,""),"")</f>
        <v/>
      </c>
      <c r="G16" s="50">
        <f>IFERROR((COUNTIF($C$5:$C$92,"&lt;"&amp;C16)+0.5*COUNTIF($C$5:$C$92,C16))/COUNT($C$5:$C$92),"")</f>
        <v/>
      </c>
      <c r="H16">
        <f>IF(G16="","",IF(G16&lt;=20%,"Q1 Cheapest",IF(G16&lt;=40%,"Q2",IF(G16&lt;=60%,"Q3",IF(G16&lt;=80%,"Q4","Q5 Most Expensive")))))</f>
        <v/>
      </c>
      <c r="I16" s="50">
        <f>IFERROR(B20/B16-1,"")</f>
        <v/>
      </c>
      <c r="J16" s="50">
        <f>IFERROR((B28/B16)^(1/3)-1,"")</f>
        <v/>
      </c>
      <c r="K16" s="50">
        <f>IFERROR((B36/B16)^(1/5)-1,"")</f>
        <v/>
      </c>
      <c r="L16" s="50">
        <f>IFERROR((B56/B16)^(1/10)-1,"")</f>
        <v/>
      </c>
      <c r="M16">
        <f>IF(F16="","",IF(F16&lt;5%,"&lt;5%",IF(F16&lt;15%,"5-15%","&gt;15%")))</f>
        <v/>
      </c>
      <c r="N16" s="50">
        <f>IF(COUNT($C$5:C16)&lt;8,"",(COUNTIF($C$5:C16,"&lt;"&amp;C16)+0.5*COUNTIF($C$5:C16,C16))/COUNT($C$5:C16))</f>
        <v/>
      </c>
      <c r="O16" s="52">
        <f>IF(N16="","",100*(1-N16))</f>
        <v/>
      </c>
      <c r="P16" s="52">
        <f>IF(F16="","",IF(F16&lt;=0,20,IF(F16&lt;5%,20+400*F16,IF(F16&lt;10%,40+400*(F16-5%),IF(F16&lt;15%,60+400*(F16-10%),IF(F16&lt;25%,80+200*(F16-15%),100))))))</f>
        <v/>
      </c>
      <c r="Q16" s="52">
        <f>IF(OR(O16="",P16=""),"",70%*O16+30%*P16)</f>
        <v/>
      </c>
      <c r="R16">
        <f>IF(Q16="","",IF(Q16&gt;=70,"BUY",IF(Q16&gt;=40,"HOLD","SELL")))</f>
        <v/>
      </c>
    </row>
    <row r="17">
      <c r="A17" s="27" t="n">
        <v>37346</v>
      </c>
      <c r="B17" s="28" t="n">
        <v>1129.5</v>
      </c>
      <c r="C17" s="51" t="n">
        <v>18.1</v>
      </c>
      <c r="D17" s="30" t="inlineStr">
        <is>
          <t>Standalone</t>
        </is>
      </c>
      <c r="E17" s="31">
        <f>IFERROR(B17/C17,"")</f>
        <v/>
      </c>
      <c r="F17" s="50">
        <f>IF(D17=D13,IFERROR(E17/E13-1,""),"")</f>
        <v/>
      </c>
      <c r="G17" s="50">
        <f>IFERROR((COUNTIF($C$5:$C$92,"&lt;"&amp;C17)+0.5*COUNTIF($C$5:$C$92,C17))/COUNT($C$5:$C$92),"")</f>
        <v/>
      </c>
      <c r="H17">
        <f>IF(G17="","",IF(G17&lt;=20%,"Q1 Cheapest",IF(G17&lt;=40%,"Q2",IF(G17&lt;=60%,"Q3",IF(G17&lt;=80%,"Q4","Q5 Most Expensive")))))</f>
        <v/>
      </c>
      <c r="I17" s="50">
        <f>IFERROR(B21/B17-1,"")</f>
        <v/>
      </c>
      <c r="J17" s="50">
        <f>IFERROR((B29/B17)^(1/3)-1,"")</f>
        <v/>
      </c>
      <c r="K17" s="50">
        <f>IFERROR((B37/B17)^(1/5)-1,"")</f>
        <v/>
      </c>
      <c r="L17" s="50">
        <f>IFERROR((B57/B17)^(1/10)-1,"")</f>
        <v/>
      </c>
      <c r="M17">
        <f>IF(F17="","",IF(F17&lt;5%,"&lt;5%",IF(F17&lt;15%,"5-15%","&gt;15%")))</f>
        <v/>
      </c>
      <c r="N17" s="50">
        <f>IF(COUNT($C$5:C17)&lt;8,"",(COUNTIF($C$5:C17,"&lt;"&amp;C17)+0.5*COUNTIF($C$5:C17,C17))/COUNT($C$5:C17))</f>
        <v/>
      </c>
      <c r="O17" s="52">
        <f>IF(N17="","",100*(1-N17))</f>
        <v/>
      </c>
      <c r="P17" s="52">
        <f>IF(F17="","",IF(F17&lt;=0,20,IF(F17&lt;5%,20+400*F17,IF(F17&lt;10%,40+400*(F17-5%),IF(F17&lt;15%,60+400*(F17-10%),IF(F17&lt;25%,80+200*(F17-15%),100))))))</f>
        <v/>
      </c>
      <c r="Q17" s="52">
        <f>IF(OR(O17="",P17=""),"",70%*O17+30%*P17)</f>
        <v/>
      </c>
      <c r="R17">
        <f>IF(Q17="","",IF(Q17&gt;=70,"BUY",IF(Q17&gt;=40,"HOLD","SELL")))</f>
        <v/>
      </c>
    </row>
    <row r="18">
      <c r="A18" s="27" t="n">
        <v>37437</v>
      </c>
      <c r="B18" s="28" t="n">
        <v>1057.8</v>
      </c>
      <c r="C18" s="51" t="n">
        <v>15.7</v>
      </c>
      <c r="D18" s="30" t="inlineStr">
        <is>
          <t>Standalone</t>
        </is>
      </c>
      <c r="E18" s="31">
        <f>IFERROR(B18/C18,"")</f>
        <v/>
      </c>
      <c r="F18" s="50">
        <f>IF(D18=D14,IFERROR(E18/E14-1,""),"")</f>
        <v/>
      </c>
      <c r="G18" s="50">
        <f>IFERROR((COUNTIF($C$5:$C$92,"&lt;"&amp;C18)+0.5*COUNTIF($C$5:$C$92,C18))/COUNT($C$5:$C$92),"")</f>
        <v/>
      </c>
      <c r="H18">
        <f>IF(G18="","",IF(G18&lt;=20%,"Q1 Cheapest",IF(G18&lt;=40%,"Q2",IF(G18&lt;=60%,"Q3",IF(G18&lt;=80%,"Q4","Q5 Most Expensive")))))</f>
        <v/>
      </c>
      <c r="I18" s="50">
        <f>IFERROR(B22/B18-1,"")</f>
        <v/>
      </c>
      <c r="J18" s="50">
        <f>IFERROR((B30/B18)^(1/3)-1,"")</f>
        <v/>
      </c>
      <c r="K18" s="50">
        <f>IFERROR((B38/B18)^(1/5)-1,"")</f>
        <v/>
      </c>
      <c r="L18" s="50">
        <f>IFERROR((B58/B18)^(1/10)-1,"")</f>
        <v/>
      </c>
      <c r="M18">
        <f>IF(F18="","",IF(F18&lt;5%,"&lt;5%",IF(F18&lt;15%,"5-15%","&gt;15%")))</f>
        <v/>
      </c>
      <c r="N18" s="50">
        <f>IF(COUNT($C$5:C18)&lt;8,"",(COUNTIF($C$5:C18,"&lt;"&amp;C18)+0.5*COUNTIF($C$5:C18,C18))/COUNT($C$5:C18))</f>
        <v/>
      </c>
      <c r="O18" s="52">
        <f>IF(N18="","",100*(1-N18))</f>
        <v/>
      </c>
      <c r="P18" s="52">
        <f>IF(F18="","",IF(F18&lt;=0,20,IF(F18&lt;5%,20+400*F18,IF(F18&lt;10%,40+400*(F18-5%),IF(F18&lt;15%,60+400*(F18-10%),IF(F18&lt;25%,80+200*(F18-15%),100))))))</f>
        <v/>
      </c>
      <c r="Q18" s="52">
        <f>IF(OR(O18="",P18=""),"",70%*O18+30%*P18)</f>
        <v/>
      </c>
      <c r="R18">
        <f>IF(Q18="","",IF(Q18&gt;=70,"BUY",IF(Q18&gt;=40,"HOLD","SELL")))</f>
        <v/>
      </c>
    </row>
    <row r="19">
      <c r="A19" s="27" t="n">
        <v>37529</v>
      </c>
      <c r="B19" s="28" t="n">
        <v>963.15</v>
      </c>
      <c r="C19" s="51" t="n">
        <v>14.3</v>
      </c>
      <c r="D19" s="30" t="inlineStr">
        <is>
          <t>Standalone</t>
        </is>
      </c>
      <c r="E19" s="31">
        <f>IFERROR(B19/C19,"")</f>
        <v/>
      </c>
      <c r="F19" s="50">
        <f>IF(D19=D15,IFERROR(E19/E15-1,""),"")</f>
        <v/>
      </c>
      <c r="G19" s="50">
        <f>IFERROR((COUNTIF($C$5:$C$92,"&lt;"&amp;C19)+0.5*COUNTIF($C$5:$C$92,C19))/COUNT($C$5:$C$92),"")</f>
        <v/>
      </c>
      <c r="H19">
        <f>IF(G19="","",IF(G19&lt;=20%,"Q1 Cheapest",IF(G19&lt;=40%,"Q2",IF(G19&lt;=60%,"Q3",IF(G19&lt;=80%,"Q4","Q5 Most Expensive")))))</f>
        <v/>
      </c>
      <c r="I19" s="50">
        <f>IFERROR(B23/B19-1,"")</f>
        <v/>
      </c>
      <c r="J19" s="50">
        <f>IFERROR((B31/B19)^(1/3)-1,"")</f>
        <v/>
      </c>
      <c r="K19" s="50">
        <f>IFERROR((B39/B19)^(1/5)-1,"")</f>
        <v/>
      </c>
      <c r="L19" s="50">
        <f>IFERROR((B59/B19)^(1/10)-1,"")</f>
        <v/>
      </c>
      <c r="M19">
        <f>IF(F19="","",IF(F19&lt;5%,"&lt;5%",IF(F19&lt;15%,"5-15%","&gt;15%")))</f>
        <v/>
      </c>
      <c r="N19" s="50">
        <f>IF(COUNT($C$5:C19)&lt;8,"",(COUNTIF($C$5:C19,"&lt;"&amp;C19)+0.5*COUNTIF($C$5:C19,C19))/COUNT($C$5:C19))</f>
        <v/>
      </c>
      <c r="O19" s="52">
        <f>IF(N19="","",100*(1-N19))</f>
        <v/>
      </c>
      <c r="P19" s="52">
        <f>IF(F19="","",IF(F19&lt;=0,20,IF(F19&lt;5%,20+400*F19,IF(F19&lt;10%,40+400*(F19-5%),IF(F19&lt;15%,60+400*(F19-10%),IF(F19&lt;25%,80+200*(F19-15%),100))))))</f>
        <v/>
      </c>
      <c r="Q19" s="52">
        <f>IF(OR(O19="",P19=""),"",70%*O19+30%*P19)</f>
        <v/>
      </c>
      <c r="R19">
        <f>IF(Q19="","",IF(Q19&gt;=70,"BUY",IF(Q19&gt;=40,"HOLD","SELL")))</f>
        <v/>
      </c>
    </row>
    <row r="20">
      <c r="A20" s="27" t="n">
        <v>37621</v>
      </c>
      <c r="B20" s="28" t="n">
        <v>1093.5</v>
      </c>
      <c r="C20" s="51" t="n">
        <v>14.8</v>
      </c>
      <c r="D20" s="30" t="inlineStr">
        <is>
          <t>Standalone</t>
        </is>
      </c>
      <c r="E20" s="31">
        <f>IFERROR(B20/C20,"")</f>
        <v/>
      </c>
      <c r="F20" s="50">
        <f>IF(D20=D16,IFERROR(E20/E16-1,""),"")</f>
        <v/>
      </c>
      <c r="G20" s="50">
        <f>IFERROR((COUNTIF($C$5:$C$92,"&lt;"&amp;C20)+0.5*COUNTIF($C$5:$C$92,C20))/COUNT($C$5:$C$92),"")</f>
        <v/>
      </c>
      <c r="H20">
        <f>IF(G20="","",IF(G20&lt;=20%,"Q1 Cheapest",IF(G20&lt;=40%,"Q2",IF(G20&lt;=60%,"Q3",IF(G20&lt;=80%,"Q4","Q5 Most Expensive")))))</f>
        <v/>
      </c>
      <c r="I20" s="50">
        <f>IFERROR(B24/B20-1,"")</f>
        <v/>
      </c>
      <c r="J20" s="50">
        <f>IFERROR((B32/B20)^(1/3)-1,"")</f>
        <v/>
      </c>
      <c r="K20" s="50">
        <f>IFERROR((B40/B20)^(1/5)-1,"")</f>
        <v/>
      </c>
      <c r="L20" s="50">
        <f>IFERROR((B60/B20)^(1/10)-1,"")</f>
        <v/>
      </c>
      <c r="M20">
        <f>IF(F20="","",IF(F20&lt;5%,"&lt;5%",IF(F20&lt;15%,"5-15%","&gt;15%")))</f>
        <v/>
      </c>
      <c r="N20" s="50">
        <f>IF(COUNT($C$5:C20)&lt;8,"",(COUNTIF($C$5:C20,"&lt;"&amp;C20)+0.5*COUNTIF($C$5:C20,C20))/COUNT($C$5:C20))</f>
        <v/>
      </c>
      <c r="O20" s="52">
        <f>IF(N20="","",100*(1-N20))</f>
        <v/>
      </c>
      <c r="P20" s="52">
        <f>IF(F20="","",IF(F20&lt;=0,20,IF(F20&lt;5%,20+400*F20,IF(F20&lt;10%,40+400*(F20-5%),IF(F20&lt;15%,60+400*(F20-10%),IF(F20&lt;25%,80+200*(F20-15%),100))))))</f>
        <v/>
      </c>
      <c r="Q20" s="52">
        <f>IF(OR(O20="",P20=""),"",70%*O20+30%*P20)</f>
        <v/>
      </c>
      <c r="R20">
        <f>IF(Q20="","",IF(Q20&gt;=70,"BUY",IF(Q20&gt;=40,"HOLD","SELL")))</f>
        <v/>
      </c>
    </row>
    <row r="21">
      <c r="A21" s="27" t="n">
        <v>37711</v>
      </c>
      <c r="B21" s="28" t="n">
        <v>978.2</v>
      </c>
      <c r="C21" s="51" t="n">
        <v>13.4</v>
      </c>
      <c r="D21" s="30" t="inlineStr">
        <is>
          <t>Standalone</t>
        </is>
      </c>
      <c r="E21" s="31">
        <f>IFERROR(B21/C21,"")</f>
        <v/>
      </c>
      <c r="F21" s="50">
        <f>IF(D21=D17,IFERROR(E21/E17-1,""),"")</f>
        <v/>
      </c>
      <c r="G21" s="50">
        <f>IFERROR((COUNTIF($C$5:$C$92,"&lt;"&amp;C21)+0.5*COUNTIF($C$5:$C$92,C21))/COUNT($C$5:$C$92),"")</f>
        <v/>
      </c>
      <c r="H21">
        <f>IF(G21="","",IF(G21&lt;=20%,"Q1 Cheapest",IF(G21&lt;=40%,"Q2",IF(G21&lt;=60%,"Q3",IF(G21&lt;=80%,"Q4","Q5 Most Expensive")))))</f>
        <v/>
      </c>
      <c r="I21" s="50">
        <f>IFERROR(B25/B21-1,"")</f>
        <v/>
      </c>
      <c r="J21" s="50">
        <f>IFERROR((B33/B21)^(1/3)-1,"")</f>
        <v/>
      </c>
      <c r="K21" s="50">
        <f>IFERROR((B41/B21)^(1/5)-1,"")</f>
        <v/>
      </c>
      <c r="L21" s="50">
        <f>IFERROR((B61/B21)^(1/10)-1,"")</f>
        <v/>
      </c>
      <c r="M21">
        <f>IF(F21="","",IF(F21&lt;5%,"&lt;5%",IF(F21&lt;15%,"5-15%","&gt;15%")))</f>
        <v/>
      </c>
      <c r="N21" s="50">
        <f>IF(COUNT($C$5:C21)&lt;8,"",(COUNTIF($C$5:C21,"&lt;"&amp;C21)+0.5*COUNTIF($C$5:C21,C21))/COUNT($C$5:C21))</f>
        <v/>
      </c>
      <c r="O21" s="52">
        <f>IF(N21="","",100*(1-N21))</f>
        <v/>
      </c>
      <c r="P21" s="52">
        <f>IF(F21="","",IF(F21&lt;=0,20,IF(F21&lt;5%,20+400*F21,IF(F21&lt;10%,40+400*(F21-5%),IF(F21&lt;15%,60+400*(F21-10%),IF(F21&lt;25%,80+200*(F21-15%),100))))))</f>
        <v/>
      </c>
      <c r="Q21" s="52">
        <f>IF(OR(O21="",P21=""),"",70%*O21+30%*P21)</f>
        <v/>
      </c>
      <c r="R21">
        <f>IF(Q21="","",IF(Q21&gt;=70,"BUY",IF(Q21&gt;=40,"HOLD","SELL")))</f>
        <v/>
      </c>
    </row>
    <row r="22">
      <c r="A22" s="27" t="n">
        <v>37802</v>
      </c>
      <c r="B22" s="28" t="n">
        <v>1134.1</v>
      </c>
      <c r="C22" s="51" t="n">
        <v>12.9</v>
      </c>
      <c r="D22" s="30" t="inlineStr">
        <is>
          <t>Standalone</t>
        </is>
      </c>
      <c r="E22" s="31">
        <f>IFERROR(B22/C22,"")</f>
        <v/>
      </c>
      <c r="F22" s="50">
        <f>IF(D22=D18,IFERROR(E22/E18-1,""),"")</f>
        <v/>
      </c>
      <c r="G22" s="50">
        <f>IFERROR((COUNTIF($C$5:$C$92,"&lt;"&amp;C22)+0.5*COUNTIF($C$5:$C$92,C22))/COUNT($C$5:$C$92),"")</f>
        <v/>
      </c>
      <c r="H22">
        <f>IF(G22="","",IF(G22&lt;=20%,"Q1 Cheapest",IF(G22&lt;=40%,"Q2",IF(G22&lt;=60%,"Q3",IF(G22&lt;=80%,"Q4","Q5 Most Expensive")))))</f>
        <v/>
      </c>
      <c r="I22" s="50">
        <f>IFERROR(B26/B22-1,"")</f>
        <v/>
      </c>
      <c r="J22" s="50">
        <f>IFERROR((B34/B22)^(1/3)-1,"")</f>
        <v/>
      </c>
      <c r="K22" s="50">
        <f>IFERROR((B42/B22)^(1/5)-1,"")</f>
        <v/>
      </c>
      <c r="L22" s="50">
        <f>IFERROR((B62/B22)^(1/10)-1,"")</f>
        <v/>
      </c>
      <c r="M22">
        <f>IF(F22="","",IF(F22&lt;5%,"&lt;5%",IF(F22&lt;15%,"5-15%","&gt;15%")))</f>
        <v/>
      </c>
      <c r="N22" s="50">
        <f>IF(COUNT($C$5:C22)&lt;8,"",(COUNTIF($C$5:C22,"&lt;"&amp;C22)+0.5*COUNTIF($C$5:C22,C22))/COUNT($C$5:C22))</f>
        <v/>
      </c>
      <c r="O22" s="52">
        <f>IF(N22="","",100*(1-N22))</f>
        <v/>
      </c>
      <c r="P22" s="52">
        <f>IF(F22="","",IF(F22&lt;=0,20,IF(F22&lt;5%,20+400*F22,IF(F22&lt;10%,40+400*(F22-5%),IF(F22&lt;15%,60+400*(F22-10%),IF(F22&lt;25%,80+200*(F22-15%),100))))))</f>
        <v/>
      </c>
      <c r="Q22" s="52">
        <f>IF(OR(O22="",P22=""),"",70%*O22+30%*P22)</f>
        <v/>
      </c>
      <c r="R22">
        <f>IF(Q22="","",IF(Q22&gt;=70,"BUY",IF(Q22&gt;=40,"HOLD","SELL")))</f>
        <v/>
      </c>
    </row>
    <row r="23">
      <c r="A23" s="27" t="n">
        <v>37894</v>
      </c>
      <c r="B23" s="28" t="n">
        <v>1417.1</v>
      </c>
      <c r="C23" s="51" t="n">
        <v>15.6</v>
      </c>
      <c r="D23" s="30" t="inlineStr">
        <is>
          <t>Standalone</t>
        </is>
      </c>
      <c r="E23" s="31">
        <f>IFERROR(B23/C23,"")</f>
        <v/>
      </c>
      <c r="F23" s="50">
        <f>IF(D23=D19,IFERROR(E23/E19-1,""),"")</f>
        <v/>
      </c>
      <c r="G23" s="50">
        <f>IFERROR((COUNTIF($C$5:$C$92,"&lt;"&amp;C23)+0.5*COUNTIF($C$5:$C$92,C23))/COUNT($C$5:$C$92),"")</f>
        <v/>
      </c>
      <c r="H23">
        <f>IF(G23="","",IF(G23&lt;=20%,"Q1 Cheapest",IF(G23&lt;=40%,"Q2",IF(G23&lt;=60%,"Q3",IF(G23&lt;=80%,"Q4","Q5 Most Expensive")))))</f>
        <v/>
      </c>
      <c r="I23" s="50">
        <f>IFERROR(B27/B23-1,"")</f>
        <v/>
      </c>
      <c r="J23" s="50">
        <f>IFERROR((B35/B23)^(1/3)-1,"")</f>
        <v/>
      </c>
      <c r="K23" s="50">
        <f>IFERROR((B43/B23)^(1/5)-1,"")</f>
        <v/>
      </c>
      <c r="L23" s="50">
        <f>IFERROR((B63/B23)^(1/10)-1,"")</f>
        <v/>
      </c>
      <c r="M23">
        <f>IF(F23="","",IF(F23&lt;5%,"&lt;5%",IF(F23&lt;15%,"5-15%","&gt;15%")))</f>
        <v/>
      </c>
      <c r="N23" s="50">
        <f>IF(COUNT($C$5:C23)&lt;8,"",(COUNTIF($C$5:C23,"&lt;"&amp;C23)+0.5*COUNTIF($C$5:C23,C23))/COUNT($C$5:C23))</f>
        <v/>
      </c>
      <c r="O23" s="52">
        <f>IF(N23="","",100*(1-N23))</f>
        <v/>
      </c>
      <c r="P23" s="52">
        <f>IF(F23="","",IF(F23&lt;=0,20,IF(F23&lt;5%,20+400*F23,IF(F23&lt;10%,40+400*(F23-5%),IF(F23&lt;15%,60+400*(F23-10%),IF(F23&lt;25%,80+200*(F23-15%),100))))))</f>
        <v/>
      </c>
      <c r="Q23" s="52">
        <f>IF(OR(O23="",P23=""),"",70%*O23+30%*P23)</f>
        <v/>
      </c>
      <c r="R23">
        <f>IF(Q23="","",IF(Q23&gt;=70,"BUY",IF(Q23&gt;=40,"HOLD","SELL")))</f>
        <v/>
      </c>
    </row>
    <row r="24">
      <c r="A24" s="27" t="n">
        <v>37986</v>
      </c>
      <c r="B24" s="28" t="n">
        <v>1879.7</v>
      </c>
      <c r="C24" s="51" t="n">
        <v>20.7</v>
      </c>
      <c r="D24" s="30" t="inlineStr">
        <is>
          <t>Standalone</t>
        </is>
      </c>
      <c r="E24" s="31">
        <f>IFERROR(B24/C24,"")</f>
        <v/>
      </c>
      <c r="F24" s="50">
        <f>IF(D24=D20,IFERROR(E24/E20-1,""),"")</f>
        <v/>
      </c>
      <c r="G24" s="50">
        <f>IFERROR((COUNTIF($C$5:$C$92,"&lt;"&amp;C24)+0.5*COUNTIF($C$5:$C$92,C24))/COUNT($C$5:$C$92),"")</f>
        <v/>
      </c>
      <c r="H24">
        <f>IF(G24="","",IF(G24&lt;=20%,"Q1 Cheapest",IF(G24&lt;=40%,"Q2",IF(G24&lt;=60%,"Q3",IF(G24&lt;=80%,"Q4","Q5 Most Expensive")))))</f>
        <v/>
      </c>
      <c r="I24" s="50">
        <f>IFERROR(B28/B24-1,"")</f>
        <v/>
      </c>
      <c r="J24" s="50">
        <f>IFERROR((B36/B24)^(1/3)-1,"")</f>
        <v/>
      </c>
      <c r="K24" s="50">
        <f>IFERROR((B44/B24)^(1/5)-1,"")</f>
        <v/>
      </c>
      <c r="L24" s="50">
        <f>IFERROR((B64/B24)^(1/10)-1,"")</f>
        <v/>
      </c>
      <c r="M24">
        <f>IF(F24="","",IF(F24&lt;5%,"&lt;5%",IF(F24&lt;15%,"5-15%","&gt;15%")))</f>
        <v/>
      </c>
      <c r="N24" s="50">
        <f>IF(COUNT($C$5:C24)&lt;8,"",(COUNTIF($C$5:C24,"&lt;"&amp;C24)+0.5*COUNTIF($C$5:C24,C24))/COUNT($C$5:C24))</f>
        <v/>
      </c>
      <c r="O24" s="52">
        <f>IF(N24="","",100*(1-N24))</f>
        <v/>
      </c>
      <c r="P24" s="52">
        <f>IF(F24="","",IF(F24&lt;=0,20,IF(F24&lt;5%,20+400*F24,IF(F24&lt;10%,40+400*(F24-5%),IF(F24&lt;15%,60+400*(F24-10%),IF(F24&lt;25%,80+200*(F24-15%),100))))))</f>
        <v/>
      </c>
      <c r="Q24" s="52">
        <f>IF(OR(O24="",P24=""),"",70%*O24+30%*P24)</f>
        <v/>
      </c>
      <c r="R24">
        <f>IF(Q24="","",IF(Q24&gt;=70,"BUY",IF(Q24&gt;=40,"HOLD","SELL")))</f>
        <v/>
      </c>
    </row>
    <row r="25">
      <c r="A25" s="27" t="n">
        <v>38077</v>
      </c>
      <c r="B25" s="28" t="n">
        <v>1771.9</v>
      </c>
      <c r="C25" s="51" t="n">
        <v>20.7</v>
      </c>
      <c r="D25" s="30" t="inlineStr">
        <is>
          <t>Standalone</t>
        </is>
      </c>
      <c r="E25" s="31">
        <f>IFERROR(B25/C25,"")</f>
        <v/>
      </c>
      <c r="F25" s="50">
        <f>IF(D25=D21,IFERROR(E25/E21-1,""),"")</f>
        <v/>
      </c>
      <c r="G25" s="50">
        <f>IFERROR((COUNTIF($C$5:$C$92,"&lt;"&amp;C25)+0.5*COUNTIF($C$5:$C$92,C25))/COUNT($C$5:$C$92),"")</f>
        <v/>
      </c>
      <c r="H25">
        <f>IF(G25="","",IF(G25&lt;=20%,"Q1 Cheapest",IF(G25&lt;=40%,"Q2",IF(G25&lt;=60%,"Q3",IF(G25&lt;=80%,"Q4","Q5 Most Expensive")))))</f>
        <v/>
      </c>
      <c r="I25" s="50">
        <f>IFERROR(B29/B25-1,"")</f>
        <v/>
      </c>
      <c r="J25" s="50">
        <f>IFERROR((B37/B25)^(1/3)-1,"")</f>
        <v/>
      </c>
      <c r="K25" s="50">
        <f>IFERROR((B45/B25)^(1/5)-1,"")</f>
        <v/>
      </c>
      <c r="L25" s="50">
        <f>IFERROR((B65/B25)^(1/10)-1,"")</f>
        <v/>
      </c>
      <c r="M25">
        <f>IF(F25="","",IF(F25&lt;5%,"&lt;5%",IF(F25&lt;15%,"5-15%","&gt;15%")))</f>
        <v/>
      </c>
      <c r="N25" s="50">
        <f>IF(COUNT($C$5:C25)&lt;8,"",(COUNTIF($C$5:C25,"&lt;"&amp;C25)+0.5*COUNTIF($C$5:C25,C25))/COUNT($C$5:C25))</f>
        <v/>
      </c>
      <c r="O25" s="52">
        <f>IF(N25="","",100*(1-N25))</f>
        <v/>
      </c>
      <c r="P25" s="52">
        <f>IF(F25="","",IF(F25&lt;=0,20,IF(F25&lt;5%,20+400*F25,IF(F25&lt;10%,40+400*(F25-5%),IF(F25&lt;15%,60+400*(F25-10%),IF(F25&lt;25%,80+200*(F25-15%),100))))))</f>
        <v/>
      </c>
      <c r="Q25" s="52">
        <f>IF(OR(O25="",P25=""),"",70%*O25+30%*P25)</f>
        <v/>
      </c>
      <c r="R25">
        <f>IF(Q25="","",IF(Q25&gt;=70,"BUY",IF(Q25&gt;=40,"HOLD","SELL")))</f>
        <v/>
      </c>
    </row>
    <row r="26">
      <c r="A26" s="27" t="n">
        <v>38168</v>
      </c>
      <c r="B26" s="28" t="n">
        <v>1505.6</v>
      </c>
      <c r="C26" s="51" t="n">
        <v>12.6</v>
      </c>
      <c r="D26" s="30" t="inlineStr">
        <is>
          <t>Standalone</t>
        </is>
      </c>
      <c r="E26" s="31">
        <f>IFERROR(B26/C26,"")</f>
        <v/>
      </c>
      <c r="F26" s="50">
        <f>IF(D26=D22,IFERROR(E26/E22-1,""),"")</f>
        <v/>
      </c>
      <c r="G26" s="50">
        <f>IFERROR((COUNTIF($C$5:$C$92,"&lt;"&amp;C26)+0.5*COUNTIF($C$5:$C$92,C26))/COUNT($C$5:$C$92),"")</f>
        <v/>
      </c>
      <c r="H26">
        <f>IF(G26="","",IF(G26&lt;=20%,"Q1 Cheapest",IF(G26&lt;=40%,"Q2",IF(G26&lt;=60%,"Q3",IF(G26&lt;=80%,"Q4","Q5 Most Expensive")))))</f>
        <v/>
      </c>
      <c r="I26" s="50">
        <f>IFERROR(B30/B26-1,"")</f>
        <v/>
      </c>
      <c r="J26" s="50">
        <f>IFERROR((B38/B26)^(1/3)-1,"")</f>
        <v/>
      </c>
      <c r="K26" s="50">
        <f>IFERROR((B46/B26)^(1/5)-1,"")</f>
        <v/>
      </c>
      <c r="L26" s="50">
        <f>IFERROR((B66/B26)^(1/10)-1,"")</f>
        <v/>
      </c>
      <c r="M26">
        <f>IF(F26="","",IF(F26&lt;5%,"&lt;5%",IF(F26&lt;15%,"5-15%","&gt;15%")))</f>
        <v/>
      </c>
      <c r="N26" s="50">
        <f>IF(COUNT($C$5:C26)&lt;8,"",(COUNTIF($C$5:C26,"&lt;"&amp;C26)+0.5*COUNTIF($C$5:C26,C26))/COUNT($C$5:C26))</f>
        <v/>
      </c>
      <c r="O26" s="52">
        <f>IF(N26="","",100*(1-N26))</f>
        <v/>
      </c>
      <c r="P26" s="52">
        <f>IF(F26="","",IF(F26&lt;=0,20,IF(F26&lt;5%,20+400*F26,IF(F26&lt;10%,40+400*(F26-5%),IF(F26&lt;15%,60+400*(F26-10%),IF(F26&lt;25%,80+200*(F26-15%),100))))))</f>
        <v/>
      </c>
      <c r="Q26" s="52">
        <f>IF(OR(O26="",P26=""),"",70%*O26+30%*P26)</f>
        <v/>
      </c>
      <c r="R26">
        <f>IF(Q26="","",IF(Q26&gt;=70,"BUY",IF(Q26&gt;=40,"HOLD","SELL")))</f>
        <v/>
      </c>
    </row>
    <row r="27">
      <c r="A27" s="27" t="n">
        <v>38260</v>
      </c>
      <c r="B27" s="28" t="n">
        <v>1745.5</v>
      </c>
      <c r="C27" s="51" t="n">
        <v>14.6</v>
      </c>
      <c r="D27" s="30" t="inlineStr">
        <is>
          <t>Standalone</t>
        </is>
      </c>
      <c r="E27" s="31">
        <f>IFERROR(B27/C27,"")</f>
        <v/>
      </c>
      <c r="F27" s="50">
        <f>IF(D27=D23,IFERROR(E27/E23-1,""),"")</f>
        <v/>
      </c>
      <c r="G27" s="50">
        <f>IFERROR((COUNTIF($C$5:$C$92,"&lt;"&amp;C27)+0.5*COUNTIF($C$5:$C$92,C27))/COUNT($C$5:$C$92),"")</f>
        <v/>
      </c>
      <c r="H27">
        <f>IF(G27="","",IF(G27&lt;=20%,"Q1 Cheapest",IF(G27&lt;=40%,"Q2",IF(G27&lt;=60%,"Q3",IF(G27&lt;=80%,"Q4","Q5 Most Expensive")))))</f>
        <v/>
      </c>
      <c r="I27" s="50">
        <f>IFERROR(B31/B27-1,"")</f>
        <v/>
      </c>
      <c r="J27" s="50">
        <f>IFERROR((B39/B27)^(1/3)-1,"")</f>
        <v/>
      </c>
      <c r="K27" s="50">
        <f>IFERROR((B47/B27)^(1/5)-1,"")</f>
        <v/>
      </c>
      <c r="L27" s="50">
        <f>IFERROR((B67/B27)^(1/10)-1,"")</f>
        <v/>
      </c>
      <c r="M27">
        <f>IF(F27="","",IF(F27&lt;5%,"&lt;5%",IF(F27&lt;15%,"5-15%","&gt;15%")))</f>
        <v/>
      </c>
      <c r="N27" s="50">
        <f>IF(COUNT($C$5:C27)&lt;8,"",(COUNTIF($C$5:C27,"&lt;"&amp;C27)+0.5*COUNTIF($C$5:C27,C27))/COUNT($C$5:C27))</f>
        <v/>
      </c>
      <c r="O27" s="52">
        <f>IF(N27="","",100*(1-N27))</f>
        <v/>
      </c>
      <c r="P27" s="52">
        <f>IF(F27="","",IF(F27&lt;=0,20,IF(F27&lt;5%,20+400*F27,IF(F27&lt;10%,40+400*(F27-5%),IF(F27&lt;15%,60+400*(F27-10%),IF(F27&lt;25%,80+200*(F27-15%),100))))))</f>
        <v/>
      </c>
      <c r="Q27" s="52">
        <f>IF(OR(O27="",P27=""),"",70%*O27+30%*P27)</f>
        <v/>
      </c>
      <c r="R27">
        <f>IF(Q27="","",IF(Q27&gt;=70,"BUY",IF(Q27&gt;=40,"HOLD","SELL")))</f>
        <v/>
      </c>
    </row>
    <row r="28">
      <c r="A28" s="27" t="n">
        <v>38352</v>
      </c>
      <c r="B28" s="28" t="n">
        <v>2080.5</v>
      </c>
      <c r="C28" s="51" t="n">
        <v>15.3</v>
      </c>
      <c r="D28" s="30" t="inlineStr">
        <is>
          <t>Standalone</t>
        </is>
      </c>
      <c r="E28" s="31">
        <f>IFERROR(B28/C28,"")</f>
        <v/>
      </c>
      <c r="F28" s="50">
        <f>IF(D28=D24,IFERROR(E28/E24-1,""),"")</f>
        <v/>
      </c>
      <c r="G28" s="50">
        <f>IFERROR((COUNTIF($C$5:$C$92,"&lt;"&amp;C28)+0.5*COUNTIF($C$5:$C$92,C28))/COUNT($C$5:$C$92),"")</f>
        <v/>
      </c>
      <c r="H28">
        <f>IF(G28="","",IF(G28&lt;=20%,"Q1 Cheapest",IF(G28&lt;=40%,"Q2",IF(G28&lt;=60%,"Q3",IF(G28&lt;=80%,"Q4","Q5 Most Expensive")))))</f>
        <v/>
      </c>
      <c r="I28" s="50">
        <f>IFERROR(B32/B28-1,"")</f>
        <v/>
      </c>
      <c r="J28" s="50">
        <f>IFERROR((B40/B28)^(1/3)-1,"")</f>
        <v/>
      </c>
      <c r="K28" s="50">
        <f>IFERROR((B48/B28)^(1/5)-1,"")</f>
        <v/>
      </c>
      <c r="L28" s="50">
        <f>IFERROR((B68/B28)^(1/10)-1,"")</f>
        <v/>
      </c>
      <c r="M28">
        <f>IF(F28="","",IF(F28&lt;5%,"&lt;5%",IF(F28&lt;15%,"5-15%","&gt;15%")))</f>
        <v/>
      </c>
      <c r="N28" s="50">
        <f>IF(COUNT($C$5:C28)&lt;8,"",(COUNTIF($C$5:C28,"&lt;"&amp;C28)+0.5*COUNTIF($C$5:C28,C28))/COUNT($C$5:C28))</f>
        <v/>
      </c>
      <c r="O28" s="52">
        <f>IF(N28="","",100*(1-N28))</f>
        <v/>
      </c>
      <c r="P28" s="52">
        <f>IF(F28="","",IF(F28&lt;=0,20,IF(F28&lt;5%,20+400*F28,IF(F28&lt;10%,40+400*(F28-5%),IF(F28&lt;15%,60+400*(F28-10%),IF(F28&lt;25%,80+200*(F28-15%),100))))))</f>
        <v/>
      </c>
      <c r="Q28" s="52">
        <f>IF(OR(O28="",P28=""),"",70%*O28+30%*P28)</f>
        <v/>
      </c>
      <c r="R28">
        <f>IF(Q28="","",IF(Q28&gt;=70,"BUY",IF(Q28&gt;=40,"HOLD","SELL")))</f>
        <v/>
      </c>
    </row>
    <row r="29">
      <c r="A29" s="27" t="n">
        <v>38442</v>
      </c>
      <c r="B29" s="28" t="n">
        <v>2035.6</v>
      </c>
      <c r="C29" s="51" t="n">
        <v>14.6</v>
      </c>
      <c r="D29" s="30" t="inlineStr">
        <is>
          <t>Standalone</t>
        </is>
      </c>
      <c r="E29" s="31">
        <f>IFERROR(B29/C29,"")</f>
        <v/>
      </c>
      <c r="F29" s="50">
        <f>IF(D29=D25,IFERROR(E29/E25-1,""),"")</f>
        <v/>
      </c>
      <c r="G29" s="50">
        <f>IFERROR((COUNTIF($C$5:$C$92,"&lt;"&amp;C29)+0.5*COUNTIF($C$5:$C$92,C29))/COUNT($C$5:$C$92),"")</f>
        <v/>
      </c>
      <c r="H29">
        <f>IF(G29="","",IF(G29&lt;=20%,"Q1 Cheapest",IF(G29&lt;=40%,"Q2",IF(G29&lt;=60%,"Q3",IF(G29&lt;=80%,"Q4","Q5 Most Expensive")))))</f>
        <v/>
      </c>
      <c r="I29" s="50">
        <f>IFERROR(B33/B29-1,"")</f>
        <v/>
      </c>
      <c r="J29" s="50">
        <f>IFERROR((B41/B29)^(1/3)-1,"")</f>
        <v/>
      </c>
      <c r="K29" s="50">
        <f>IFERROR((B49/B29)^(1/5)-1,"")</f>
        <v/>
      </c>
      <c r="L29" s="50">
        <f>IFERROR((B69/B29)^(1/10)-1,"")</f>
        <v/>
      </c>
      <c r="M29">
        <f>IF(F29="","",IF(F29&lt;5%,"&lt;5%",IF(F29&lt;15%,"5-15%","&gt;15%")))</f>
        <v/>
      </c>
      <c r="N29" s="50">
        <f>IF(COUNT($C$5:C29)&lt;8,"",(COUNTIF($C$5:C29,"&lt;"&amp;C29)+0.5*COUNTIF($C$5:C29,C29))/COUNT($C$5:C29))</f>
        <v/>
      </c>
      <c r="O29" s="52">
        <f>IF(N29="","",100*(1-N29))</f>
        <v/>
      </c>
      <c r="P29" s="52">
        <f>IF(F29="","",IF(F29&lt;=0,20,IF(F29&lt;5%,20+400*F29,IF(F29&lt;10%,40+400*(F29-5%),IF(F29&lt;15%,60+400*(F29-10%),IF(F29&lt;25%,80+200*(F29-15%),100))))))</f>
        <v/>
      </c>
      <c r="Q29" s="52">
        <f>IF(OR(O29="",P29=""),"",70%*O29+30%*P29)</f>
        <v/>
      </c>
      <c r="R29">
        <f>IF(Q29="","",IF(Q29&gt;=70,"BUY",IF(Q29&gt;=40,"HOLD","SELL")))</f>
        <v/>
      </c>
    </row>
    <row r="30">
      <c r="A30" s="27" t="n">
        <v>38533</v>
      </c>
      <c r="B30" s="28" t="n">
        <v>2220.6</v>
      </c>
      <c r="C30" s="51" t="n">
        <v>14.3</v>
      </c>
      <c r="D30" s="30" t="inlineStr">
        <is>
          <t>Standalone</t>
        </is>
      </c>
      <c r="E30" s="31">
        <f>IFERROR(B30/C30,"")</f>
        <v/>
      </c>
      <c r="F30" s="50">
        <f>IF(D30=D26,IFERROR(E30/E26-1,""),"")</f>
        <v/>
      </c>
      <c r="G30" s="50">
        <f>IFERROR((COUNTIF($C$5:$C$92,"&lt;"&amp;C30)+0.5*COUNTIF($C$5:$C$92,C30))/COUNT($C$5:$C$92),"")</f>
        <v/>
      </c>
      <c r="H30">
        <f>IF(G30="","",IF(G30&lt;=20%,"Q1 Cheapest",IF(G30&lt;=40%,"Q2",IF(G30&lt;=60%,"Q3",IF(G30&lt;=80%,"Q4","Q5 Most Expensive")))))</f>
        <v/>
      </c>
      <c r="I30" s="50">
        <f>IFERROR(B34/B30-1,"")</f>
        <v/>
      </c>
      <c r="J30" s="50">
        <f>IFERROR((B42/B30)^(1/3)-1,"")</f>
        <v/>
      </c>
      <c r="K30" s="50">
        <f>IFERROR((B50/B30)^(1/5)-1,"")</f>
        <v/>
      </c>
      <c r="L30" s="50">
        <f>IFERROR((B70/B30)^(1/10)-1,"")</f>
        <v/>
      </c>
      <c r="M30">
        <f>IF(F30="","",IF(F30&lt;5%,"&lt;5%",IF(F30&lt;15%,"5-15%","&gt;15%")))</f>
        <v/>
      </c>
      <c r="N30" s="50">
        <f>IF(COUNT($C$5:C30)&lt;8,"",(COUNTIF($C$5:C30,"&lt;"&amp;C30)+0.5*COUNTIF($C$5:C30,C30))/COUNT($C$5:C30))</f>
        <v/>
      </c>
      <c r="O30" s="52">
        <f>IF(N30="","",100*(1-N30))</f>
        <v/>
      </c>
      <c r="P30" s="52">
        <f>IF(F30="","",IF(F30&lt;=0,20,IF(F30&lt;5%,20+400*F30,IF(F30&lt;10%,40+400*(F30-5%),IF(F30&lt;15%,60+400*(F30-10%),IF(F30&lt;25%,80+200*(F30-15%),100))))))</f>
        <v/>
      </c>
      <c r="Q30" s="52">
        <f>IF(OR(O30="",P30=""),"",70%*O30+30%*P30)</f>
        <v/>
      </c>
      <c r="R30">
        <f>IF(Q30="","",IF(Q30&gt;=70,"BUY",IF(Q30&gt;=40,"HOLD","SELL")))</f>
        <v/>
      </c>
    </row>
    <row r="31">
      <c r="A31" s="27" t="n">
        <v>38625</v>
      </c>
      <c r="B31" s="28" t="n">
        <v>2601.4</v>
      </c>
      <c r="C31" s="51" t="n">
        <v>16.1</v>
      </c>
      <c r="D31" s="30" t="inlineStr">
        <is>
          <t>Standalone</t>
        </is>
      </c>
      <c r="E31" s="31">
        <f>IFERROR(B31/C31,"")</f>
        <v/>
      </c>
      <c r="F31" s="50">
        <f>IF(D31=D27,IFERROR(E31/E27-1,""),"")</f>
        <v/>
      </c>
      <c r="G31" s="50">
        <f>IFERROR((COUNTIF($C$5:$C$92,"&lt;"&amp;C31)+0.5*COUNTIF($C$5:$C$92,C31))/COUNT($C$5:$C$92),"")</f>
        <v/>
      </c>
      <c r="H31">
        <f>IF(G31="","",IF(G31&lt;=20%,"Q1 Cheapest",IF(G31&lt;=40%,"Q2",IF(G31&lt;=60%,"Q3",IF(G31&lt;=80%,"Q4","Q5 Most Expensive")))))</f>
        <v/>
      </c>
      <c r="I31" s="50">
        <f>IFERROR(B35/B31-1,"")</f>
        <v/>
      </c>
      <c r="J31" s="50">
        <f>IFERROR((B43/B31)^(1/3)-1,"")</f>
        <v/>
      </c>
      <c r="K31" s="50">
        <f>IFERROR((B51/B31)^(1/5)-1,"")</f>
        <v/>
      </c>
      <c r="L31" s="50">
        <f>IFERROR((B71/B31)^(1/10)-1,"")</f>
        <v/>
      </c>
      <c r="M31">
        <f>IF(F31="","",IF(F31&lt;5%,"&lt;5%",IF(F31&lt;15%,"5-15%","&gt;15%")))</f>
        <v/>
      </c>
      <c r="N31" s="50">
        <f>IF(COUNT($C$5:C31)&lt;8,"",(COUNTIF($C$5:C31,"&lt;"&amp;C31)+0.5*COUNTIF($C$5:C31,C31))/COUNT($C$5:C31))</f>
        <v/>
      </c>
      <c r="O31" s="52">
        <f>IF(N31="","",100*(1-N31))</f>
        <v/>
      </c>
      <c r="P31" s="52">
        <f>IF(F31="","",IF(F31&lt;=0,20,IF(F31&lt;5%,20+400*F31,IF(F31&lt;10%,40+400*(F31-5%),IF(F31&lt;15%,60+400*(F31-10%),IF(F31&lt;25%,80+200*(F31-15%),100))))))</f>
        <v/>
      </c>
      <c r="Q31" s="52">
        <f>IF(OR(O31="",P31=""),"",70%*O31+30%*P31)</f>
        <v/>
      </c>
      <c r="R31">
        <f>IF(Q31="","",IF(Q31&gt;=70,"BUY",IF(Q31&gt;=40,"HOLD","SELL")))</f>
        <v/>
      </c>
    </row>
    <row r="32">
      <c r="A32" s="27" t="n">
        <v>38717</v>
      </c>
      <c r="B32" s="28" t="n">
        <v>2836.5</v>
      </c>
      <c r="C32" s="51" t="n">
        <v>17.2</v>
      </c>
      <c r="D32" s="30" t="inlineStr">
        <is>
          <t>Standalone</t>
        </is>
      </c>
      <c r="E32" s="31">
        <f>IFERROR(B32/C32,"")</f>
        <v/>
      </c>
      <c r="F32" s="50">
        <f>IF(D32=D28,IFERROR(E32/E28-1,""),"")</f>
        <v/>
      </c>
      <c r="G32" s="50">
        <f>IFERROR((COUNTIF($C$5:$C$92,"&lt;"&amp;C32)+0.5*COUNTIF($C$5:$C$92,C32))/COUNT($C$5:$C$92),"")</f>
        <v/>
      </c>
      <c r="H32">
        <f>IF(G32="","",IF(G32&lt;=20%,"Q1 Cheapest",IF(G32&lt;=40%,"Q2",IF(G32&lt;=60%,"Q3",IF(G32&lt;=80%,"Q4","Q5 Most Expensive")))))</f>
        <v/>
      </c>
      <c r="I32" s="50">
        <f>IFERROR(B36/B32-1,"")</f>
        <v/>
      </c>
      <c r="J32" s="50">
        <f>IFERROR((B44/B32)^(1/3)-1,"")</f>
        <v/>
      </c>
      <c r="K32" s="50">
        <f>IFERROR((B52/B32)^(1/5)-1,"")</f>
        <v/>
      </c>
      <c r="L32" s="50">
        <f>IFERROR((B72/B32)^(1/10)-1,"")</f>
        <v/>
      </c>
      <c r="M32">
        <f>IF(F32="","",IF(F32&lt;5%,"&lt;5%",IF(F32&lt;15%,"5-15%","&gt;15%")))</f>
        <v/>
      </c>
      <c r="N32" s="50">
        <f>IF(COUNT($C$5:C32)&lt;8,"",(COUNTIF($C$5:C32,"&lt;"&amp;C32)+0.5*COUNTIF($C$5:C32,C32))/COUNT($C$5:C32))</f>
        <v/>
      </c>
      <c r="O32" s="52">
        <f>IF(N32="","",100*(1-N32))</f>
        <v/>
      </c>
      <c r="P32" s="52">
        <f>IF(F32="","",IF(F32&lt;=0,20,IF(F32&lt;5%,20+400*F32,IF(F32&lt;10%,40+400*(F32-5%),IF(F32&lt;15%,60+400*(F32-10%),IF(F32&lt;25%,80+200*(F32-15%),100))))))</f>
        <v/>
      </c>
      <c r="Q32" s="52">
        <f>IF(OR(O32="",P32=""),"",70%*O32+30%*P32)</f>
        <v/>
      </c>
      <c r="R32">
        <f>IF(Q32="","",IF(Q32&gt;=70,"BUY",IF(Q32&gt;=40,"HOLD","SELL")))</f>
        <v/>
      </c>
    </row>
    <row r="33">
      <c r="A33" s="27" t="n">
        <v>38807</v>
      </c>
      <c r="B33" s="28" t="n">
        <v>3402.5</v>
      </c>
      <c r="C33" s="51" t="n">
        <v>20.3</v>
      </c>
      <c r="D33" s="30" t="inlineStr">
        <is>
          <t>Standalone</t>
        </is>
      </c>
      <c r="E33" s="31">
        <f>IFERROR(B33/C33,"")</f>
        <v/>
      </c>
      <c r="F33" s="50">
        <f>IF(D33=D29,IFERROR(E33/E29-1,""),"")</f>
        <v/>
      </c>
      <c r="G33" s="50">
        <f>IFERROR((COUNTIF($C$5:$C$92,"&lt;"&amp;C33)+0.5*COUNTIF($C$5:$C$92,C33))/COUNT($C$5:$C$92),"")</f>
        <v/>
      </c>
      <c r="H33">
        <f>IF(G33="","",IF(G33&lt;=20%,"Q1 Cheapest",IF(G33&lt;=40%,"Q2",IF(G33&lt;=60%,"Q3",IF(G33&lt;=80%,"Q4","Q5 Most Expensive")))))</f>
        <v/>
      </c>
      <c r="I33" s="50">
        <f>IFERROR(B37/B33-1,"")</f>
        <v/>
      </c>
      <c r="J33" s="50">
        <f>IFERROR((B45/B33)^(1/3)-1,"")</f>
        <v/>
      </c>
      <c r="K33" s="50">
        <f>IFERROR((B53/B33)^(1/5)-1,"")</f>
        <v/>
      </c>
      <c r="L33" s="50">
        <f>IFERROR((B73/B33)^(1/10)-1,"")</f>
        <v/>
      </c>
      <c r="M33">
        <f>IF(F33="","",IF(F33&lt;5%,"&lt;5%",IF(F33&lt;15%,"5-15%","&gt;15%")))</f>
        <v/>
      </c>
      <c r="N33" s="50">
        <f>IF(COUNT($C$5:C33)&lt;8,"",(COUNTIF($C$5:C33,"&lt;"&amp;C33)+0.5*COUNTIF($C$5:C33,C33))/COUNT($C$5:C33))</f>
        <v/>
      </c>
      <c r="O33" s="52">
        <f>IF(N33="","",100*(1-N33))</f>
        <v/>
      </c>
      <c r="P33" s="52">
        <f>IF(F33="","",IF(F33&lt;=0,20,IF(F33&lt;5%,20+400*F33,IF(F33&lt;10%,40+400*(F33-5%),IF(F33&lt;15%,60+400*(F33-10%),IF(F33&lt;25%,80+200*(F33-15%),100))))))</f>
        <v/>
      </c>
      <c r="Q33" s="52">
        <f>IF(OR(O33="",P33=""),"",70%*O33+30%*P33)</f>
        <v/>
      </c>
      <c r="R33">
        <f>IF(Q33="","",IF(Q33&gt;=70,"BUY",IF(Q33&gt;=40,"HOLD","SELL")))</f>
        <v/>
      </c>
    </row>
    <row r="34">
      <c r="A34" s="27" t="n">
        <v>38898</v>
      </c>
      <c r="B34" s="28" t="n">
        <v>3128.2</v>
      </c>
      <c r="C34" s="51" t="n">
        <v>18.4</v>
      </c>
      <c r="D34" s="30" t="inlineStr">
        <is>
          <t>Standalone</t>
        </is>
      </c>
      <c r="E34" s="31">
        <f>IFERROR(B34/C34,"")</f>
        <v/>
      </c>
      <c r="F34" s="50">
        <f>IF(D34=D30,IFERROR(E34/E30-1,""),"")</f>
        <v/>
      </c>
      <c r="G34" s="50">
        <f>IFERROR((COUNTIF($C$5:$C$92,"&lt;"&amp;C34)+0.5*COUNTIF($C$5:$C$92,C34))/COUNT($C$5:$C$92),"")</f>
        <v/>
      </c>
      <c r="H34">
        <f>IF(G34="","",IF(G34&lt;=20%,"Q1 Cheapest",IF(G34&lt;=40%,"Q2",IF(G34&lt;=60%,"Q3",IF(G34&lt;=80%,"Q4","Q5 Most Expensive")))))</f>
        <v/>
      </c>
      <c r="I34" s="50">
        <f>IFERROR(B38/B34-1,"")</f>
        <v/>
      </c>
      <c r="J34" s="50">
        <f>IFERROR((B46/B34)^(1/3)-1,"")</f>
        <v/>
      </c>
      <c r="K34" s="50">
        <f>IFERROR((B54/B34)^(1/5)-1,"")</f>
        <v/>
      </c>
      <c r="L34" s="50">
        <f>IFERROR((B74/B34)^(1/10)-1,"")</f>
        <v/>
      </c>
      <c r="M34">
        <f>IF(F34="","",IF(F34&lt;5%,"&lt;5%",IF(F34&lt;15%,"5-15%","&gt;15%")))</f>
        <v/>
      </c>
      <c r="N34" s="50">
        <f>IF(COUNT($C$5:C34)&lt;8,"",(COUNTIF($C$5:C34,"&lt;"&amp;C34)+0.5*COUNTIF($C$5:C34,C34))/COUNT($C$5:C34))</f>
        <v/>
      </c>
      <c r="O34" s="52">
        <f>IF(N34="","",100*(1-N34))</f>
        <v/>
      </c>
      <c r="P34" s="52">
        <f>IF(F34="","",IF(F34&lt;=0,20,IF(F34&lt;5%,20+400*F34,IF(F34&lt;10%,40+400*(F34-5%),IF(F34&lt;15%,60+400*(F34-10%),IF(F34&lt;25%,80+200*(F34-15%),100))))))</f>
        <v/>
      </c>
      <c r="Q34" s="52">
        <f>IF(OR(O34="",P34=""),"",70%*O34+30%*P34)</f>
        <v/>
      </c>
      <c r="R34">
        <f>IF(Q34="","",IF(Q34&gt;=70,"BUY",IF(Q34&gt;=40,"HOLD","SELL")))</f>
        <v/>
      </c>
    </row>
    <row r="35">
      <c r="A35" s="27" t="n">
        <v>38990</v>
      </c>
      <c r="B35" s="28" t="n">
        <v>3588.4</v>
      </c>
      <c r="C35" s="51" t="n">
        <v>20.9</v>
      </c>
      <c r="D35" s="30" t="inlineStr">
        <is>
          <t>Standalone</t>
        </is>
      </c>
      <c r="E35" s="31">
        <f>IFERROR(B35/C35,"")</f>
        <v/>
      </c>
      <c r="F35" s="50">
        <f>IF(D35=D31,IFERROR(E35/E31-1,""),"")</f>
        <v/>
      </c>
      <c r="G35" s="50">
        <f>IFERROR((COUNTIF($C$5:$C$92,"&lt;"&amp;C35)+0.5*COUNTIF($C$5:$C$92,C35))/COUNT($C$5:$C$92),"")</f>
        <v/>
      </c>
      <c r="H35">
        <f>IF(G35="","",IF(G35&lt;=20%,"Q1 Cheapest",IF(G35&lt;=40%,"Q2",IF(G35&lt;=60%,"Q3",IF(G35&lt;=80%,"Q4","Q5 Most Expensive")))))</f>
        <v/>
      </c>
      <c r="I35" s="50">
        <f>IFERROR(B39/B35-1,"")</f>
        <v/>
      </c>
      <c r="J35" s="50">
        <f>IFERROR((B47/B35)^(1/3)-1,"")</f>
        <v/>
      </c>
      <c r="K35" s="50">
        <f>IFERROR((B55/B35)^(1/5)-1,"")</f>
        <v/>
      </c>
      <c r="L35" s="50">
        <f>IFERROR((B75/B35)^(1/10)-1,"")</f>
        <v/>
      </c>
      <c r="M35">
        <f>IF(F35="","",IF(F35&lt;5%,"&lt;5%",IF(F35&lt;15%,"5-15%","&gt;15%")))</f>
        <v/>
      </c>
      <c r="N35" s="50">
        <f>IF(COUNT($C$5:C35)&lt;8,"",(COUNTIF($C$5:C35,"&lt;"&amp;C35)+0.5*COUNTIF($C$5:C35,C35))/COUNT($C$5:C35))</f>
        <v/>
      </c>
      <c r="O35" s="52">
        <f>IF(N35="","",100*(1-N35))</f>
        <v/>
      </c>
      <c r="P35" s="52">
        <f>IF(F35="","",IF(F35&lt;=0,20,IF(F35&lt;5%,20+400*F35,IF(F35&lt;10%,40+400*(F35-5%),IF(F35&lt;15%,60+400*(F35-10%),IF(F35&lt;25%,80+200*(F35-15%),100))))))</f>
        <v/>
      </c>
      <c r="Q35" s="52">
        <f>IF(OR(O35="",P35=""),"",70%*O35+30%*P35)</f>
        <v/>
      </c>
      <c r="R35">
        <f>IF(Q35="","",IF(Q35&gt;=70,"BUY",IF(Q35&gt;=40,"HOLD","SELL")))</f>
        <v/>
      </c>
    </row>
    <row r="36">
      <c r="A36" s="27" t="n">
        <v>39082</v>
      </c>
      <c r="B36" s="28" t="n">
        <v>3966.4</v>
      </c>
      <c r="C36" s="51" t="n">
        <v>21.3</v>
      </c>
      <c r="D36" s="30" t="inlineStr">
        <is>
          <t>Standalone</t>
        </is>
      </c>
      <c r="E36" s="31">
        <f>IFERROR(B36/C36,"")</f>
        <v/>
      </c>
      <c r="F36" s="50">
        <f>IF(D36=D32,IFERROR(E36/E32-1,""),"")</f>
        <v/>
      </c>
      <c r="G36" s="50">
        <f>IFERROR((COUNTIF($C$5:$C$92,"&lt;"&amp;C36)+0.5*COUNTIF($C$5:$C$92,C36))/COUNT($C$5:$C$92),"")</f>
        <v/>
      </c>
      <c r="H36">
        <f>IF(G36="","",IF(G36&lt;=20%,"Q1 Cheapest",IF(G36&lt;=40%,"Q2",IF(G36&lt;=60%,"Q3",IF(G36&lt;=80%,"Q4","Q5 Most Expensive")))))</f>
        <v/>
      </c>
      <c r="I36" s="50">
        <f>IFERROR(B40/B36-1,"")</f>
        <v/>
      </c>
      <c r="J36" s="50">
        <f>IFERROR((B48/B36)^(1/3)-1,"")</f>
        <v/>
      </c>
      <c r="K36" s="50">
        <f>IFERROR((B56/B36)^(1/5)-1,"")</f>
        <v/>
      </c>
      <c r="L36" s="50">
        <f>IFERROR((B76/B36)^(1/10)-1,"")</f>
        <v/>
      </c>
      <c r="M36">
        <f>IF(F36="","",IF(F36&lt;5%,"&lt;5%",IF(F36&lt;15%,"5-15%","&gt;15%")))</f>
        <v/>
      </c>
      <c r="N36" s="50">
        <f>IF(COUNT($C$5:C36)&lt;8,"",(COUNTIF($C$5:C36,"&lt;"&amp;C36)+0.5*COUNTIF($C$5:C36,C36))/COUNT($C$5:C36))</f>
        <v/>
      </c>
      <c r="O36" s="52">
        <f>IF(N36="","",100*(1-N36))</f>
        <v/>
      </c>
      <c r="P36" s="52">
        <f>IF(F36="","",IF(F36&lt;=0,20,IF(F36&lt;5%,20+400*F36,IF(F36&lt;10%,40+400*(F36-5%),IF(F36&lt;15%,60+400*(F36-10%),IF(F36&lt;25%,80+200*(F36-15%),100))))))</f>
        <v/>
      </c>
      <c r="Q36" s="52">
        <f>IF(OR(O36="",P36=""),"",70%*O36+30%*P36)</f>
        <v/>
      </c>
      <c r="R36">
        <f>IF(Q36="","",IF(Q36&gt;=70,"BUY",IF(Q36&gt;=40,"HOLD","SELL")))</f>
        <v/>
      </c>
    </row>
    <row r="37">
      <c r="A37" s="27" t="n">
        <v>39172</v>
      </c>
      <c r="B37" s="28" t="n">
        <v>3821.5</v>
      </c>
      <c r="C37" s="51" t="n">
        <v>18.4</v>
      </c>
      <c r="D37" s="30" t="inlineStr">
        <is>
          <t>Standalone</t>
        </is>
      </c>
      <c r="E37" s="31">
        <f>IFERROR(B37/C37,"")</f>
        <v/>
      </c>
      <c r="F37" s="50">
        <f>IF(D37=D33,IFERROR(E37/E33-1,""),"")</f>
        <v/>
      </c>
      <c r="G37" s="50">
        <f>IFERROR((COUNTIF($C$5:$C$92,"&lt;"&amp;C37)+0.5*COUNTIF($C$5:$C$92,C37))/COUNT($C$5:$C$92),"")</f>
        <v/>
      </c>
      <c r="H37">
        <f>IF(G37="","",IF(G37&lt;=20%,"Q1 Cheapest",IF(G37&lt;=40%,"Q2",IF(G37&lt;=60%,"Q3",IF(G37&lt;=80%,"Q4","Q5 Most Expensive")))))</f>
        <v/>
      </c>
      <c r="I37" s="50">
        <f>IFERROR(B41/B37-1,"")</f>
        <v/>
      </c>
      <c r="J37" s="50">
        <f>IFERROR((B49/B37)^(1/3)-1,"")</f>
        <v/>
      </c>
      <c r="K37" s="50">
        <f>IFERROR((B57/B37)^(1/5)-1,"")</f>
        <v/>
      </c>
      <c r="L37" s="50">
        <f>IFERROR((B77/B37)^(1/10)-1,"")</f>
        <v/>
      </c>
      <c r="M37">
        <f>IF(F37="","",IF(F37&lt;5%,"&lt;5%",IF(F37&lt;15%,"5-15%","&gt;15%")))</f>
        <v/>
      </c>
      <c r="N37" s="50">
        <f>IF(COUNT($C$5:C37)&lt;8,"",(COUNTIF($C$5:C37,"&lt;"&amp;C37)+0.5*COUNTIF($C$5:C37,C37))/COUNT($C$5:C37))</f>
        <v/>
      </c>
      <c r="O37" s="52">
        <f>IF(N37="","",100*(1-N37))</f>
        <v/>
      </c>
      <c r="P37" s="52">
        <f>IF(F37="","",IF(F37&lt;=0,20,IF(F37&lt;5%,20+400*F37,IF(F37&lt;10%,40+400*(F37-5%),IF(F37&lt;15%,60+400*(F37-10%),IF(F37&lt;25%,80+200*(F37-15%),100))))))</f>
        <v/>
      </c>
      <c r="Q37" s="52">
        <f>IF(OR(O37="",P37=""),"",70%*O37+30%*P37)</f>
        <v/>
      </c>
      <c r="R37">
        <f>IF(Q37="","",IF(Q37&gt;=70,"BUY",IF(Q37&gt;=40,"HOLD","SELL")))</f>
        <v/>
      </c>
    </row>
    <row r="38">
      <c r="A38" s="27" t="n">
        <v>39263</v>
      </c>
      <c r="B38" s="28" t="n">
        <v>4318.3</v>
      </c>
      <c r="C38" s="51" t="n">
        <v>20.6</v>
      </c>
      <c r="D38" s="30" t="inlineStr">
        <is>
          <t>Standalone</t>
        </is>
      </c>
      <c r="E38" s="31">
        <f>IFERROR(B38/C38,"")</f>
        <v/>
      </c>
      <c r="F38" s="50">
        <f>IF(D38=D34,IFERROR(E38/E34-1,""),"")</f>
        <v/>
      </c>
      <c r="G38" s="50">
        <f>IFERROR((COUNTIF($C$5:$C$92,"&lt;"&amp;C38)+0.5*COUNTIF($C$5:$C$92,C38))/COUNT($C$5:$C$92),"")</f>
        <v/>
      </c>
      <c r="H38">
        <f>IF(G38="","",IF(G38&lt;=20%,"Q1 Cheapest",IF(G38&lt;=40%,"Q2",IF(G38&lt;=60%,"Q3",IF(G38&lt;=80%,"Q4","Q5 Most Expensive")))))</f>
        <v/>
      </c>
      <c r="I38" s="50">
        <f>IFERROR(B42/B38-1,"")</f>
        <v/>
      </c>
      <c r="J38" s="50">
        <f>IFERROR((B50/B38)^(1/3)-1,"")</f>
        <v/>
      </c>
      <c r="K38" s="50">
        <f>IFERROR((B58/B38)^(1/5)-1,"")</f>
        <v/>
      </c>
      <c r="L38" s="50">
        <f>IFERROR((B78/B38)^(1/10)-1,"")</f>
        <v/>
      </c>
      <c r="M38">
        <f>IF(F38="","",IF(F38&lt;5%,"&lt;5%",IF(F38&lt;15%,"5-15%","&gt;15%")))</f>
        <v/>
      </c>
      <c r="N38" s="50">
        <f>IF(COUNT($C$5:C38)&lt;8,"",(COUNTIF($C$5:C38,"&lt;"&amp;C38)+0.5*COUNTIF($C$5:C38,C38))/COUNT($C$5:C38))</f>
        <v/>
      </c>
      <c r="O38" s="52">
        <f>IF(N38="","",100*(1-N38))</f>
        <v/>
      </c>
      <c r="P38" s="52">
        <f>IF(F38="","",IF(F38&lt;=0,20,IF(F38&lt;5%,20+400*F38,IF(F38&lt;10%,40+400*(F38-5%),IF(F38&lt;15%,60+400*(F38-10%),IF(F38&lt;25%,80+200*(F38-15%),100))))))</f>
        <v/>
      </c>
      <c r="Q38" s="52">
        <f>IF(OR(O38="",P38=""),"",70%*O38+30%*P38)</f>
        <v/>
      </c>
      <c r="R38">
        <f>IF(Q38="","",IF(Q38&gt;=70,"BUY",IF(Q38&gt;=40,"HOLD","SELL")))</f>
        <v/>
      </c>
    </row>
    <row r="39">
      <c r="A39" s="27" t="n">
        <v>39355</v>
      </c>
      <c r="B39" s="28" t="n">
        <v>5021.3</v>
      </c>
      <c r="C39" s="51" t="n">
        <v>22.6</v>
      </c>
      <c r="D39" s="30" t="inlineStr">
        <is>
          <t>Standalone</t>
        </is>
      </c>
      <c r="E39" s="31">
        <f>IFERROR(B39/C39,"")</f>
        <v/>
      </c>
      <c r="F39" s="50">
        <f>IF(D39=D35,IFERROR(E39/E35-1,""),"")</f>
        <v/>
      </c>
      <c r="G39" s="50">
        <f>IFERROR((COUNTIF($C$5:$C$92,"&lt;"&amp;C39)+0.5*COUNTIF($C$5:$C$92,C39))/COUNT($C$5:$C$92),"")</f>
        <v/>
      </c>
      <c r="H39">
        <f>IF(G39="","",IF(G39&lt;=20%,"Q1 Cheapest",IF(G39&lt;=40%,"Q2",IF(G39&lt;=60%,"Q3",IF(G39&lt;=80%,"Q4","Q5 Most Expensive")))))</f>
        <v/>
      </c>
      <c r="I39" s="50">
        <f>IFERROR(B43/B39-1,"")</f>
        <v/>
      </c>
      <c r="J39" s="50">
        <f>IFERROR((B51/B39)^(1/3)-1,"")</f>
        <v/>
      </c>
      <c r="K39" s="50">
        <f>IFERROR((B59/B39)^(1/5)-1,"")</f>
        <v/>
      </c>
      <c r="L39" s="50">
        <f>IFERROR((B79/B39)^(1/10)-1,"")</f>
        <v/>
      </c>
      <c r="M39">
        <f>IF(F39="","",IF(F39&lt;5%,"&lt;5%",IF(F39&lt;15%,"5-15%","&gt;15%")))</f>
        <v/>
      </c>
      <c r="N39" s="50">
        <f>IF(COUNT($C$5:C39)&lt;8,"",(COUNTIF($C$5:C39,"&lt;"&amp;C39)+0.5*COUNTIF($C$5:C39,C39))/COUNT($C$5:C39))</f>
        <v/>
      </c>
      <c r="O39" s="52">
        <f>IF(N39="","",100*(1-N39))</f>
        <v/>
      </c>
      <c r="P39" s="52">
        <f>IF(F39="","",IF(F39&lt;=0,20,IF(F39&lt;5%,20+400*F39,IF(F39&lt;10%,40+400*(F39-5%),IF(F39&lt;15%,60+400*(F39-10%),IF(F39&lt;25%,80+200*(F39-15%),100))))))</f>
        <v/>
      </c>
      <c r="Q39" s="52">
        <f>IF(OR(O39="",P39=""),"",70%*O39+30%*P39)</f>
        <v/>
      </c>
      <c r="R39">
        <f>IF(Q39="","",IF(Q39&gt;=70,"BUY",IF(Q39&gt;=40,"HOLD","SELL")))</f>
        <v/>
      </c>
    </row>
    <row r="40">
      <c r="A40" s="27" t="n">
        <v>39447</v>
      </c>
      <c r="B40" s="28" t="n">
        <v>6138.6</v>
      </c>
      <c r="C40" s="51" t="n">
        <v>27.6</v>
      </c>
      <c r="D40" s="30" t="inlineStr">
        <is>
          <t>Standalone</t>
        </is>
      </c>
      <c r="E40" s="31">
        <f>IFERROR(B40/C40,"")</f>
        <v/>
      </c>
      <c r="F40" s="50">
        <f>IF(D40=D36,IFERROR(E40/E36-1,""),"")</f>
        <v/>
      </c>
      <c r="G40" s="50">
        <f>IFERROR((COUNTIF($C$5:$C$92,"&lt;"&amp;C40)+0.5*COUNTIF($C$5:$C$92,C40))/COUNT($C$5:$C$92),"")</f>
        <v/>
      </c>
      <c r="H40">
        <f>IF(G40="","",IF(G40&lt;=20%,"Q1 Cheapest",IF(G40&lt;=40%,"Q2",IF(G40&lt;=60%,"Q3",IF(G40&lt;=80%,"Q4","Q5 Most Expensive")))))</f>
        <v/>
      </c>
      <c r="I40" s="50">
        <f>IFERROR(B44/B40-1,"")</f>
        <v/>
      </c>
      <c r="J40" s="50">
        <f>IFERROR((B52/B40)^(1/3)-1,"")</f>
        <v/>
      </c>
      <c r="K40" s="50">
        <f>IFERROR((B60/B40)^(1/5)-1,"")</f>
        <v/>
      </c>
      <c r="L40" s="50">
        <f>IFERROR((B80/B40)^(1/10)-1,"")</f>
        <v/>
      </c>
      <c r="M40">
        <f>IF(F40="","",IF(F40&lt;5%,"&lt;5%",IF(F40&lt;15%,"5-15%","&gt;15%")))</f>
        <v/>
      </c>
      <c r="N40" s="50">
        <f>IF(COUNT($C$5:C40)&lt;8,"",(COUNTIF($C$5:C40,"&lt;"&amp;C40)+0.5*COUNTIF($C$5:C40,C40))/COUNT($C$5:C40))</f>
        <v/>
      </c>
      <c r="O40" s="52">
        <f>IF(N40="","",100*(1-N40))</f>
        <v/>
      </c>
      <c r="P40" s="52">
        <f>IF(F40="","",IF(F40&lt;=0,20,IF(F40&lt;5%,20+400*F40,IF(F40&lt;10%,40+400*(F40-5%),IF(F40&lt;15%,60+400*(F40-10%),IF(F40&lt;25%,80+200*(F40-15%),100))))))</f>
        <v/>
      </c>
      <c r="Q40" s="52">
        <f>IF(OR(O40="",P40=""),"",70%*O40+30%*P40)</f>
        <v/>
      </c>
      <c r="R40">
        <f>IF(Q40="","",IF(Q40&gt;=70,"BUY",IF(Q40&gt;=40,"HOLD","SELL")))</f>
        <v/>
      </c>
    </row>
    <row r="41">
      <c r="A41" s="27" t="n">
        <v>39538</v>
      </c>
      <c r="B41" s="28" t="n">
        <v>4734.5</v>
      </c>
      <c r="C41" s="51" t="n">
        <v>20.6</v>
      </c>
      <c r="D41" s="30" t="inlineStr">
        <is>
          <t>Standalone</t>
        </is>
      </c>
      <c r="E41" s="31">
        <f>IFERROR(B41/C41,"")</f>
        <v/>
      </c>
      <c r="F41" s="50">
        <f>IF(D41=D37,IFERROR(E41/E37-1,""),"")</f>
        <v/>
      </c>
      <c r="G41" s="50">
        <f>IFERROR((COUNTIF($C$5:$C$92,"&lt;"&amp;C41)+0.5*COUNTIF($C$5:$C$92,C41))/COUNT($C$5:$C$92),"")</f>
        <v/>
      </c>
      <c r="H41">
        <f>IF(G41="","",IF(G41&lt;=20%,"Q1 Cheapest",IF(G41&lt;=40%,"Q2",IF(G41&lt;=60%,"Q3",IF(G41&lt;=80%,"Q4","Q5 Most Expensive")))))</f>
        <v/>
      </c>
      <c r="I41" s="50">
        <f>IFERROR(B45/B41-1,"")</f>
        <v/>
      </c>
      <c r="J41" s="50">
        <f>IFERROR((B53/B41)^(1/3)-1,"")</f>
        <v/>
      </c>
      <c r="K41" s="50">
        <f>IFERROR((B61/B41)^(1/5)-1,"")</f>
        <v/>
      </c>
      <c r="L41" s="50">
        <f>IFERROR((B81/B41)^(1/10)-1,"")</f>
        <v/>
      </c>
      <c r="M41">
        <f>IF(F41="","",IF(F41&lt;5%,"&lt;5%",IF(F41&lt;15%,"5-15%","&gt;15%")))</f>
        <v/>
      </c>
      <c r="N41" s="50">
        <f>IF(COUNT($C$5:C41)&lt;8,"",(COUNTIF($C$5:C41,"&lt;"&amp;C41)+0.5*COUNTIF($C$5:C41,C41))/COUNT($C$5:C41))</f>
        <v/>
      </c>
      <c r="O41" s="52">
        <f>IF(N41="","",100*(1-N41))</f>
        <v/>
      </c>
      <c r="P41" s="52">
        <f>IF(F41="","",IF(F41&lt;=0,20,IF(F41&lt;5%,20+400*F41,IF(F41&lt;10%,40+400*(F41-5%),IF(F41&lt;15%,60+400*(F41-10%),IF(F41&lt;25%,80+200*(F41-15%),100))))))</f>
        <v/>
      </c>
      <c r="Q41" s="52">
        <f>IF(OR(O41="",P41=""),"",70%*O41+30%*P41)</f>
        <v/>
      </c>
      <c r="R41">
        <f>IF(Q41="","",IF(Q41&gt;=70,"BUY",IF(Q41&gt;=40,"HOLD","SELL")))</f>
        <v/>
      </c>
    </row>
    <row r="42">
      <c r="A42" s="27" t="n">
        <v>39629</v>
      </c>
      <c r="B42" s="28" t="n">
        <v>4040.5</v>
      </c>
      <c r="C42" s="51" t="n">
        <v>17.3</v>
      </c>
      <c r="D42" s="30" t="inlineStr">
        <is>
          <t>Standalone</t>
        </is>
      </c>
      <c r="E42" s="31">
        <f>IFERROR(B42/C42,"")</f>
        <v/>
      </c>
      <c r="F42" s="50">
        <f>IF(D42=D38,IFERROR(E42/E38-1,""),"")</f>
        <v/>
      </c>
      <c r="G42" s="50">
        <f>IFERROR((COUNTIF($C$5:$C$92,"&lt;"&amp;C42)+0.5*COUNTIF($C$5:$C$92,C42))/COUNT($C$5:$C$92),"")</f>
        <v/>
      </c>
      <c r="H42">
        <f>IF(G42="","",IF(G42&lt;=20%,"Q1 Cheapest",IF(G42&lt;=40%,"Q2",IF(G42&lt;=60%,"Q3",IF(G42&lt;=80%,"Q4","Q5 Most Expensive")))))</f>
        <v/>
      </c>
      <c r="I42" s="50">
        <f>IFERROR(B46/B42-1,"")</f>
        <v/>
      </c>
      <c r="J42" s="50">
        <f>IFERROR((B54/B42)^(1/3)-1,"")</f>
        <v/>
      </c>
      <c r="K42" s="50">
        <f>IFERROR((B62/B42)^(1/5)-1,"")</f>
        <v/>
      </c>
      <c r="L42" s="50">
        <f>IFERROR((B82/B42)^(1/10)-1,"")</f>
        <v/>
      </c>
      <c r="M42">
        <f>IF(F42="","",IF(F42&lt;5%,"&lt;5%",IF(F42&lt;15%,"5-15%","&gt;15%")))</f>
        <v/>
      </c>
      <c r="N42" s="50">
        <f>IF(COUNT($C$5:C42)&lt;8,"",(COUNTIF($C$5:C42,"&lt;"&amp;C42)+0.5*COUNTIF($C$5:C42,C42))/COUNT($C$5:C42))</f>
        <v/>
      </c>
      <c r="O42" s="52">
        <f>IF(N42="","",100*(1-N42))</f>
        <v/>
      </c>
      <c r="P42" s="52">
        <f>IF(F42="","",IF(F42&lt;=0,20,IF(F42&lt;5%,20+400*F42,IF(F42&lt;10%,40+400*(F42-5%),IF(F42&lt;15%,60+400*(F42-10%),IF(F42&lt;25%,80+200*(F42-15%),100))))))</f>
        <v/>
      </c>
      <c r="Q42" s="52">
        <f>IF(OR(O42="",P42=""),"",70%*O42+30%*P42)</f>
        <v/>
      </c>
      <c r="R42">
        <f>IF(Q42="","",IF(Q42&gt;=70,"BUY",IF(Q42&gt;=40,"HOLD","SELL")))</f>
        <v/>
      </c>
    </row>
    <row r="43">
      <c r="A43" s="27" t="n">
        <v>39721</v>
      </c>
      <c r="B43" s="28" t="n">
        <v>3921.2</v>
      </c>
      <c r="C43" s="51" t="n">
        <v>16.9</v>
      </c>
      <c r="D43" s="30" t="inlineStr">
        <is>
          <t>Standalone</t>
        </is>
      </c>
      <c r="E43" s="31">
        <f>IFERROR(B43/C43,"")</f>
        <v/>
      </c>
      <c r="F43" s="50">
        <f>IF(D43=D39,IFERROR(E43/E39-1,""),"")</f>
        <v/>
      </c>
      <c r="G43" s="50">
        <f>IFERROR((COUNTIF($C$5:$C$92,"&lt;"&amp;C43)+0.5*COUNTIF($C$5:$C$92,C43))/COUNT($C$5:$C$92),"")</f>
        <v/>
      </c>
      <c r="H43">
        <f>IF(G43="","",IF(G43&lt;=20%,"Q1 Cheapest",IF(G43&lt;=40%,"Q2",IF(G43&lt;=60%,"Q3",IF(G43&lt;=80%,"Q4","Q5 Most Expensive")))))</f>
        <v/>
      </c>
      <c r="I43" s="50">
        <f>IFERROR(B47/B43-1,"")</f>
        <v/>
      </c>
      <c r="J43" s="50">
        <f>IFERROR((B55/B43)^(1/3)-1,"")</f>
        <v/>
      </c>
      <c r="K43" s="50">
        <f>IFERROR((B63/B43)^(1/5)-1,"")</f>
        <v/>
      </c>
      <c r="L43" s="50">
        <f>IFERROR((B83/B43)^(1/10)-1,"")</f>
        <v/>
      </c>
      <c r="M43">
        <f>IF(F43="","",IF(F43&lt;5%,"&lt;5%",IF(F43&lt;15%,"5-15%","&gt;15%")))</f>
        <v/>
      </c>
      <c r="N43" s="50">
        <f>IF(COUNT($C$5:C43)&lt;8,"",(COUNTIF($C$5:C43,"&lt;"&amp;C43)+0.5*COUNTIF($C$5:C43,C43))/COUNT($C$5:C43))</f>
        <v/>
      </c>
      <c r="O43" s="52">
        <f>IF(N43="","",100*(1-N43))</f>
        <v/>
      </c>
      <c r="P43" s="52">
        <f>IF(F43="","",IF(F43&lt;=0,20,IF(F43&lt;5%,20+400*F43,IF(F43&lt;10%,40+400*(F43-5%),IF(F43&lt;15%,60+400*(F43-10%),IF(F43&lt;25%,80+200*(F43-15%),100))))))</f>
        <v/>
      </c>
      <c r="Q43" s="52">
        <f>IF(OR(O43="",P43=""),"",70%*O43+30%*P43)</f>
        <v/>
      </c>
      <c r="R43">
        <f>IF(Q43="","",IF(Q43&gt;=70,"BUY",IF(Q43&gt;=40,"HOLD","SELL")))</f>
        <v/>
      </c>
    </row>
    <row r="44">
      <c r="A44" s="27" t="n">
        <v>39813</v>
      </c>
      <c r="B44" s="28" t="n">
        <v>2959.1</v>
      </c>
      <c r="C44" s="51" t="n">
        <v>13</v>
      </c>
      <c r="D44" s="30" t="inlineStr">
        <is>
          <t>Standalone</t>
        </is>
      </c>
      <c r="E44" s="31">
        <f>IFERROR(B44/C44,"")</f>
        <v/>
      </c>
      <c r="F44" s="50">
        <f>IF(D44=D40,IFERROR(E44/E40-1,""),"")</f>
        <v/>
      </c>
      <c r="G44" s="50">
        <f>IFERROR((COUNTIF($C$5:$C$92,"&lt;"&amp;C44)+0.5*COUNTIF($C$5:$C$92,C44))/COUNT($C$5:$C$92),"")</f>
        <v/>
      </c>
      <c r="H44">
        <f>IF(G44="","",IF(G44&lt;=20%,"Q1 Cheapest",IF(G44&lt;=40%,"Q2",IF(G44&lt;=60%,"Q3",IF(G44&lt;=80%,"Q4","Q5 Most Expensive")))))</f>
        <v/>
      </c>
      <c r="I44" s="50">
        <f>IFERROR(B48/B44-1,"")</f>
        <v/>
      </c>
      <c r="J44" s="50">
        <f>IFERROR((B56/B44)^(1/3)-1,"")</f>
        <v/>
      </c>
      <c r="K44" s="50">
        <f>IFERROR((B64/B44)^(1/5)-1,"")</f>
        <v/>
      </c>
      <c r="L44" s="50">
        <f>IFERROR((B84/B44)^(1/10)-1,"")</f>
        <v/>
      </c>
      <c r="M44">
        <f>IF(F44="","",IF(F44&lt;5%,"&lt;5%",IF(F44&lt;15%,"5-15%","&gt;15%")))</f>
        <v/>
      </c>
      <c r="N44" s="50">
        <f>IF(COUNT($C$5:C44)&lt;8,"",(COUNTIF($C$5:C44,"&lt;"&amp;C44)+0.5*COUNTIF($C$5:C44,C44))/COUNT($C$5:C44))</f>
        <v/>
      </c>
      <c r="O44" s="52">
        <f>IF(N44="","",100*(1-N44))</f>
        <v/>
      </c>
      <c r="P44" s="52">
        <f>IF(F44="","",IF(F44&lt;=0,20,IF(F44&lt;5%,20+400*F44,IF(F44&lt;10%,40+400*(F44-5%),IF(F44&lt;15%,60+400*(F44-10%),IF(F44&lt;25%,80+200*(F44-15%),100))))))</f>
        <v/>
      </c>
      <c r="Q44" s="52">
        <f>IF(OR(O44="",P44=""),"",70%*O44+30%*P44)</f>
        <v/>
      </c>
      <c r="R44">
        <f>IF(Q44="","",IF(Q44&gt;=70,"BUY",IF(Q44&gt;=40,"HOLD","SELL")))</f>
        <v/>
      </c>
    </row>
    <row r="45">
      <c r="A45" s="27" t="n">
        <v>39903</v>
      </c>
      <c r="B45" s="28" t="n">
        <v>3020.9</v>
      </c>
      <c r="C45" s="51" t="n">
        <v>14.3</v>
      </c>
      <c r="D45" s="30" t="inlineStr">
        <is>
          <t>Standalone</t>
        </is>
      </c>
      <c r="E45" s="31">
        <f>IFERROR(B45/C45,"")</f>
        <v/>
      </c>
      <c r="F45" s="50">
        <f>IF(D45=D41,IFERROR(E45/E41-1,""),"")</f>
        <v/>
      </c>
      <c r="G45" s="50">
        <f>IFERROR((COUNTIF($C$5:$C$92,"&lt;"&amp;C45)+0.5*COUNTIF($C$5:$C$92,C45))/COUNT($C$5:$C$92),"")</f>
        <v/>
      </c>
      <c r="H45">
        <f>IF(G45="","",IF(G45&lt;=20%,"Q1 Cheapest",IF(G45&lt;=40%,"Q2",IF(G45&lt;=60%,"Q3",IF(G45&lt;=80%,"Q4","Q5 Most Expensive")))))</f>
        <v/>
      </c>
      <c r="I45" s="50">
        <f>IFERROR(B49/B45-1,"")</f>
        <v/>
      </c>
      <c r="J45" s="50">
        <f>IFERROR((B57/B45)^(1/3)-1,"")</f>
        <v/>
      </c>
      <c r="K45" s="50">
        <f>IFERROR((B65/B45)^(1/5)-1,"")</f>
        <v/>
      </c>
      <c r="L45" s="50">
        <f>IFERROR((B85/B45)^(1/10)-1,"")</f>
        <v/>
      </c>
      <c r="M45">
        <f>IF(F45="","",IF(F45&lt;5%,"&lt;5%",IF(F45&lt;15%,"5-15%","&gt;15%")))</f>
        <v/>
      </c>
      <c r="N45" s="50">
        <f>IF(COUNT($C$5:C45)&lt;8,"",(COUNTIF($C$5:C45,"&lt;"&amp;C45)+0.5*COUNTIF($C$5:C45,C45))/COUNT($C$5:C45))</f>
        <v/>
      </c>
      <c r="O45" s="52">
        <f>IF(N45="","",100*(1-N45))</f>
        <v/>
      </c>
      <c r="P45" s="52">
        <f>IF(F45="","",IF(F45&lt;=0,20,IF(F45&lt;5%,20+400*F45,IF(F45&lt;10%,40+400*(F45-5%),IF(F45&lt;15%,60+400*(F45-10%),IF(F45&lt;25%,80+200*(F45-15%),100))))))</f>
        <v/>
      </c>
      <c r="Q45" s="52">
        <f>IF(OR(O45="",P45=""),"",70%*O45+30%*P45)</f>
        <v/>
      </c>
      <c r="R45">
        <f>IF(Q45="","",IF(Q45&gt;=70,"BUY",IF(Q45&gt;=40,"HOLD","SELL")))</f>
        <v/>
      </c>
    </row>
    <row r="46">
      <c r="A46" s="27" t="n">
        <v>39994</v>
      </c>
      <c r="B46" s="28" t="n">
        <v>4291.1</v>
      </c>
      <c r="C46" s="51" t="n">
        <v>20</v>
      </c>
      <c r="D46" s="30" t="inlineStr">
        <is>
          <t>Standalone</t>
        </is>
      </c>
      <c r="E46" s="31">
        <f>IFERROR(B46/C46,"")</f>
        <v/>
      </c>
      <c r="F46" s="50">
        <f>IF(D46=D42,IFERROR(E46/E42-1,""),"")</f>
        <v/>
      </c>
      <c r="G46" s="50">
        <f>IFERROR((COUNTIF($C$5:$C$92,"&lt;"&amp;C46)+0.5*COUNTIF($C$5:$C$92,C46))/COUNT($C$5:$C$92),"")</f>
        <v/>
      </c>
      <c r="H46">
        <f>IF(G46="","",IF(G46&lt;=20%,"Q1 Cheapest",IF(G46&lt;=40%,"Q2",IF(G46&lt;=60%,"Q3",IF(G46&lt;=80%,"Q4","Q5 Most Expensive")))))</f>
        <v/>
      </c>
      <c r="I46" s="50">
        <f>IFERROR(B50/B46-1,"")</f>
        <v/>
      </c>
      <c r="J46" s="50">
        <f>IFERROR((B58/B46)^(1/3)-1,"")</f>
        <v/>
      </c>
      <c r="K46" s="50">
        <f>IFERROR((B66/B46)^(1/5)-1,"")</f>
        <v/>
      </c>
      <c r="L46" s="50">
        <f>IFERROR((B86/B46)^(1/10)-1,"")</f>
        <v/>
      </c>
      <c r="M46">
        <f>IF(F46="","",IF(F46&lt;5%,"&lt;5%",IF(F46&lt;15%,"5-15%","&gt;15%")))</f>
        <v/>
      </c>
      <c r="N46" s="50">
        <f>IF(COUNT($C$5:C46)&lt;8,"",(COUNTIF($C$5:C46,"&lt;"&amp;C46)+0.5*COUNTIF($C$5:C46,C46))/COUNT($C$5:C46))</f>
        <v/>
      </c>
      <c r="O46" s="52">
        <f>IF(N46="","",100*(1-N46))</f>
        <v/>
      </c>
      <c r="P46" s="52">
        <f>IF(F46="","",IF(F46&lt;=0,20,IF(F46&lt;5%,20+400*F46,IF(F46&lt;10%,40+400*(F46-5%),IF(F46&lt;15%,60+400*(F46-10%),IF(F46&lt;25%,80+200*(F46-15%),100))))))</f>
        <v/>
      </c>
      <c r="Q46" s="52">
        <f>IF(OR(O46="",P46=""),"",70%*O46+30%*P46)</f>
        <v/>
      </c>
      <c r="R46">
        <f>IF(Q46="","",IF(Q46&gt;=70,"BUY",IF(Q46&gt;=40,"HOLD","SELL")))</f>
        <v/>
      </c>
    </row>
    <row r="47">
      <c r="A47" s="27" t="n">
        <v>40086</v>
      </c>
      <c r="B47" s="28" t="n">
        <v>5083.9</v>
      </c>
      <c r="C47" s="51" t="n">
        <v>22.9</v>
      </c>
      <c r="D47" s="30" t="inlineStr">
        <is>
          <t>Standalone</t>
        </is>
      </c>
      <c r="E47" s="31">
        <f>IFERROR(B47/C47,"")</f>
        <v/>
      </c>
      <c r="F47" s="50">
        <f>IF(D47=D43,IFERROR(E47/E43-1,""),"")</f>
        <v/>
      </c>
      <c r="G47" s="50">
        <f>IFERROR((COUNTIF($C$5:$C$92,"&lt;"&amp;C47)+0.5*COUNTIF($C$5:$C$92,C47))/COUNT($C$5:$C$92),"")</f>
        <v/>
      </c>
      <c r="H47">
        <f>IF(G47="","",IF(G47&lt;=20%,"Q1 Cheapest",IF(G47&lt;=40%,"Q2",IF(G47&lt;=60%,"Q3",IF(G47&lt;=80%,"Q4","Q5 Most Expensive")))))</f>
        <v/>
      </c>
      <c r="I47" s="50">
        <f>IFERROR(B51/B47-1,"")</f>
        <v/>
      </c>
      <c r="J47" s="50">
        <f>IFERROR((B59/B47)^(1/3)-1,"")</f>
        <v/>
      </c>
      <c r="K47" s="50">
        <f>IFERROR((B67/B47)^(1/5)-1,"")</f>
        <v/>
      </c>
      <c r="L47" s="50">
        <f>IFERROR((B87/B47)^(1/10)-1,"")</f>
        <v/>
      </c>
      <c r="M47">
        <f>IF(F47="","",IF(F47&lt;5%,"&lt;5%",IF(F47&lt;15%,"5-15%","&gt;15%")))</f>
        <v/>
      </c>
      <c r="N47" s="50">
        <f>IF(COUNT($C$5:C47)&lt;8,"",(COUNTIF($C$5:C47,"&lt;"&amp;C47)+0.5*COUNTIF($C$5:C47,C47))/COUNT($C$5:C47))</f>
        <v/>
      </c>
      <c r="O47" s="52">
        <f>IF(N47="","",100*(1-N47))</f>
        <v/>
      </c>
      <c r="P47" s="52">
        <f>IF(F47="","",IF(F47&lt;=0,20,IF(F47&lt;5%,20+400*F47,IF(F47&lt;10%,40+400*(F47-5%),IF(F47&lt;15%,60+400*(F47-10%),IF(F47&lt;25%,80+200*(F47-15%),100))))))</f>
        <v/>
      </c>
      <c r="Q47" s="52">
        <f>IF(OR(O47="",P47=""),"",70%*O47+30%*P47)</f>
        <v/>
      </c>
      <c r="R47">
        <f>IF(Q47="","",IF(Q47&gt;=70,"BUY",IF(Q47&gt;=40,"HOLD","SELL")))</f>
        <v/>
      </c>
    </row>
    <row r="48">
      <c r="A48" s="27" t="n">
        <v>40178</v>
      </c>
      <c r="B48" s="28" t="n">
        <v>5201</v>
      </c>
      <c r="C48" s="51" t="n">
        <v>23.2</v>
      </c>
      <c r="D48" s="30" t="inlineStr">
        <is>
          <t>Standalone</t>
        </is>
      </c>
      <c r="E48" s="31">
        <f>IFERROR(B48/C48,"")</f>
        <v/>
      </c>
      <c r="F48" s="50">
        <f>IF(D48=D44,IFERROR(E48/E44-1,""),"")</f>
        <v/>
      </c>
      <c r="G48" s="50">
        <f>IFERROR((COUNTIF($C$5:$C$92,"&lt;"&amp;C48)+0.5*COUNTIF($C$5:$C$92,C48))/COUNT($C$5:$C$92),"")</f>
        <v/>
      </c>
      <c r="H48">
        <f>IF(G48="","",IF(G48&lt;=20%,"Q1 Cheapest",IF(G48&lt;=40%,"Q2",IF(G48&lt;=60%,"Q3",IF(G48&lt;=80%,"Q4","Q5 Most Expensive")))))</f>
        <v/>
      </c>
      <c r="I48" s="50">
        <f>IFERROR(B52/B48-1,"")</f>
        <v/>
      </c>
      <c r="J48" s="50">
        <f>IFERROR((B60/B48)^(1/3)-1,"")</f>
        <v/>
      </c>
      <c r="K48" s="50">
        <f>IFERROR((B68/B48)^(1/5)-1,"")</f>
        <v/>
      </c>
      <c r="L48" s="50">
        <f>IFERROR((B88/B48)^(1/10)-1,"")</f>
        <v/>
      </c>
      <c r="M48">
        <f>IF(F48="","",IF(F48&lt;5%,"&lt;5%",IF(F48&lt;15%,"5-15%","&gt;15%")))</f>
        <v/>
      </c>
      <c r="N48" s="50">
        <f>IF(COUNT($C$5:C48)&lt;8,"",(COUNTIF($C$5:C48,"&lt;"&amp;C48)+0.5*COUNTIF($C$5:C48,C48))/COUNT($C$5:C48))</f>
        <v/>
      </c>
      <c r="O48" s="52">
        <f>IF(N48="","",100*(1-N48))</f>
        <v/>
      </c>
      <c r="P48" s="52">
        <f>IF(F48="","",IF(F48&lt;=0,20,IF(F48&lt;5%,20+400*F48,IF(F48&lt;10%,40+400*(F48-5%),IF(F48&lt;15%,60+400*(F48-10%),IF(F48&lt;25%,80+200*(F48-15%),100))))))</f>
        <v/>
      </c>
      <c r="Q48" s="52">
        <f>IF(OR(O48="",P48=""),"",70%*O48+30%*P48)</f>
        <v/>
      </c>
      <c r="R48">
        <f>IF(Q48="","",IF(Q48&gt;=70,"BUY",IF(Q48&gt;=40,"HOLD","SELL")))</f>
        <v/>
      </c>
    </row>
    <row r="49">
      <c r="A49" s="27" t="n">
        <v>40268</v>
      </c>
      <c r="B49" s="28" t="n">
        <v>5249.1</v>
      </c>
      <c r="C49" s="51" t="n">
        <v>22.3</v>
      </c>
      <c r="D49" s="30" t="inlineStr">
        <is>
          <t>Standalone</t>
        </is>
      </c>
      <c r="E49" s="31">
        <f>IFERROR(B49/C49,"")</f>
        <v/>
      </c>
      <c r="F49" s="50">
        <f>IF(D49=D45,IFERROR(E49/E45-1,""),"")</f>
        <v/>
      </c>
      <c r="G49" s="50">
        <f>IFERROR((COUNTIF($C$5:$C$92,"&lt;"&amp;C49)+0.5*COUNTIF($C$5:$C$92,C49))/COUNT($C$5:$C$92),"")</f>
        <v/>
      </c>
      <c r="H49">
        <f>IF(G49="","",IF(G49&lt;=20%,"Q1 Cheapest",IF(G49&lt;=40%,"Q2",IF(G49&lt;=60%,"Q3",IF(G49&lt;=80%,"Q4","Q5 Most Expensive")))))</f>
        <v/>
      </c>
      <c r="I49" s="50">
        <f>IFERROR(B53/B49-1,"")</f>
        <v/>
      </c>
      <c r="J49" s="50">
        <f>IFERROR((B61/B49)^(1/3)-1,"")</f>
        <v/>
      </c>
      <c r="K49" s="50">
        <f>IFERROR((B69/B49)^(1/5)-1,"")</f>
        <v/>
      </c>
      <c r="L49" s="50">
        <f>IFERROR((B89/B49)^(1/10)-1,"")</f>
        <v/>
      </c>
      <c r="M49">
        <f>IF(F49="","",IF(F49&lt;5%,"&lt;5%",IF(F49&lt;15%,"5-15%","&gt;15%")))</f>
        <v/>
      </c>
      <c r="N49" s="50">
        <f>IF(COUNT($C$5:C49)&lt;8,"",(COUNTIF($C$5:C49,"&lt;"&amp;C49)+0.5*COUNTIF($C$5:C49,C49))/COUNT($C$5:C49))</f>
        <v/>
      </c>
      <c r="O49" s="52">
        <f>IF(N49="","",100*(1-N49))</f>
        <v/>
      </c>
      <c r="P49" s="52">
        <f>IF(F49="","",IF(F49&lt;=0,20,IF(F49&lt;5%,20+400*F49,IF(F49&lt;10%,40+400*(F49-5%),IF(F49&lt;15%,60+400*(F49-10%),IF(F49&lt;25%,80+200*(F49-15%),100))))))</f>
        <v/>
      </c>
      <c r="Q49" s="52">
        <f>IF(OR(O49="",P49=""),"",70%*O49+30%*P49)</f>
        <v/>
      </c>
      <c r="R49">
        <f>IF(Q49="","",IF(Q49&gt;=70,"BUY",IF(Q49&gt;=40,"HOLD","SELL")))</f>
        <v/>
      </c>
    </row>
    <row r="50">
      <c r="A50" s="27" t="n">
        <v>40359</v>
      </c>
      <c r="B50" s="28" t="n">
        <v>5312.5</v>
      </c>
      <c r="C50" s="51" t="n">
        <v>22.3</v>
      </c>
      <c r="D50" s="30" t="inlineStr">
        <is>
          <t>Standalone</t>
        </is>
      </c>
      <c r="E50" s="31">
        <f>IFERROR(B50/C50,"")</f>
        <v/>
      </c>
      <c r="F50" s="50">
        <f>IF(D50=D46,IFERROR(E50/E46-1,""),"")</f>
        <v/>
      </c>
      <c r="G50" s="50">
        <f>IFERROR((COUNTIF($C$5:$C$92,"&lt;"&amp;C50)+0.5*COUNTIF($C$5:$C$92,C50))/COUNT($C$5:$C$92),"")</f>
        <v/>
      </c>
      <c r="H50">
        <f>IF(G50="","",IF(G50&lt;=20%,"Q1 Cheapest",IF(G50&lt;=40%,"Q2",IF(G50&lt;=60%,"Q3",IF(G50&lt;=80%,"Q4","Q5 Most Expensive")))))</f>
        <v/>
      </c>
      <c r="I50" s="50">
        <f>IFERROR(B54/B50-1,"")</f>
        <v/>
      </c>
      <c r="J50" s="50">
        <f>IFERROR((B62/B50)^(1/3)-1,"")</f>
        <v/>
      </c>
      <c r="K50" s="50">
        <f>IFERROR((B70/B50)^(1/5)-1,"")</f>
        <v/>
      </c>
      <c r="L50" s="50">
        <f>IFERROR((B90/B50)^(1/10)-1,"")</f>
        <v/>
      </c>
      <c r="M50">
        <f>IF(F50="","",IF(F50&lt;5%,"&lt;5%",IF(F50&lt;15%,"5-15%","&gt;15%")))</f>
        <v/>
      </c>
      <c r="N50" s="50">
        <f>IF(COUNT($C$5:C50)&lt;8,"",(COUNTIF($C$5:C50,"&lt;"&amp;C50)+0.5*COUNTIF($C$5:C50,C50))/COUNT($C$5:C50))</f>
        <v/>
      </c>
      <c r="O50" s="52">
        <f>IF(N50="","",100*(1-N50))</f>
        <v/>
      </c>
      <c r="P50" s="52">
        <f>IF(F50="","",IF(F50&lt;=0,20,IF(F50&lt;5%,20+400*F50,IF(F50&lt;10%,40+400*(F50-5%),IF(F50&lt;15%,60+400*(F50-10%),IF(F50&lt;25%,80+200*(F50-15%),100))))))</f>
        <v/>
      </c>
      <c r="Q50" s="52">
        <f>IF(OR(O50="",P50=""),"",70%*O50+30%*P50)</f>
        <v/>
      </c>
      <c r="R50">
        <f>IF(Q50="","",IF(Q50&gt;=70,"BUY",IF(Q50&gt;=40,"HOLD","SELL")))</f>
        <v/>
      </c>
    </row>
    <row r="51">
      <c r="A51" s="27" t="n">
        <v>40451</v>
      </c>
      <c r="B51" s="28" t="n">
        <v>6029.9</v>
      </c>
      <c r="C51" s="51" t="n">
        <v>25.5</v>
      </c>
      <c r="D51" s="30" t="inlineStr">
        <is>
          <t>Standalone</t>
        </is>
      </c>
      <c r="E51" s="31">
        <f>IFERROR(B51/C51,"")</f>
        <v/>
      </c>
      <c r="F51" s="50">
        <f>IF(D51=D47,IFERROR(E51/E47-1,""),"")</f>
        <v/>
      </c>
      <c r="G51" s="50">
        <f>IFERROR((COUNTIF($C$5:$C$92,"&lt;"&amp;C51)+0.5*COUNTIF($C$5:$C$92,C51))/COUNT($C$5:$C$92),"")</f>
        <v/>
      </c>
      <c r="H51">
        <f>IF(G51="","",IF(G51&lt;=20%,"Q1 Cheapest",IF(G51&lt;=40%,"Q2",IF(G51&lt;=60%,"Q3",IF(G51&lt;=80%,"Q4","Q5 Most Expensive")))))</f>
        <v/>
      </c>
      <c r="I51" s="50">
        <f>IFERROR(B55/B51-1,"")</f>
        <v/>
      </c>
      <c r="J51" s="50">
        <f>IFERROR((B63/B51)^(1/3)-1,"")</f>
        <v/>
      </c>
      <c r="K51" s="50">
        <f>IFERROR((B71/B51)^(1/5)-1,"")</f>
        <v/>
      </c>
      <c r="L51" s="50">
        <f>IFERROR((B91/B51)^(1/10)-1,"")</f>
        <v/>
      </c>
      <c r="M51">
        <f>IF(F51="","",IF(F51&lt;5%,"&lt;5%",IF(F51&lt;15%,"5-15%","&gt;15%")))</f>
        <v/>
      </c>
      <c r="N51" s="50">
        <f>IF(COUNT($C$5:C51)&lt;8,"",(COUNTIF($C$5:C51,"&lt;"&amp;C51)+0.5*COUNTIF($C$5:C51,C51))/COUNT($C$5:C51))</f>
        <v/>
      </c>
      <c r="O51" s="52">
        <f>IF(N51="","",100*(1-N51))</f>
        <v/>
      </c>
      <c r="P51" s="52">
        <f>IF(F51="","",IF(F51&lt;=0,20,IF(F51&lt;5%,20+400*F51,IF(F51&lt;10%,40+400*(F51-5%),IF(F51&lt;15%,60+400*(F51-10%),IF(F51&lt;25%,80+200*(F51-15%),100))))))</f>
        <v/>
      </c>
      <c r="Q51" s="52">
        <f>IF(OR(O51="",P51=""),"",70%*O51+30%*P51)</f>
        <v/>
      </c>
      <c r="R51">
        <f>IF(Q51="","",IF(Q51&gt;=70,"BUY",IF(Q51&gt;=40,"HOLD","SELL")))</f>
        <v/>
      </c>
    </row>
    <row r="52">
      <c r="A52" s="27" t="n">
        <v>40543</v>
      </c>
      <c r="B52" s="28" t="n">
        <v>6134.5</v>
      </c>
      <c r="C52" s="51" t="n">
        <v>24.5</v>
      </c>
      <c r="D52" s="30" t="inlineStr">
        <is>
          <t>Standalone</t>
        </is>
      </c>
      <c r="E52" s="31">
        <f>IFERROR(B52/C52,"")</f>
        <v/>
      </c>
      <c r="F52" s="50">
        <f>IF(D52=D48,IFERROR(E52/E48-1,""),"")</f>
        <v/>
      </c>
      <c r="G52" s="50">
        <f>IFERROR((COUNTIF($C$5:$C$92,"&lt;"&amp;C52)+0.5*COUNTIF($C$5:$C$92,C52))/COUNT($C$5:$C$92),"")</f>
        <v/>
      </c>
      <c r="H52">
        <f>IF(G52="","",IF(G52&lt;=20%,"Q1 Cheapest",IF(G52&lt;=40%,"Q2",IF(G52&lt;=60%,"Q3",IF(G52&lt;=80%,"Q4","Q5 Most Expensive")))))</f>
        <v/>
      </c>
      <c r="I52" s="50">
        <f>IFERROR(B56/B52-1,"")</f>
        <v/>
      </c>
      <c r="J52" s="50">
        <f>IFERROR((B64/B52)^(1/3)-1,"")</f>
        <v/>
      </c>
      <c r="K52" s="50">
        <f>IFERROR((B72/B52)^(1/5)-1,"")</f>
        <v/>
      </c>
      <c r="L52" s="50">
        <f>IFERROR((B92/B52)^(1/10)-1,"")</f>
        <v/>
      </c>
      <c r="M52">
        <f>IF(F52="","",IF(F52&lt;5%,"&lt;5%",IF(F52&lt;15%,"5-15%","&gt;15%")))</f>
        <v/>
      </c>
      <c r="N52" s="50">
        <f>IF(COUNT($C$5:C52)&lt;8,"",(COUNTIF($C$5:C52,"&lt;"&amp;C52)+0.5*COUNTIF($C$5:C52,C52))/COUNT($C$5:C52))</f>
        <v/>
      </c>
      <c r="O52" s="52">
        <f>IF(N52="","",100*(1-N52))</f>
        <v/>
      </c>
      <c r="P52" s="52">
        <f>IF(F52="","",IF(F52&lt;=0,20,IF(F52&lt;5%,20+400*F52,IF(F52&lt;10%,40+400*(F52-5%),IF(F52&lt;15%,60+400*(F52-10%),IF(F52&lt;25%,80+200*(F52-15%),100))))))</f>
        <v/>
      </c>
      <c r="Q52" s="52">
        <f>IF(OR(O52="",P52=""),"",70%*O52+30%*P52)</f>
        <v/>
      </c>
      <c r="R52">
        <f>IF(Q52="","",IF(Q52&gt;=70,"BUY",IF(Q52&gt;=40,"HOLD","SELL")))</f>
        <v/>
      </c>
    </row>
    <row r="53">
      <c r="A53" s="27" t="n">
        <v>40633</v>
      </c>
      <c r="B53" s="28" t="n">
        <v>5833.7</v>
      </c>
      <c r="C53" s="51" t="n">
        <v>22.1</v>
      </c>
      <c r="D53" s="30" t="inlineStr">
        <is>
          <t>Standalone</t>
        </is>
      </c>
      <c r="E53" s="31">
        <f>IFERROR(B53/C53,"")</f>
        <v/>
      </c>
      <c r="F53" s="50">
        <f>IF(D53=D49,IFERROR(E53/E49-1,""),"")</f>
        <v/>
      </c>
      <c r="G53" s="50">
        <f>IFERROR((COUNTIF($C$5:$C$92,"&lt;"&amp;C53)+0.5*COUNTIF($C$5:$C$92,C53))/COUNT($C$5:$C$92),"")</f>
        <v/>
      </c>
      <c r="H53">
        <f>IF(G53="","",IF(G53&lt;=20%,"Q1 Cheapest",IF(G53&lt;=40%,"Q2",IF(G53&lt;=60%,"Q3",IF(G53&lt;=80%,"Q4","Q5 Most Expensive")))))</f>
        <v/>
      </c>
      <c r="I53" s="50">
        <f>IFERROR(B57/B53-1,"")</f>
        <v/>
      </c>
      <c r="J53" s="50">
        <f>IFERROR((B65/B53)^(1/3)-1,"")</f>
        <v/>
      </c>
      <c r="K53" s="50">
        <f>IFERROR((B73/B53)^(1/5)-1,"")</f>
        <v/>
      </c>
      <c r="L53" s="50">
        <f>IFERROR((B93/B53)^(1/10)-1,"")</f>
        <v/>
      </c>
      <c r="M53">
        <f>IF(F53="","",IF(F53&lt;5%,"&lt;5%",IF(F53&lt;15%,"5-15%","&gt;15%")))</f>
        <v/>
      </c>
      <c r="N53" s="50">
        <f>IF(COUNT($C$5:C53)&lt;8,"",(COUNTIF($C$5:C53,"&lt;"&amp;C53)+0.5*COUNTIF($C$5:C53,C53))/COUNT($C$5:C53))</f>
        <v/>
      </c>
      <c r="O53" s="52">
        <f>IF(N53="","",100*(1-N53))</f>
        <v/>
      </c>
      <c r="P53" s="52">
        <f>IF(F53="","",IF(F53&lt;=0,20,IF(F53&lt;5%,20+400*F53,IF(F53&lt;10%,40+400*(F53-5%),IF(F53&lt;15%,60+400*(F53-10%),IF(F53&lt;25%,80+200*(F53-15%),100))))))</f>
        <v/>
      </c>
      <c r="Q53" s="52">
        <f>IF(OR(O53="",P53=""),"",70%*O53+30%*P53)</f>
        <v/>
      </c>
      <c r="R53">
        <f>IF(Q53="","",IF(Q53&gt;=70,"BUY",IF(Q53&gt;=40,"HOLD","SELL")))</f>
        <v/>
      </c>
    </row>
    <row r="54">
      <c r="A54" s="27" t="n">
        <v>40724</v>
      </c>
      <c r="B54" s="28" t="n">
        <v>5647.4</v>
      </c>
      <c r="C54" s="51" t="n">
        <v>20.8</v>
      </c>
      <c r="D54" s="30" t="inlineStr">
        <is>
          <t>Standalone</t>
        </is>
      </c>
      <c r="E54" s="31">
        <f>IFERROR(B54/C54,"")</f>
        <v/>
      </c>
      <c r="F54" s="50">
        <f>IF(D54=D50,IFERROR(E54/E50-1,""),"")</f>
        <v/>
      </c>
      <c r="G54" s="50">
        <f>IFERROR((COUNTIF($C$5:$C$92,"&lt;"&amp;C54)+0.5*COUNTIF($C$5:$C$92,C54))/COUNT($C$5:$C$92),"")</f>
        <v/>
      </c>
      <c r="H54">
        <f>IF(G54="","",IF(G54&lt;=20%,"Q1 Cheapest",IF(G54&lt;=40%,"Q2",IF(G54&lt;=60%,"Q3",IF(G54&lt;=80%,"Q4","Q5 Most Expensive")))))</f>
        <v/>
      </c>
      <c r="I54" s="50">
        <f>IFERROR(B58/B54-1,"")</f>
        <v/>
      </c>
      <c r="J54" s="50">
        <f>IFERROR((B66/B54)^(1/3)-1,"")</f>
        <v/>
      </c>
      <c r="K54" s="50">
        <f>IFERROR((B74/B54)^(1/5)-1,"")</f>
        <v/>
      </c>
      <c r="L54" s="50">
        <f>IFERROR((B94/B54)^(1/10)-1,"")</f>
        <v/>
      </c>
      <c r="M54">
        <f>IF(F54="","",IF(F54&lt;5%,"&lt;5%",IF(F54&lt;15%,"5-15%","&gt;15%")))</f>
        <v/>
      </c>
      <c r="N54" s="50">
        <f>IF(COUNT($C$5:C54)&lt;8,"",(COUNTIF($C$5:C54,"&lt;"&amp;C54)+0.5*COUNTIF($C$5:C54,C54))/COUNT($C$5:C54))</f>
        <v/>
      </c>
      <c r="O54" s="52">
        <f>IF(N54="","",100*(1-N54))</f>
        <v/>
      </c>
      <c r="P54" s="52">
        <f>IF(F54="","",IF(F54&lt;=0,20,IF(F54&lt;5%,20+400*F54,IF(F54&lt;10%,40+400*(F54-5%),IF(F54&lt;15%,60+400*(F54-10%),IF(F54&lt;25%,80+200*(F54-15%),100))))))</f>
        <v/>
      </c>
      <c r="Q54" s="52">
        <f>IF(OR(O54="",P54=""),"",70%*O54+30%*P54)</f>
        <v/>
      </c>
      <c r="R54">
        <f>IF(Q54="","",IF(Q54&gt;=70,"BUY",IF(Q54&gt;=40,"HOLD","SELL")))</f>
        <v/>
      </c>
    </row>
    <row r="55">
      <c r="A55" s="27" t="n">
        <v>40816</v>
      </c>
      <c r="B55" s="28" t="n">
        <v>4943.2</v>
      </c>
      <c r="C55" s="51" t="n">
        <v>17.9</v>
      </c>
      <c r="D55" s="30" t="inlineStr">
        <is>
          <t>Standalone</t>
        </is>
      </c>
      <c r="E55" s="31">
        <f>IFERROR(B55/C55,"")</f>
        <v/>
      </c>
      <c r="F55" s="50">
        <f>IF(D55=D51,IFERROR(E55/E51-1,""),"")</f>
        <v/>
      </c>
      <c r="G55" s="50">
        <f>IFERROR((COUNTIF($C$5:$C$92,"&lt;"&amp;C55)+0.5*COUNTIF($C$5:$C$92,C55))/COUNT($C$5:$C$92),"")</f>
        <v/>
      </c>
      <c r="H55">
        <f>IF(G55="","",IF(G55&lt;=20%,"Q1 Cheapest",IF(G55&lt;=40%,"Q2",IF(G55&lt;=60%,"Q3",IF(G55&lt;=80%,"Q4","Q5 Most Expensive")))))</f>
        <v/>
      </c>
      <c r="I55" s="50">
        <f>IFERROR(B59/B55-1,"")</f>
        <v/>
      </c>
      <c r="J55" s="50">
        <f>IFERROR((B67/B55)^(1/3)-1,"")</f>
        <v/>
      </c>
      <c r="K55" s="50">
        <f>IFERROR((B75/B55)^(1/5)-1,"")</f>
        <v/>
      </c>
      <c r="L55" s="50">
        <f>IFERROR((B95/B55)^(1/10)-1,"")</f>
        <v/>
      </c>
      <c r="M55">
        <f>IF(F55="","",IF(F55&lt;5%,"&lt;5%",IF(F55&lt;15%,"5-15%","&gt;15%")))</f>
        <v/>
      </c>
      <c r="N55" s="50">
        <f>IF(COUNT($C$5:C55)&lt;8,"",(COUNTIF($C$5:C55,"&lt;"&amp;C55)+0.5*COUNTIF($C$5:C55,C55))/COUNT($C$5:C55))</f>
        <v/>
      </c>
      <c r="O55" s="52">
        <f>IF(N55="","",100*(1-N55))</f>
        <v/>
      </c>
      <c r="P55" s="52">
        <f>IF(F55="","",IF(F55&lt;=0,20,IF(F55&lt;5%,20+400*F55,IF(F55&lt;10%,40+400*(F55-5%),IF(F55&lt;15%,60+400*(F55-10%),IF(F55&lt;25%,80+200*(F55-15%),100))))))</f>
        <v/>
      </c>
      <c r="Q55" s="52">
        <f>IF(OR(O55="",P55=""),"",70%*O55+30%*P55)</f>
        <v/>
      </c>
      <c r="R55">
        <f>IF(Q55="","",IF(Q55&gt;=70,"BUY",IF(Q55&gt;=40,"HOLD","SELL")))</f>
        <v/>
      </c>
    </row>
    <row r="56">
      <c r="A56" s="27" t="n">
        <v>40908</v>
      </c>
      <c r="B56" s="28" t="n">
        <v>4624.3</v>
      </c>
      <c r="C56" s="51" t="n">
        <v>16.8</v>
      </c>
      <c r="D56" s="30" t="inlineStr">
        <is>
          <t>Standalone</t>
        </is>
      </c>
      <c r="E56" s="31">
        <f>IFERROR(B56/C56,"")</f>
        <v/>
      </c>
      <c r="F56" s="50">
        <f>IF(D56=D52,IFERROR(E56/E52-1,""),"")</f>
        <v/>
      </c>
      <c r="G56" s="50">
        <f>IFERROR((COUNTIF($C$5:$C$92,"&lt;"&amp;C56)+0.5*COUNTIF($C$5:$C$92,C56))/COUNT($C$5:$C$92),"")</f>
        <v/>
      </c>
      <c r="H56">
        <f>IF(G56="","",IF(G56&lt;=20%,"Q1 Cheapest",IF(G56&lt;=40%,"Q2",IF(G56&lt;=60%,"Q3",IF(G56&lt;=80%,"Q4","Q5 Most Expensive")))))</f>
        <v/>
      </c>
      <c r="I56" s="50">
        <f>IFERROR(B60/B56-1,"")</f>
        <v/>
      </c>
      <c r="J56" s="50">
        <f>IFERROR((B68/B56)^(1/3)-1,"")</f>
        <v/>
      </c>
      <c r="K56" s="50">
        <f>IFERROR((B76/B56)^(1/5)-1,"")</f>
        <v/>
      </c>
      <c r="L56" s="50">
        <f>IFERROR((B96/B56)^(1/10)-1,"")</f>
        <v/>
      </c>
      <c r="M56">
        <f>IF(F56="","",IF(F56&lt;5%,"&lt;5%",IF(F56&lt;15%,"5-15%","&gt;15%")))</f>
        <v/>
      </c>
      <c r="N56" s="50">
        <f>IF(COUNT($C$5:C56)&lt;8,"",(COUNTIF($C$5:C56,"&lt;"&amp;C56)+0.5*COUNTIF($C$5:C56,C56))/COUNT($C$5:C56))</f>
        <v/>
      </c>
      <c r="O56" s="52">
        <f>IF(N56="","",100*(1-N56))</f>
        <v/>
      </c>
      <c r="P56" s="52">
        <f>IF(F56="","",IF(F56&lt;=0,20,IF(F56&lt;5%,20+400*F56,IF(F56&lt;10%,40+400*(F56-5%),IF(F56&lt;15%,60+400*(F56-10%),IF(F56&lt;25%,80+200*(F56-15%),100))))))</f>
        <v/>
      </c>
      <c r="Q56" s="52">
        <f>IF(OR(O56="",P56=""),"",70%*O56+30%*P56)</f>
        <v/>
      </c>
      <c r="R56">
        <f>IF(Q56="","",IF(Q56&gt;=70,"BUY",IF(Q56&gt;=40,"HOLD","SELL")))</f>
        <v/>
      </c>
    </row>
    <row r="57">
      <c r="A57" s="27" t="n">
        <v>40999</v>
      </c>
      <c r="B57" s="28" t="n">
        <v>5295.5</v>
      </c>
      <c r="C57" s="51" t="n">
        <v>18.7</v>
      </c>
      <c r="D57" s="30" t="inlineStr">
        <is>
          <t>Standalone</t>
        </is>
      </c>
      <c r="E57" s="31">
        <f>IFERROR(B57/C57,"")</f>
        <v/>
      </c>
      <c r="F57" s="50">
        <f>IF(D57=D53,IFERROR(E57/E53-1,""),"")</f>
        <v/>
      </c>
      <c r="G57" s="50">
        <f>IFERROR((COUNTIF($C$5:$C$92,"&lt;"&amp;C57)+0.5*COUNTIF($C$5:$C$92,C57))/COUNT($C$5:$C$92),"")</f>
        <v/>
      </c>
      <c r="H57">
        <f>IF(G57="","",IF(G57&lt;=20%,"Q1 Cheapest",IF(G57&lt;=40%,"Q2",IF(G57&lt;=60%,"Q3",IF(G57&lt;=80%,"Q4","Q5 Most Expensive")))))</f>
        <v/>
      </c>
      <c r="I57" s="50">
        <f>IFERROR(B61/B57-1,"")</f>
        <v/>
      </c>
      <c r="J57" s="50">
        <f>IFERROR((B69/B57)^(1/3)-1,"")</f>
        <v/>
      </c>
      <c r="K57" s="50">
        <f>IFERROR((B77/B57)^(1/5)-1,"")</f>
        <v/>
      </c>
      <c r="L57" s="50">
        <f>IFERROR((B97/B57)^(1/10)-1,"")</f>
        <v/>
      </c>
      <c r="M57">
        <f>IF(F57="","",IF(F57&lt;5%,"&lt;5%",IF(F57&lt;15%,"5-15%","&gt;15%")))</f>
        <v/>
      </c>
      <c r="N57" s="50">
        <f>IF(COUNT($C$5:C57)&lt;8,"",(COUNTIF($C$5:C57,"&lt;"&amp;C57)+0.5*COUNTIF($C$5:C57,C57))/COUNT($C$5:C57))</f>
        <v/>
      </c>
      <c r="O57" s="52">
        <f>IF(N57="","",100*(1-N57))</f>
        <v/>
      </c>
      <c r="P57" s="52">
        <f>IF(F57="","",IF(F57&lt;=0,20,IF(F57&lt;5%,20+400*F57,IF(F57&lt;10%,40+400*(F57-5%),IF(F57&lt;15%,60+400*(F57-10%),IF(F57&lt;25%,80+200*(F57-15%),100))))))</f>
        <v/>
      </c>
      <c r="Q57" s="52">
        <f>IF(OR(O57="",P57=""),"",70%*O57+30%*P57)</f>
        <v/>
      </c>
      <c r="R57">
        <f>IF(Q57="","",IF(Q57&gt;=70,"BUY",IF(Q57&gt;=40,"HOLD","SELL")))</f>
        <v/>
      </c>
    </row>
    <row r="58">
      <c r="A58" s="27" t="n">
        <v>41090</v>
      </c>
      <c r="B58" s="28" t="n">
        <v>5278.9</v>
      </c>
      <c r="C58" s="51" t="n">
        <v>17.5</v>
      </c>
      <c r="D58" s="30" t="inlineStr">
        <is>
          <t>Standalone</t>
        </is>
      </c>
      <c r="E58" s="31">
        <f>IFERROR(B58/C58,"")</f>
        <v/>
      </c>
      <c r="F58" s="50">
        <f>IF(D58=D54,IFERROR(E58/E54-1,""),"")</f>
        <v/>
      </c>
      <c r="G58" s="50">
        <f>IFERROR((COUNTIF($C$5:$C$92,"&lt;"&amp;C58)+0.5*COUNTIF($C$5:$C$92,C58))/COUNT($C$5:$C$92),"")</f>
        <v/>
      </c>
      <c r="H58">
        <f>IF(G58="","",IF(G58&lt;=20%,"Q1 Cheapest",IF(G58&lt;=40%,"Q2",IF(G58&lt;=60%,"Q3",IF(G58&lt;=80%,"Q4","Q5 Most Expensive")))))</f>
        <v/>
      </c>
      <c r="I58" s="50">
        <f>IFERROR(B62/B58-1,"")</f>
        <v/>
      </c>
      <c r="J58" s="50">
        <f>IFERROR((B70/B58)^(1/3)-1,"")</f>
        <v/>
      </c>
      <c r="K58" s="50">
        <f>IFERROR((B78/B58)^(1/5)-1,"")</f>
        <v/>
      </c>
      <c r="L58" s="50">
        <f>IFERROR((B98/B58)^(1/10)-1,"")</f>
        <v/>
      </c>
      <c r="M58">
        <f>IF(F58="","",IF(F58&lt;5%,"&lt;5%",IF(F58&lt;15%,"5-15%","&gt;15%")))</f>
        <v/>
      </c>
      <c r="N58" s="50">
        <f>IF(COUNT($C$5:C58)&lt;8,"",(COUNTIF($C$5:C58,"&lt;"&amp;C58)+0.5*COUNTIF($C$5:C58,C58))/COUNT($C$5:C58))</f>
        <v/>
      </c>
      <c r="O58" s="52">
        <f>IF(N58="","",100*(1-N58))</f>
        <v/>
      </c>
      <c r="P58" s="52">
        <f>IF(F58="","",IF(F58&lt;=0,20,IF(F58&lt;5%,20+400*F58,IF(F58&lt;10%,40+400*(F58-5%),IF(F58&lt;15%,60+400*(F58-10%),IF(F58&lt;25%,80+200*(F58-15%),100))))))</f>
        <v/>
      </c>
      <c r="Q58" s="52">
        <f>IF(OR(O58="",P58=""),"",70%*O58+30%*P58)</f>
        <v/>
      </c>
      <c r="R58">
        <f>IF(Q58="","",IF(Q58&gt;=70,"BUY",IF(Q58&gt;=40,"HOLD","SELL")))</f>
        <v/>
      </c>
    </row>
    <row r="59">
      <c r="A59" s="27" t="n">
        <v>41182</v>
      </c>
      <c r="B59" s="28" t="n">
        <v>5703.3</v>
      </c>
      <c r="C59" s="51" t="n">
        <v>19.2</v>
      </c>
      <c r="D59" s="30" t="inlineStr">
        <is>
          <t>Standalone</t>
        </is>
      </c>
      <c r="E59" s="31">
        <f>IFERROR(B59/C59,"")</f>
        <v/>
      </c>
      <c r="F59" s="50">
        <f>IF(D59=D55,IFERROR(E59/E55-1,""),"")</f>
        <v/>
      </c>
      <c r="G59" s="50">
        <f>IFERROR((COUNTIF($C$5:$C$92,"&lt;"&amp;C59)+0.5*COUNTIF($C$5:$C$92,C59))/COUNT($C$5:$C$92),"")</f>
        <v/>
      </c>
      <c r="H59">
        <f>IF(G59="","",IF(G59&lt;=20%,"Q1 Cheapest",IF(G59&lt;=40%,"Q2",IF(G59&lt;=60%,"Q3",IF(G59&lt;=80%,"Q4","Q5 Most Expensive")))))</f>
        <v/>
      </c>
      <c r="I59" s="50">
        <f>IFERROR(B63/B59-1,"")</f>
        <v/>
      </c>
      <c r="J59" s="50">
        <f>IFERROR((B71/B59)^(1/3)-1,"")</f>
        <v/>
      </c>
      <c r="K59" s="50">
        <f>IFERROR((B79/B59)^(1/5)-1,"")</f>
        <v/>
      </c>
      <c r="L59" s="50">
        <f>IFERROR((B99/B59)^(1/10)-1,"")</f>
        <v/>
      </c>
      <c r="M59">
        <f>IF(F59="","",IF(F59&lt;5%,"&lt;5%",IF(F59&lt;15%,"5-15%","&gt;15%")))</f>
        <v/>
      </c>
      <c r="N59" s="50">
        <f>IF(COUNT($C$5:C59)&lt;8,"",(COUNTIF($C$5:C59,"&lt;"&amp;C59)+0.5*COUNTIF($C$5:C59,C59))/COUNT($C$5:C59))</f>
        <v/>
      </c>
      <c r="O59" s="52">
        <f>IF(N59="","",100*(1-N59))</f>
        <v/>
      </c>
      <c r="P59" s="52">
        <f>IF(F59="","",IF(F59&lt;=0,20,IF(F59&lt;5%,20+400*F59,IF(F59&lt;10%,40+400*(F59-5%),IF(F59&lt;15%,60+400*(F59-10%),IF(F59&lt;25%,80+200*(F59-15%),100))))))</f>
        <v/>
      </c>
      <c r="Q59" s="52">
        <f>IF(OR(O59="",P59=""),"",70%*O59+30%*P59)</f>
        <v/>
      </c>
      <c r="R59">
        <f>IF(Q59="","",IF(Q59&gt;=70,"BUY",IF(Q59&gt;=40,"HOLD","SELL")))</f>
        <v/>
      </c>
    </row>
    <row r="60">
      <c r="A60" s="27" t="n">
        <v>41274</v>
      </c>
      <c r="B60" s="28" t="n">
        <v>5905.1</v>
      </c>
      <c r="C60" s="51" t="n">
        <v>18.7</v>
      </c>
      <c r="D60" s="30" t="inlineStr">
        <is>
          <t>Standalone</t>
        </is>
      </c>
      <c r="E60" s="31">
        <f>IFERROR(B60/C60,"")</f>
        <v/>
      </c>
      <c r="F60" s="50">
        <f>IF(D60=D56,IFERROR(E60/E56-1,""),"")</f>
        <v/>
      </c>
      <c r="G60" s="50">
        <f>IFERROR((COUNTIF($C$5:$C$92,"&lt;"&amp;C60)+0.5*COUNTIF($C$5:$C$92,C60))/COUNT($C$5:$C$92),"")</f>
        <v/>
      </c>
      <c r="H60">
        <f>IF(G60="","",IF(G60&lt;=20%,"Q1 Cheapest",IF(G60&lt;=40%,"Q2",IF(G60&lt;=60%,"Q3",IF(G60&lt;=80%,"Q4","Q5 Most Expensive")))))</f>
        <v/>
      </c>
      <c r="I60" s="50">
        <f>IFERROR(B64/B60-1,"")</f>
        <v/>
      </c>
      <c r="J60" s="50">
        <f>IFERROR((B72/B60)^(1/3)-1,"")</f>
        <v/>
      </c>
      <c r="K60" s="50">
        <f>IFERROR((B80/B60)^(1/5)-1,"")</f>
        <v/>
      </c>
      <c r="L60" s="50">
        <f>IFERROR((B100/B60)^(1/10)-1,"")</f>
        <v/>
      </c>
      <c r="M60">
        <f>IF(F60="","",IF(F60&lt;5%,"&lt;5%",IF(F60&lt;15%,"5-15%","&gt;15%")))</f>
        <v/>
      </c>
      <c r="N60" s="50">
        <f>IF(COUNT($C$5:C60)&lt;8,"",(COUNTIF($C$5:C60,"&lt;"&amp;C60)+0.5*COUNTIF($C$5:C60,C60))/COUNT($C$5:C60))</f>
        <v/>
      </c>
      <c r="O60" s="52">
        <f>IF(N60="","",100*(1-N60))</f>
        <v/>
      </c>
      <c r="P60" s="52">
        <f>IF(F60="","",IF(F60&lt;=0,20,IF(F60&lt;5%,20+400*F60,IF(F60&lt;10%,40+400*(F60-5%),IF(F60&lt;15%,60+400*(F60-10%),IF(F60&lt;25%,80+200*(F60-15%),100))))))</f>
        <v/>
      </c>
      <c r="Q60" s="52">
        <f>IF(OR(O60="",P60=""),"",70%*O60+30%*P60)</f>
        <v/>
      </c>
      <c r="R60">
        <f>IF(Q60="","",IF(Q60&gt;=70,"BUY",IF(Q60&gt;=40,"HOLD","SELL")))</f>
        <v/>
      </c>
    </row>
    <row r="61">
      <c r="A61" s="27" t="n">
        <v>41364</v>
      </c>
      <c r="B61" s="28" t="n">
        <v>5682.5</v>
      </c>
      <c r="C61" s="51" t="n">
        <v>17.6</v>
      </c>
      <c r="D61" s="30" t="inlineStr">
        <is>
          <t>Standalone</t>
        </is>
      </c>
      <c r="E61" s="31">
        <f>IFERROR(B61/C61,"")</f>
        <v/>
      </c>
      <c r="F61" s="50">
        <f>IF(D61=D57,IFERROR(E61/E57-1,""),"")</f>
        <v/>
      </c>
      <c r="G61" s="50">
        <f>IFERROR((COUNTIF($C$5:$C$92,"&lt;"&amp;C61)+0.5*COUNTIF($C$5:$C$92,C61))/COUNT($C$5:$C$92),"")</f>
        <v/>
      </c>
      <c r="H61">
        <f>IF(G61="","",IF(G61&lt;=20%,"Q1 Cheapest",IF(G61&lt;=40%,"Q2",IF(G61&lt;=60%,"Q3",IF(G61&lt;=80%,"Q4","Q5 Most Expensive")))))</f>
        <v/>
      </c>
      <c r="I61" s="50">
        <f>IFERROR(B65/B61-1,"")</f>
        <v/>
      </c>
      <c r="J61" s="50">
        <f>IFERROR((B73/B61)^(1/3)-1,"")</f>
        <v/>
      </c>
      <c r="K61" s="50">
        <f>IFERROR((B81/B61)^(1/5)-1,"")</f>
        <v/>
      </c>
      <c r="L61" s="50">
        <f>IFERROR((B101/B61)^(1/10)-1,"")</f>
        <v/>
      </c>
      <c r="M61">
        <f>IF(F61="","",IF(F61&lt;5%,"&lt;5%",IF(F61&lt;15%,"5-15%","&gt;15%")))</f>
        <v/>
      </c>
      <c r="N61" s="50">
        <f>IF(COUNT($C$5:C61)&lt;8,"",(COUNTIF($C$5:C61,"&lt;"&amp;C61)+0.5*COUNTIF($C$5:C61,C61))/COUNT($C$5:C61))</f>
        <v/>
      </c>
      <c r="O61" s="52">
        <f>IF(N61="","",100*(1-N61))</f>
        <v/>
      </c>
      <c r="P61" s="52">
        <f>IF(F61="","",IF(F61&lt;=0,20,IF(F61&lt;5%,20+400*F61,IF(F61&lt;10%,40+400*(F61-5%),IF(F61&lt;15%,60+400*(F61-10%),IF(F61&lt;25%,80+200*(F61-15%),100))))))</f>
        <v/>
      </c>
      <c r="Q61" s="52">
        <f>IF(OR(O61="",P61=""),"",70%*O61+30%*P61)</f>
        <v/>
      </c>
      <c r="R61">
        <f>IF(Q61="","",IF(Q61&gt;=70,"BUY",IF(Q61&gt;=40,"HOLD","SELL")))</f>
        <v/>
      </c>
    </row>
    <row r="62">
      <c r="A62" s="27" t="n">
        <v>41455</v>
      </c>
      <c r="B62" s="28" t="n">
        <v>5842.2</v>
      </c>
      <c r="C62" s="51" t="n">
        <v>17.8</v>
      </c>
      <c r="D62" s="30" t="inlineStr">
        <is>
          <t>Standalone</t>
        </is>
      </c>
      <c r="E62" s="31">
        <f>IFERROR(B62/C62,"")</f>
        <v/>
      </c>
      <c r="F62" s="50">
        <f>IF(D62=D58,IFERROR(E62/E58-1,""),"")</f>
        <v/>
      </c>
      <c r="G62" s="50">
        <f>IFERROR((COUNTIF($C$5:$C$92,"&lt;"&amp;C62)+0.5*COUNTIF($C$5:$C$92,C62))/COUNT($C$5:$C$92),"")</f>
        <v/>
      </c>
      <c r="H62">
        <f>IF(G62="","",IF(G62&lt;=20%,"Q1 Cheapest",IF(G62&lt;=40%,"Q2",IF(G62&lt;=60%,"Q3",IF(G62&lt;=80%,"Q4","Q5 Most Expensive")))))</f>
        <v/>
      </c>
      <c r="I62" s="50">
        <f>IFERROR(B66/B62-1,"")</f>
        <v/>
      </c>
      <c r="J62" s="50">
        <f>IFERROR((B74/B62)^(1/3)-1,"")</f>
        <v/>
      </c>
      <c r="K62" s="50">
        <f>IFERROR((B82/B62)^(1/5)-1,"")</f>
        <v/>
      </c>
      <c r="L62" s="50">
        <f>IFERROR((B102/B62)^(1/10)-1,"")</f>
        <v/>
      </c>
      <c r="M62">
        <f>IF(F62="","",IF(F62&lt;5%,"&lt;5%",IF(F62&lt;15%,"5-15%","&gt;15%")))</f>
        <v/>
      </c>
      <c r="N62" s="50">
        <f>IF(COUNT($C$5:C62)&lt;8,"",(COUNTIF($C$5:C62,"&lt;"&amp;C62)+0.5*COUNTIF($C$5:C62,C62))/COUNT($C$5:C62))</f>
        <v/>
      </c>
      <c r="O62" s="52">
        <f>IF(N62="","",100*(1-N62))</f>
        <v/>
      </c>
      <c r="P62" s="52">
        <f>IF(F62="","",IF(F62&lt;=0,20,IF(F62&lt;5%,20+400*F62,IF(F62&lt;10%,40+400*(F62-5%),IF(F62&lt;15%,60+400*(F62-10%),IF(F62&lt;25%,80+200*(F62-15%),100))))))</f>
        <v/>
      </c>
      <c r="Q62" s="52">
        <f>IF(OR(O62="",P62=""),"",70%*O62+30%*P62)</f>
        <v/>
      </c>
      <c r="R62">
        <f>IF(Q62="","",IF(Q62&gt;=70,"BUY",IF(Q62&gt;=40,"HOLD","SELL")))</f>
        <v/>
      </c>
    </row>
    <row r="63">
      <c r="A63" s="27" t="n">
        <v>41547</v>
      </c>
      <c r="B63" s="28" t="n">
        <v>5735.3</v>
      </c>
      <c r="C63" s="51" t="n">
        <v>16.8</v>
      </c>
      <c r="D63" s="30" t="inlineStr">
        <is>
          <t>Standalone</t>
        </is>
      </c>
      <c r="E63" s="31">
        <f>IFERROR(B63/C63,"")</f>
        <v/>
      </c>
      <c r="F63" s="50">
        <f>IF(D63=D59,IFERROR(E63/E59-1,""),"")</f>
        <v/>
      </c>
      <c r="G63" s="50">
        <f>IFERROR((COUNTIF($C$5:$C$92,"&lt;"&amp;C63)+0.5*COUNTIF($C$5:$C$92,C63))/COUNT($C$5:$C$92),"")</f>
        <v/>
      </c>
      <c r="H63">
        <f>IF(G63="","",IF(G63&lt;=20%,"Q1 Cheapest",IF(G63&lt;=40%,"Q2",IF(G63&lt;=60%,"Q3",IF(G63&lt;=80%,"Q4","Q5 Most Expensive")))))</f>
        <v/>
      </c>
      <c r="I63" s="50">
        <f>IFERROR(B67/B63-1,"")</f>
        <v/>
      </c>
      <c r="J63" s="50">
        <f>IFERROR((B75/B63)^(1/3)-1,"")</f>
        <v/>
      </c>
      <c r="K63" s="50">
        <f>IFERROR((B83/B63)^(1/5)-1,"")</f>
        <v/>
      </c>
      <c r="L63" s="50">
        <f>IFERROR((B103/B63)^(1/10)-1,"")</f>
        <v/>
      </c>
      <c r="M63">
        <f>IF(F63="","",IF(F63&lt;5%,"&lt;5%",IF(F63&lt;15%,"5-15%","&gt;15%")))</f>
        <v/>
      </c>
      <c r="N63" s="50">
        <f>IF(COUNT($C$5:C63)&lt;8,"",(COUNTIF($C$5:C63,"&lt;"&amp;C63)+0.5*COUNTIF($C$5:C63,C63))/COUNT($C$5:C63))</f>
        <v/>
      </c>
      <c r="O63" s="52">
        <f>IF(N63="","",100*(1-N63))</f>
        <v/>
      </c>
      <c r="P63" s="52">
        <f>IF(F63="","",IF(F63&lt;=0,20,IF(F63&lt;5%,20+400*F63,IF(F63&lt;10%,40+400*(F63-5%),IF(F63&lt;15%,60+400*(F63-10%),IF(F63&lt;25%,80+200*(F63-15%),100))))))</f>
        <v/>
      </c>
      <c r="Q63" s="52">
        <f>IF(OR(O63="",P63=""),"",70%*O63+30%*P63)</f>
        <v/>
      </c>
      <c r="R63">
        <f>IF(Q63="","",IF(Q63&gt;=70,"BUY",IF(Q63&gt;=40,"HOLD","SELL")))</f>
        <v/>
      </c>
    </row>
    <row r="64">
      <c r="A64" s="27" t="n">
        <v>41639</v>
      </c>
      <c r="B64" s="28" t="n">
        <v>6304</v>
      </c>
      <c r="C64" s="51" t="n">
        <v>18.7</v>
      </c>
      <c r="D64" s="30" t="inlineStr">
        <is>
          <t>Standalone</t>
        </is>
      </c>
      <c r="E64" s="31">
        <f>IFERROR(B64/C64,"")</f>
        <v/>
      </c>
      <c r="F64" s="50">
        <f>IF(D64=D60,IFERROR(E64/E60-1,""),"")</f>
        <v/>
      </c>
      <c r="G64" s="50">
        <f>IFERROR((COUNTIF($C$5:$C$92,"&lt;"&amp;C64)+0.5*COUNTIF($C$5:$C$92,C64))/COUNT($C$5:$C$92),"")</f>
        <v/>
      </c>
      <c r="H64">
        <f>IF(G64="","",IF(G64&lt;=20%,"Q1 Cheapest",IF(G64&lt;=40%,"Q2",IF(G64&lt;=60%,"Q3",IF(G64&lt;=80%,"Q4","Q5 Most Expensive")))))</f>
        <v/>
      </c>
      <c r="I64" s="50">
        <f>IFERROR(B68/B64-1,"")</f>
        <v/>
      </c>
      <c r="J64" s="50">
        <f>IFERROR((B76/B64)^(1/3)-1,"")</f>
        <v/>
      </c>
      <c r="K64" s="50">
        <f>IFERROR((B84/B64)^(1/5)-1,"")</f>
        <v/>
      </c>
      <c r="L64" s="50">
        <f>IFERROR((B104/B64)^(1/10)-1,"")</f>
        <v/>
      </c>
      <c r="M64">
        <f>IF(F64="","",IF(F64&lt;5%,"&lt;5%",IF(F64&lt;15%,"5-15%","&gt;15%")))</f>
        <v/>
      </c>
      <c r="N64" s="50">
        <f>IF(COUNT($C$5:C64)&lt;8,"",(COUNTIF($C$5:C64,"&lt;"&amp;C64)+0.5*COUNTIF($C$5:C64,C64))/COUNT($C$5:C64))</f>
        <v/>
      </c>
      <c r="O64" s="52">
        <f>IF(N64="","",100*(1-N64))</f>
        <v/>
      </c>
      <c r="P64" s="52">
        <f>IF(F64="","",IF(F64&lt;=0,20,IF(F64&lt;5%,20+400*F64,IF(F64&lt;10%,40+400*(F64-5%),IF(F64&lt;15%,60+400*(F64-10%),IF(F64&lt;25%,80+200*(F64-15%),100))))))</f>
        <v/>
      </c>
      <c r="Q64" s="52">
        <f>IF(OR(O64="",P64=""),"",70%*O64+30%*P64)</f>
        <v/>
      </c>
      <c r="R64">
        <f>IF(Q64="","",IF(Q64&gt;=70,"BUY",IF(Q64&gt;=40,"HOLD","SELL")))</f>
        <v/>
      </c>
    </row>
    <row r="65">
      <c r="A65" s="27" t="n">
        <v>41729</v>
      </c>
      <c r="B65" s="28" t="n">
        <v>6704.2</v>
      </c>
      <c r="C65" s="51" t="n">
        <v>18.9</v>
      </c>
      <c r="D65" s="30" t="inlineStr">
        <is>
          <t>Standalone</t>
        </is>
      </c>
      <c r="E65" s="31">
        <f>IFERROR(B65/C65,"")</f>
        <v/>
      </c>
      <c r="F65" s="50">
        <f>IF(D65=D61,IFERROR(E65/E61-1,""),"")</f>
        <v/>
      </c>
      <c r="G65" s="50">
        <f>IFERROR((COUNTIF($C$5:$C$92,"&lt;"&amp;C65)+0.5*COUNTIF($C$5:$C$92,C65))/COUNT($C$5:$C$92),"")</f>
        <v/>
      </c>
      <c r="H65">
        <f>IF(G65="","",IF(G65&lt;=20%,"Q1 Cheapest",IF(G65&lt;=40%,"Q2",IF(G65&lt;=60%,"Q3",IF(G65&lt;=80%,"Q4","Q5 Most Expensive")))))</f>
        <v/>
      </c>
      <c r="I65" s="50">
        <f>IFERROR(B69/B65-1,"")</f>
        <v/>
      </c>
      <c r="J65" s="50">
        <f>IFERROR((B77/B65)^(1/3)-1,"")</f>
        <v/>
      </c>
      <c r="K65" s="50">
        <f>IFERROR((B85/B65)^(1/5)-1,"")</f>
        <v/>
      </c>
      <c r="L65" s="50">
        <f>IFERROR((B105/B65)^(1/10)-1,"")</f>
        <v/>
      </c>
      <c r="M65">
        <f>IF(F65="","",IF(F65&lt;5%,"&lt;5%",IF(F65&lt;15%,"5-15%","&gt;15%")))</f>
        <v/>
      </c>
      <c r="N65" s="50">
        <f>IF(COUNT($C$5:C65)&lt;8,"",(COUNTIF($C$5:C65,"&lt;"&amp;C65)+0.5*COUNTIF($C$5:C65,C65))/COUNT($C$5:C65))</f>
        <v/>
      </c>
      <c r="O65" s="52">
        <f>IF(N65="","",100*(1-N65))</f>
        <v/>
      </c>
      <c r="P65" s="52">
        <f>IF(F65="","",IF(F65&lt;=0,20,IF(F65&lt;5%,20+400*F65,IF(F65&lt;10%,40+400*(F65-5%),IF(F65&lt;15%,60+400*(F65-10%),IF(F65&lt;25%,80+200*(F65-15%),100))))))</f>
        <v/>
      </c>
      <c r="Q65" s="52">
        <f>IF(OR(O65="",P65=""),"",70%*O65+30%*P65)</f>
        <v/>
      </c>
      <c r="R65">
        <f>IF(Q65="","",IF(Q65&gt;=70,"BUY",IF(Q65&gt;=40,"HOLD","SELL")))</f>
        <v/>
      </c>
    </row>
    <row r="66">
      <c r="A66" s="27" t="n">
        <v>41820</v>
      </c>
      <c r="B66" s="28" t="n">
        <v>7611.3</v>
      </c>
      <c r="C66" s="51" t="n">
        <v>20.6</v>
      </c>
      <c r="D66" s="30" t="inlineStr">
        <is>
          <t>Standalone</t>
        </is>
      </c>
      <c r="E66" s="31">
        <f>IFERROR(B66/C66,"")</f>
        <v/>
      </c>
      <c r="F66" s="50">
        <f>IF(D66=D62,IFERROR(E66/E62-1,""),"")</f>
        <v/>
      </c>
      <c r="G66" s="50">
        <f>IFERROR((COUNTIF($C$5:$C$92,"&lt;"&amp;C66)+0.5*COUNTIF($C$5:$C$92,C66))/COUNT($C$5:$C$92),"")</f>
        <v/>
      </c>
      <c r="H66">
        <f>IF(G66="","",IF(G66&lt;=20%,"Q1 Cheapest",IF(G66&lt;=40%,"Q2",IF(G66&lt;=60%,"Q3",IF(G66&lt;=80%,"Q4","Q5 Most Expensive")))))</f>
        <v/>
      </c>
      <c r="I66" s="50">
        <f>IFERROR(B70/B66-1,"")</f>
        <v/>
      </c>
      <c r="J66" s="50">
        <f>IFERROR((B78/B66)^(1/3)-1,"")</f>
        <v/>
      </c>
      <c r="K66" s="50">
        <f>IFERROR((B86/B66)^(1/5)-1,"")</f>
        <v/>
      </c>
      <c r="L66" s="50">
        <f>IFERROR((B106/B66)^(1/10)-1,"")</f>
        <v/>
      </c>
      <c r="M66">
        <f>IF(F66="","",IF(F66&lt;5%,"&lt;5%",IF(F66&lt;15%,"5-15%","&gt;15%")))</f>
        <v/>
      </c>
      <c r="N66" s="50">
        <f>IF(COUNT($C$5:C66)&lt;8,"",(COUNTIF($C$5:C66,"&lt;"&amp;C66)+0.5*COUNTIF($C$5:C66,C66))/COUNT($C$5:C66))</f>
        <v/>
      </c>
      <c r="O66" s="52">
        <f>IF(N66="","",100*(1-N66))</f>
        <v/>
      </c>
      <c r="P66" s="52">
        <f>IF(F66="","",IF(F66&lt;=0,20,IF(F66&lt;5%,20+400*F66,IF(F66&lt;10%,40+400*(F66-5%),IF(F66&lt;15%,60+400*(F66-10%),IF(F66&lt;25%,80+200*(F66-15%),100))))))</f>
        <v/>
      </c>
      <c r="Q66" s="52">
        <f>IF(OR(O66="",P66=""),"",70%*O66+30%*P66)</f>
        <v/>
      </c>
      <c r="R66">
        <f>IF(Q66="","",IF(Q66&gt;=70,"BUY",IF(Q66&gt;=40,"HOLD","SELL")))</f>
        <v/>
      </c>
    </row>
    <row r="67">
      <c r="A67" s="27" t="n">
        <v>41912</v>
      </c>
      <c r="B67" s="28" t="n">
        <v>7964.8</v>
      </c>
      <c r="C67" s="51" t="n">
        <v>20.8</v>
      </c>
      <c r="D67" s="30" t="inlineStr">
        <is>
          <t>Standalone</t>
        </is>
      </c>
      <c r="E67" s="31">
        <f>IFERROR(B67/C67,"")</f>
        <v/>
      </c>
      <c r="F67" s="50">
        <f>IF(D67=D63,IFERROR(E67/E63-1,""),"")</f>
        <v/>
      </c>
      <c r="G67" s="50">
        <f>IFERROR((COUNTIF($C$5:$C$92,"&lt;"&amp;C67)+0.5*COUNTIF($C$5:$C$92,C67))/COUNT($C$5:$C$92),"")</f>
        <v/>
      </c>
      <c r="H67">
        <f>IF(G67="","",IF(G67&lt;=20%,"Q1 Cheapest",IF(G67&lt;=40%,"Q2",IF(G67&lt;=60%,"Q3",IF(G67&lt;=80%,"Q4","Q5 Most Expensive")))))</f>
        <v/>
      </c>
      <c r="I67" s="50">
        <f>IFERROR(B71/B67-1,"")</f>
        <v/>
      </c>
      <c r="J67" s="50">
        <f>IFERROR((B79/B67)^(1/3)-1,"")</f>
        <v/>
      </c>
      <c r="K67" s="50">
        <f>IFERROR((B87/B67)^(1/5)-1,"")</f>
        <v/>
      </c>
      <c r="L67" s="50">
        <f>IFERROR((B107/B67)^(1/10)-1,"")</f>
        <v/>
      </c>
      <c r="M67">
        <f>IF(F67="","",IF(F67&lt;5%,"&lt;5%",IF(F67&lt;15%,"5-15%","&gt;15%")))</f>
        <v/>
      </c>
      <c r="N67" s="50">
        <f>IF(COUNT($C$5:C67)&lt;8,"",(COUNTIF($C$5:C67,"&lt;"&amp;C67)+0.5*COUNTIF($C$5:C67,C67))/COUNT($C$5:C67))</f>
        <v/>
      </c>
      <c r="O67" s="52">
        <f>IF(N67="","",100*(1-N67))</f>
        <v/>
      </c>
      <c r="P67" s="52">
        <f>IF(F67="","",IF(F67&lt;=0,20,IF(F67&lt;5%,20+400*F67,IF(F67&lt;10%,40+400*(F67-5%),IF(F67&lt;15%,60+400*(F67-10%),IF(F67&lt;25%,80+200*(F67-15%),100))))))</f>
        <v/>
      </c>
      <c r="Q67" s="52">
        <f>IF(OR(O67="",P67=""),"",70%*O67+30%*P67)</f>
        <v/>
      </c>
      <c r="R67">
        <f>IF(Q67="","",IF(Q67&gt;=70,"BUY",IF(Q67&gt;=40,"HOLD","SELL")))</f>
        <v/>
      </c>
    </row>
    <row r="68">
      <c r="A68" s="27" t="n">
        <v>42004</v>
      </c>
      <c r="B68" s="28" t="n">
        <v>8282.700000000001</v>
      </c>
      <c r="C68" s="51" t="n">
        <v>21.2</v>
      </c>
      <c r="D68" s="30" t="inlineStr">
        <is>
          <t>Standalone</t>
        </is>
      </c>
      <c r="E68" s="31">
        <f>IFERROR(B68/C68,"")</f>
        <v/>
      </c>
      <c r="F68" s="50">
        <f>IF(D68=D64,IFERROR(E68/E64-1,""),"")</f>
        <v/>
      </c>
      <c r="G68" s="50">
        <f>IFERROR((COUNTIF($C$5:$C$92,"&lt;"&amp;C68)+0.5*COUNTIF($C$5:$C$92,C68))/COUNT($C$5:$C$92),"")</f>
        <v/>
      </c>
      <c r="H68">
        <f>IF(G68="","",IF(G68&lt;=20%,"Q1 Cheapest",IF(G68&lt;=40%,"Q2",IF(G68&lt;=60%,"Q3",IF(G68&lt;=80%,"Q4","Q5 Most Expensive")))))</f>
        <v/>
      </c>
      <c r="I68" s="50">
        <f>IFERROR(B72/B68-1,"")</f>
        <v/>
      </c>
      <c r="J68" s="50">
        <f>IFERROR((B80/B68)^(1/3)-1,"")</f>
        <v/>
      </c>
      <c r="K68" s="50">
        <f>IFERROR((B88/B68)^(1/5)-1,"")</f>
        <v/>
      </c>
      <c r="L68" s="50">
        <f>IFERROR((B108/B68)^(1/10)-1,"")</f>
        <v/>
      </c>
      <c r="M68">
        <f>IF(F68="","",IF(F68&lt;5%,"&lt;5%",IF(F68&lt;15%,"5-15%","&gt;15%")))</f>
        <v/>
      </c>
      <c r="N68" s="50">
        <f>IF(COUNT($C$5:C68)&lt;8,"",(COUNTIF($C$5:C68,"&lt;"&amp;C68)+0.5*COUNTIF($C$5:C68,C68))/COUNT($C$5:C68))</f>
        <v/>
      </c>
      <c r="O68" s="52">
        <f>IF(N68="","",100*(1-N68))</f>
        <v/>
      </c>
      <c r="P68" s="52">
        <f>IF(F68="","",IF(F68&lt;=0,20,IF(F68&lt;5%,20+400*F68,IF(F68&lt;10%,40+400*(F68-5%),IF(F68&lt;15%,60+400*(F68-10%),IF(F68&lt;25%,80+200*(F68-15%),100))))))</f>
        <v/>
      </c>
      <c r="Q68" s="52">
        <f>IF(OR(O68="",P68=""),"",70%*O68+30%*P68)</f>
        <v/>
      </c>
      <c r="R68">
        <f>IF(Q68="","",IF(Q68&gt;=70,"BUY",IF(Q68&gt;=40,"HOLD","SELL")))</f>
        <v/>
      </c>
    </row>
    <row r="69">
      <c r="A69" s="27" t="n">
        <v>42094</v>
      </c>
      <c r="B69" s="28" t="n">
        <v>8491</v>
      </c>
      <c r="C69" s="51" t="n">
        <v>22.7</v>
      </c>
      <c r="D69" s="30" t="inlineStr">
        <is>
          <t>Standalone</t>
        </is>
      </c>
      <c r="E69" s="31">
        <f>IFERROR(B69/C69,"")</f>
        <v/>
      </c>
      <c r="F69" s="50">
        <f>IF(D69=D65,IFERROR(E69/E65-1,""),"")</f>
        <v/>
      </c>
      <c r="G69" s="50">
        <f>IFERROR((COUNTIF($C$5:$C$92,"&lt;"&amp;C69)+0.5*COUNTIF($C$5:$C$92,C69))/COUNT($C$5:$C$92),"")</f>
        <v/>
      </c>
      <c r="H69">
        <f>IF(G69="","",IF(G69&lt;=20%,"Q1 Cheapest",IF(G69&lt;=40%,"Q2",IF(G69&lt;=60%,"Q3",IF(G69&lt;=80%,"Q4","Q5 Most Expensive")))))</f>
        <v/>
      </c>
      <c r="I69" s="50">
        <f>IFERROR(B73/B69-1,"")</f>
        <v/>
      </c>
      <c r="J69" s="50">
        <f>IFERROR((B81/B69)^(1/3)-1,"")</f>
        <v/>
      </c>
      <c r="K69" s="50">
        <f>IFERROR((B89/B69)^(1/5)-1,"")</f>
        <v/>
      </c>
      <c r="L69" s="50">
        <f>IFERROR((B109/B69)^(1/10)-1,"")</f>
        <v/>
      </c>
      <c r="M69">
        <f>IF(F69="","",IF(F69&lt;5%,"&lt;5%",IF(F69&lt;15%,"5-15%","&gt;15%")))</f>
        <v/>
      </c>
      <c r="N69" s="50">
        <f>IF(COUNT($C$5:C69)&lt;8,"",(COUNTIF($C$5:C69,"&lt;"&amp;C69)+0.5*COUNTIF($C$5:C69,C69))/COUNT($C$5:C69))</f>
        <v/>
      </c>
      <c r="O69" s="52">
        <f>IF(N69="","",100*(1-N69))</f>
        <v/>
      </c>
      <c r="P69" s="52">
        <f>IF(F69="","",IF(F69&lt;=0,20,IF(F69&lt;5%,20+400*F69,IF(F69&lt;10%,40+400*(F69-5%),IF(F69&lt;15%,60+400*(F69-10%),IF(F69&lt;25%,80+200*(F69-15%),100))))))</f>
        <v/>
      </c>
      <c r="Q69" s="52">
        <f>IF(OR(O69="",P69=""),"",70%*O69+30%*P69)</f>
        <v/>
      </c>
      <c r="R69">
        <f>IF(Q69="","",IF(Q69&gt;=70,"BUY",IF(Q69&gt;=40,"HOLD","SELL")))</f>
        <v/>
      </c>
    </row>
    <row r="70">
      <c r="A70" s="27" t="n">
        <v>42185</v>
      </c>
      <c r="B70" s="28" t="n">
        <v>8368.5</v>
      </c>
      <c r="C70" s="51" t="n">
        <v>23.2</v>
      </c>
      <c r="D70" s="30" t="inlineStr">
        <is>
          <t>Standalone</t>
        </is>
      </c>
      <c r="E70" s="31">
        <f>IFERROR(B70/C70,"")</f>
        <v/>
      </c>
      <c r="F70" s="50">
        <f>IF(D70=D66,IFERROR(E70/E66-1,""),"")</f>
        <v/>
      </c>
      <c r="G70" s="50">
        <f>IFERROR((COUNTIF($C$5:$C$92,"&lt;"&amp;C70)+0.5*COUNTIF($C$5:$C$92,C70))/COUNT($C$5:$C$92),"")</f>
        <v/>
      </c>
      <c r="H70">
        <f>IF(G70="","",IF(G70&lt;=20%,"Q1 Cheapest",IF(G70&lt;=40%,"Q2",IF(G70&lt;=60%,"Q3",IF(G70&lt;=80%,"Q4","Q5 Most Expensive")))))</f>
        <v/>
      </c>
      <c r="I70" s="50">
        <f>IFERROR(B74/B70-1,"")</f>
        <v/>
      </c>
      <c r="J70" s="50">
        <f>IFERROR((B82/B70)^(1/3)-1,"")</f>
        <v/>
      </c>
      <c r="K70" s="50">
        <f>IFERROR((B90/B70)^(1/5)-1,"")</f>
        <v/>
      </c>
      <c r="L70" s="50">
        <f>IFERROR((B110/B70)^(1/10)-1,"")</f>
        <v/>
      </c>
      <c r="M70">
        <f>IF(F70="","",IF(F70&lt;5%,"&lt;5%",IF(F70&lt;15%,"5-15%","&gt;15%")))</f>
        <v/>
      </c>
      <c r="N70" s="50">
        <f>IF(COUNT($C$5:C70)&lt;8,"",(COUNTIF($C$5:C70,"&lt;"&amp;C70)+0.5*COUNTIF($C$5:C70,C70))/COUNT($C$5:C70))</f>
        <v/>
      </c>
      <c r="O70" s="52">
        <f>IF(N70="","",100*(1-N70))</f>
        <v/>
      </c>
      <c r="P70" s="52">
        <f>IF(F70="","",IF(F70&lt;=0,20,IF(F70&lt;5%,20+400*F70,IF(F70&lt;10%,40+400*(F70-5%),IF(F70&lt;15%,60+400*(F70-10%),IF(F70&lt;25%,80+200*(F70-15%),100))))))</f>
        <v/>
      </c>
      <c r="Q70" s="52">
        <f>IF(OR(O70="",P70=""),"",70%*O70+30%*P70)</f>
        <v/>
      </c>
      <c r="R70">
        <f>IF(Q70="","",IF(Q70&gt;=70,"BUY",IF(Q70&gt;=40,"HOLD","SELL")))</f>
        <v/>
      </c>
    </row>
    <row r="71">
      <c r="A71" s="27" t="n">
        <v>42277</v>
      </c>
      <c r="B71" s="28" t="n">
        <v>7948.9</v>
      </c>
      <c r="C71" s="51" t="n">
        <v>22.2</v>
      </c>
      <c r="D71" s="30" t="inlineStr">
        <is>
          <t>Standalone</t>
        </is>
      </c>
      <c r="E71" s="31">
        <f>IFERROR(B71/C71,"")</f>
        <v/>
      </c>
      <c r="F71" s="50">
        <f>IF(D71=D67,IFERROR(E71/E67-1,""),"")</f>
        <v/>
      </c>
      <c r="G71" s="50">
        <f>IFERROR((COUNTIF($C$5:$C$92,"&lt;"&amp;C71)+0.5*COUNTIF($C$5:$C$92,C71))/COUNT($C$5:$C$92),"")</f>
        <v/>
      </c>
      <c r="H71">
        <f>IF(G71="","",IF(G71&lt;=20%,"Q1 Cheapest",IF(G71&lt;=40%,"Q2",IF(G71&lt;=60%,"Q3",IF(G71&lt;=80%,"Q4","Q5 Most Expensive")))))</f>
        <v/>
      </c>
      <c r="I71" s="50">
        <f>IFERROR(B75/B71-1,"")</f>
        <v/>
      </c>
      <c r="J71" s="50">
        <f>IFERROR((B83/B71)^(1/3)-1,"")</f>
        <v/>
      </c>
      <c r="K71" s="50">
        <f>IFERROR((B91/B71)^(1/5)-1,"")</f>
        <v/>
      </c>
      <c r="L71" s="50">
        <f>IFERROR((B111/B71)^(1/10)-1,"")</f>
        <v/>
      </c>
      <c r="M71">
        <f>IF(F71="","",IF(F71&lt;5%,"&lt;5%",IF(F71&lt;15%,"5-15%","&gt;15%")))</f>
        <v/>
      </c>
      <c r="N71" s="50">
        <f>IF(COUNT($C$5:C71)&lt;8,"",(COUNTIF($C$5:C71,"&lt;"&amp;C71)+0.5*COUNTIF($C$5:C71,C71))/COUNT($C$5:C71))</f>
        <v/>
      </c>
      <c r="O71" s="52">
        <f>IF(N71="","",100*(1-N71))</f>
        <v/>
      </c>
      <c r="P71" s="52">
        <f>IF(F71="","",IF(F71&lt;=0,20,IF(F71&lt;5%,20+400*F71,IF(F71&lt;10%,40+400*(F71-5%),IF(F71&lt;15%,60+400*(F71-10%),IF(F71&lt;25%,80+200*(F71-15%),100))))))</f>
        <v/>
      </c>
      <c r="Q71" s="52">
        <f>IF(OR(O71="",P71=""),"",70%*O71+30%*P71)</f>
        <v/>
      </c>
      <c r="R71">
        <f>IF(Q71="","",IF(Q71&gt;=70,"BUY",IF(Q71&gt;=40,"HOLD","SELL")))</f>
        <v/>
      </c>
    </row>
    <row r="72">
      <c r="A72" s="27" t="n">
        <v>42369</v>
      </c>
      <c r="B72" s="28" t="n">
        <v>7946.3</v>
      </c>
      <c r="C72" s="51" t="n">
        <v>21.5</v>
      </c>
      <c r="D72" s="30" t="inlineStr">
        <is>
          <t>Standalone</t>
        </is>
      </c>
      <c r="E72" s="31">
        <f>IFERROR(B72/C72,"")</f>
        <v/>
      </c>
      <c r="F72" s="50">
        <f>IF(D72=D68,IFERROR(E72/E68-1,""),"")</f>
        <v/>
      </c>
      <c r="G72" s="50">
        <f>IFERROR((COUNTIF($C$5:$C$92,"&lt;"&amp;C72)+0.5*COUNTIF($C$5:$C$92,C72))/COUNT($C$5:$C$92),"")</f>
        <v/>
      </c>
      <c r="H72">
        <f>IF(G72="","",IF(G72&lt;=20%,"Q1 Cheapest",IF(G72&lt;=40%,"Q2",IF(G72&lt;=60%,"Q3",IF(G72&lt;=80%,"Q4","Q5 Most Expensive")))))</f>
        <v/>
      </c>
      <c r="I72" s="50">
        <f>IFERROR(B76/B72-1,"")</f>
        <v/>
      </c>
      <c r="J72" s="50">
        <f>IFERROR((B84/B72)^(1/3)-1,"")</f>
        <v/>
      </c>
      <c r="K72" s="50">
        <f>IFERROR((B92/B72)^(1/5)-1,"")</f>
        <v/>
      </c>
      <c r="L72" s="50">
        <f>IFERROR((B112/B72)^(1/10)-1,"")</f>
        <v/>
      </c>
      <c r="M72">
        <f>IF(F72="","",IF(F72&lt;5%,"&lt;5%",IF(F72&lt;15%,"5-15%","&gt;15%")))</f>
        <v/>
      </c>
      <c r="N72" s="50">
        <f>IF(COUNT($C$5:C72)&lt;8,"",(COUNTIF($C$5:C72,"&lt;"&amp;C72)+0.5*COUNTIF($C$5:C72,C72))/COUNT($C$5:C72))</f>
        <v/>
      </c>
      <c r="O72" s="52">
        <f>IF(N72="","",100*(1-N72))</f>
        <v/>
      </c>
      <c r="P72" s="52">
        <f>IF(F72="","",IF(F72&lt;=0,20,IF(F72&lt;5%,20+400*F72,IF(F72&lt;10%,40+400*(F72-5%),IF(F72&lt;15%,60+400*(F72-10%),IF(F72&lt;25%,80+200*(F72-15%),100))))))</f>
        <v/>
      </c>
      <c r="Q72" s="52">
        <f>IF(OR(O72="",P72=""),"",70%*O72+30%*P72)</f>
        <v/>
      </c>
      <c r="R72">
        <f>IF(Q72="","",IF(Q72&gt;=70,"BUY",IF(Q72&gt;=40,"HOLD","SELL")))</f>
        <v/>
      </c>
    </row>
    <row r="73">
      <c r="A73" s="27" t="n">
        <v>42460</v>
      </c>
      <c r="B73" s="28" t="n">
        <v>7738.4</v>
      </c>
      <c r="C73" s="51" t="n">
        <v>20.9</v>
      </c>
      <c r="D73" s="30" t="inlineStr">
        <is>
          <t>Standalone</t>
        </is>
      </c>
      <c r="E73" s="31">
        <f>IFERROR(B73/C73,"")</f>
        <v/>
      </c>
      <c r="F73" s="50">
        <f>IF(D73=D69,IFERROR(E73/E69-1,""),"")</f>
        <v/>
      </c>
      <c r="G73" s="50">
        <f>IFERROR((COUNTIF($C$5:$C$92,"&lt;"&amp;C73)+0.5*COUNTIF($C$5:$C$92,C73))/COUNT($C$5:$C$92),"")</f>
        <v/>
      </c>
      <c r="H73">
        <f>IF(G73="","",IF(G73&lt;=20%,"Q1 Cheapest",IF(G73&lt;=40%,"Q2",IF(G73&lt;=60%,"Q3",IF(G73&lt;=80%,"Q4","Q5 Most Expensive")))))</f>
        <v/>
      </c>
      <c r="I73" s="50">
        <f>IFERROR(B77/B73-1,"")</f>
        <v/>
      </c>
      <c r="J73" s="50">
        <f>IFERROR((B85/B73)^(1/3)-1,"")</f>
        <v/>
      </c>
      <c r="K73" s="50">
        <f>IFERROR((B93/B73)^(1/5)-1,"")</f>
        <v/>
      </c>
      <c r="L73" s="50">
        <f>IFERROR((B113/B73)^(1/10)-1,"")</f>
        <v/>
      </c>
      <c r="M73">
        <f>IF(F73="","",IF(F73&lt;5%,"&lt;5%",IF(F73&lt;15%,"5-15%","&gt;15%")))</f>
        <v/>
      </c>
      <c r="N73" s="50">
        <f>IF(COUNT($C$5:C73)&lt;8,"",(COUNTIF($C$5:C73,"&lt;"&amp;C73)+0.5*COUNTIF($C$5:C73,C73))/COUNT($C$5:C73))</f>
        <v/>
      </c>
      <c r="O73" s="52">
        <f>IF(N73="","",100*(1-N73))</f>
        <v/>
      </c>
      <c r="P73" s="52">
        <f>IF(F73="","",IF(F73&lt;=0,20,IF(F73&lt;5%,20+400*F73,IF(F73&lt;10%,40+400*(F73-5%),IF(F73&lt;15%,60+400*(F73-10%),IF(F73&lt;25%,80+200*(F73-15%),100))))))</f>
        <v/>
      </c>
      <c r="Q73" s="52">
        <f>IF(OR(O73="",P73=""),"",70%*O73+30%*P73)</f>
        <v/>
      </c>
      <c r="R73">
        <f>IF(Q73="","",IF(Q73&gt;=70,"BUY",IF(Q73&gt;=40,"HOLD","SELL")))</f>
        <v/>
      </c>
    </row>
    <row r="74">
      <c r="A74" s="27" t="n">
        <v>42551</v>
      </c>
      <c r="B74" s="28" t="n">
        <v>8287.700000000001</v>
      </c>
      <c r="C74" s="51" t="n">
        <v>22.8</v>
      </c>
      <c r="D74" s="30" t="inlineStr">
        <is>
          <t>Standalone</t>
        </is>
      </c>
      <c r="E74" s="31">
        <f>IFERROR(B74/C74,"")</f>
        <v/>
      </c>
      <c r="F74" s="50">
        <f>IF(D74=D70,IFERROR(E74/E70-1,""),"")</f>
        <v/>
      </c>
      <c r="G74" s="50">
        <f>IFERROR((COUNTIF($C$5:$C$92,"&lt;"&amp;C74)+0.5*COUNTIF($C$5:$C$92,C74))/COUNT($C$5:$C$92),"")</f>
        <v/>
      </c>
      <c r="H74">
        <f>IF(G74="","",IF(G74&lt;=20%,"Q1 Cheapest",IF(G74&lt;=40%,"Q2",IF(G74&lt;=60%,"Q3",IF(G74&lt;=80%,"Q4","Q5 Most Expensive")))))</f>
        <v/>
      </c>
      <c r="I74" s="50">
        <f>IFERROR(B78/B74-1,"")</f>
        <v/>
      </c>
      <c r="J74" s="50">
        <f>IFERROR((B86/B74)^(1/3)-1,"")</f>
        <v/>
      </c>
      <c r="K74" s="50">
        <f>IFERROR((B94/B74)^(1/5)-1,"")</f>
        <v/>
      </c>
      <c r="L74" s="50">
        <f>IFERROR((B114/B74)^(1/10)-1,"")</f>
        <v/>
      </c>
      <c r="M74">
        <f>IF(F74="","",IF(F74&lt;5%,"&lt;5%",IF(F74&lt;15%,"5-15%","&gt;15%")))</f>
        <v/>
      </c>
      <c r="N74" s="50">
        <f>IF(COUNT($C$5:C74)&lt;8,"",(COUNTIF($C$5:C74,"&lt;"&amp;C74)+0.5*COUNTIF($C$5:C74,C74))/COUNT($C$5:C74))</f>
        <v/>
      </c>
      <c r="O74" s="52">
        <f>IF(N74="","",100*(1-N74))</f>
        <v/>
      </c>
      <c r="P74" s="52">
        <f>IF(F74="","",IF(F74&lt;=0,20,IF(F74&lt;5%,20+400*F74,IF(F74&lt;10%,40+400*(F74-5%),IF(F74&lt;15%,60+400*(F74-10%),IF(F74&lt;25%,80+200*(F74-15%),100))))))</f>
        <v/>
      </c>
      <c r="Q74" s="52">
        <f>IF(OR(O74="",P74=""),"",70%*O74+30%*P74)</f>
        <v/>
      </c>
      <c r="R74">
        <f>IF(Q74="","",IF(Q74&gt;=70,"BUY",IF(Q74&gt;=40,"HOLD","SELL")))</f>
        <v/>
      </c>
    </row>
    <row r="75">
      <c r="A75" s="27" t="n">
        <v>42643</v>
      </c>
      <c r="B75" s="28" t="n">
        <v>8611.1</v>
      </c>
      <c r="C75" s="51" t="n">
        <v>23.4</v>
      </c>
      <c r="D75" s="30" t="inlineStr">
        <is>
          <t>Standalone</t>
        </is>
      </c>
      <c r="E75" s="31">
        <f>IFERROR(B75/C75,"")</f>
        <v/>
      </c>
      <c r="F75" s="50">
        <f>IF(D75=D71,IFERROR(E75/E71-1,""),"")</f>
        <v/>
      </c>
      <c r="G75" s="50">
        <f>IFERROR((COUNTIF($C$5:$C$92,"&lt;"&amp;C75)+0.5*COUNTIF($C$5:$C$92,C75))/COUNT($C$5:$C$92),"")</f>
        <v/>
      </c>
      <c r="H75">
        <f>IF(G75="","",IF(G75&lt;=20%,"Q1 Cheapest",IF(G75&lt;=40%,"Q2",IF(G75&lt;=60%,"Q3",IF(G75&lt;=80%,"Q4","Q5 Most Expensive")))))</f>
        <v/>
      </c>
      <c r="I75" s="50">
        <f>IFERROR(B79/B75-1,"")</f>
        <v/>
      </c>
      <c r="J75" s="50">
        <f>IFERROR((B87/B75)^(1/3)-1,"")</f>
        <v/>
      </c>
      <c r="K75" s="50">
        <f>IFERROR((B95/B75)^(1/5)-1,"")</f>
        <v/>
      </c>
      <c r="L75" s="50" t="inlineStr"/>
      <c r="M75">
        <f>IF(F75="","",IF(F75&lt;5%,"&lt;5%",IF(F75&lt;15%,"5-15%","&gt;15%")))</f>
        <v/>
      </c>
      <c r="N75" s="50">
        <f>IF(COUNT($C$5:C75)&lt;8,"",(COUNTIF($C$5:C75,"&lt;"&amp;C75)+0.5*COUNTIF($C$5:C75,C75))/COUNT($C$5:C75))</f>
        <v/>
      </c>
      <c r="O75" s="52">
        <f>IF(N75="","",100*(1-N75))</f>
        <v/>
      </c>
      <c r="P75" s="52">
        <f>IF(F75="","",IF(F75&lt;=0,20,IF(F75&lt;5%,20+400*F75,IF(F75&lt;10%,40+400*(F75-5%),IF(F75&lt;15%,60+400*(F75-10%),IF(F75&lt;25%,80+200*(F75-15%),100))))))</f>
        <v/>
      </c>
      <c r="Q75" s="52">
        <f>IF(OR(O75="",P75=""),"",70%*O75+30%*P75)</f>
        <v/>
      </c>
      <c r="R75">
        <f>IF(Q75="","",IF(Q75&gt;=70,"BUY",IF(Q75&gt;=40,"HOLD","SELL")))</f>
        <v/>
      </c>
    </row>
    <row r="76">
      <c r="A76" s="27" t="n">
        <v>42735</v>
      </c>
      <c r="B76" s="28" t="n">
        <v>8185.8</v>
      </c>
      <c r="C76" s="51" t="n">
        <v>21.9</v>
      </c>
      <c r="D76" s="30" t="inlineStr">
        <is>
          <t>Standalone</t>
        </is>
      </c>
      <c r="E76" s="31">
        <f>IFERROR(B76/C76,"")</f>
        <v/>
      </c>
      <c r="F76" s="50">
        <f>IF(D76=D72,IFERROR(E76/E72-1,""),"")</f>
        <v/>
      </c>
      <c r="G76" s="50">
        <f>IFERROR((COUNTIF($C$5:$C$92,"&lt;"&amp;C76)+0.5*COUNTIF($C$5:$C$92,C76))/COUNT($C$5:$C$92),"")</f>
        <v/>
      </c>
      <c r="H76">
        <f>IF(G76="","",IF(G76&lt;=20%,"Q1 Cheapest",IF(G76&lt;=40%,"Q2",IF(G76&lt;=60%,"Q3",IF(G76&lt;=80%,"Q4","Q5 Most Expensive")))))</f>
        <v/>
      </c>
      <c r="I76" s="50">
        <f>IFERROR(B80/B76-1,"")</f>
        <v/>
      </c>
      <c r="J76" s="50">
        <f>IFERROR((B88/B76)^(1/3)-1,"")</f>
        <v/>
      </c>
      <c r="K76" s="50">
        <f>IFERROR((B96/B76)^(1/5)-1,"")</f>
        <v/>
      </c>
      <c r="L76" s="50" t="inlineStr"/>
      <c r="M76">
        <f>IF(F76="","",IF(F76&lt;5%,"&lt;5%",IF(F76&lt;15%,"5-15%","&gt;15%")))</f>
        <v/>
      </c>
      <c r="N76" s="50">
        <f>IF(COUNT($C$5:C76)&lt;8,"",(COUNTIF($C$5:C76,"&lt;"&amp;C76)+0.5*COUNTIF($C$5:C76,C76))/COUNT($C$5:C76))</f>
        <v/>
      </c>
      <c r="O76" s="52">
        <f>IF(N76="","",100*(1-N76))</f>
        <v/>
      </c>
      <c r="P76" s="52">
        <f>IF(F76="","",IF(F76&lt;=0,20,IF(F76&lt;5%,20+400*F76,IF(F76&lt;10%,40+400*(F76-5%),IF(F76&lt;15%,60+400*(F76-10%),IF(F76&lt;25%,80+200*(F76-15%),100))))))</f>
        <v/>
      </c>
      <c r="Q76" s="52">
        <f>IF(OR(O76="",P76=""),"",70%*O76+30%*P76)</f>
        <v/>
      </c>
      <c r="R76">
        <f>IF(Q76="","",IF(Q76&gt;=70,"BUY",IF(Q76&gt;=40,"HOLD","SELL")))</f>
        <v/>
      </c>
    </row>
    <row r="77">
      <c r="A77" s="27" t="n">
        <v>42825</v>
      </c>
      <c r="B77" s="28" t="n">
        <v>9173.700000000001</v>
      </c>
      <c r="C77" s="51" t="n">
        <v>23.3</v>
      </c>
      <c r="D77" s="30" t="inlineStr">
        <is>
          <t>Standalone</t>
        </is>
      </c>
      <c r="E77" s="31">
        <f>IFERROR(B77/C77,"")</f>
        <v/>
      </c>
      <c r="F77" s="50">
        <f>IF(D77=D73,IFERROR(E77/E73-1,""),"")</f>
        <v/>
      </c>
      <c r="G77" s="50">
        <f>IFERROR((COUNTIF($C$5:$C$92,"&lt;"&amp;C77)+0.5*COUNTIF($C$5:$C$92,C77))/COUNT($C$5:$C$92),"")</f>
        <v/>
      </c>
      <c r="H77">
        <f>IF(G77="","",IF(G77&lt;=20%,"Q1 Cheapest",IF(G77&lt;=40%,"Q2",IF(G77&lt;=60%,"Q3",IF(G77&lt;=80%,"Q4","Q5 Most Expensive")))))</f>
        <v/>
      </c>
      <c r="I77" s="50">
        <f>IFERROR(B81/B77-1,"")</f>
        <v/>
      </c>
      <c r="J77" s="50">
        <f>IFERROR((B89/B77)^(1/3)-1,"")</f>
        <v/>
      </c>
      <c r="K77" s="50">
        <f>IFERROR((B97/B77)^(1/5)-1,"")</f>
        <v/>
      </c>
      <c r="L77" s="50" t="inlineStr"/>
      <c r="M77">
        <f>IF(F77="","",IF(F77&lt;5%,"&lt;5%",IF(F77&lt;15%,"5-15%","&gt;15%")))</f>
        <v/>
      </c>
      <c r="N77" s="50">
        <f>IF(COUNT($C$5:C77)&lt;8,"",(COUNTIF($C$5:C77,"&lt;"&amp;C77)+0.5*COUNTIF($C$5:C77,C77))/COUNT($C$5:C77))</f>
        <v/>
      </c>
      <c r="O77" s="52">
        <f>IF(N77="","",100*(1-N77))</f>
        <v/>
      </c>
      <c r="P77" s="52">
        <f>IF(F77="","",IF(F77&lt;=0,20,IF(F77&lt;5%,20+400*F77,IF(F77&lt;10%,40+400*(F77-5%),IF(F77&lt;15%,60+400*(F77-10%),IF(F77&lt;25%,80+200*(F77-15%),100))))))</f>
        <v/>
      </c>
      <c r="Q77" s="52">
        <f>IF(OR(O77="",P77=""),"",70%*O77+30%*P77)</f>
        <v/>
      </c>
      <c r="R77">
        <f>IF(Q77="","",IF(Q77&gt;=70,"BUY",IF(Q77&gt;=40,"HOLD","SELL")))</f>
        <v/>
      </c>
    </row>
    <row r="78">
      <c r="A78" s="27" t="n">
        <v>42916</v>
      </c>
      <c r="B78" s="28" t="n">
        <v>9520.9</v>
      </c>
      <c r="C78" s="51" t="n">
        <v>24.2</v>
      </c>
      <c r="D78" s="30" t="inlineStr">
        <is>
          <t>Standalone</t>
        </is>
      </c>
      <c r="E78" s="31">
        <f>IFERROR(B78/C78,"")</f>
        <v/>
      </c>
      <c r="F78" s="50">
        <f>IF(D78=D74,IFERROR(E78/E74-1,""),"")</f>
        <v/>
      </c>
      <c r="G78" s="50">
        <f>IFERROR((COUNTIF($C$5:$C$92,"&lt;"&amp;C78)+0.5*COUNTIF($C$5:$C$92,C78))/COUNT($C$5:$C$92),"")</f>
        <v/>
      </c>
      <c r="H78">
        <f>IF(G78="","",IF(G78&lt;=20%,"Q1 Cheapest",IF(G78&lt;=40%,"Q2",IF(G78&lt;=60%,"Q3",IF(G78&lt;=80%,"Q4","Q5 Most Expensive")))))</f>
        <v/>
      </c>
      <c r="I78" s="50">
        <f>IFERROR(B82/B78-1,"")</f>
        <v/>
      </c>
      <c r="J78" s="50">
        <f>IFERROR((B90/B78)^(1/3)-1,"")</f>
        <v/>
      </c>
      <c r="K78" s="50">
        <f>IFERROR((B98/B78)^(1/5)-1,"")</f>
        <v/>
      </c>
      <c r="L78" s="50" t="inlineStr"/>
      <c r="M78">
        <f>IF(F78="","",IF(F78&lt;5%,"&lt;5%",IF(F78&lt;15%,"5-15%","&gt;15%")))</f>
        <v/>
      </c>
      <c r="N78" s="50">
        <f>IF(COUNT($C$5:C78)&lt;8,"",(COUNTIF($C$5:C78,"&lt;"&amp;C78)+0.5*COUNTIF($C$5:C78,C78))/COUNT($C$5:C78))</f>
        <v/>
      </c>
      <c r="O78" s="52">
        <f>IF(N78="","",100*(1-N78))</f>
        <v/>
      </c>
      <c r="P78" s="52">
        <f>IF(F78="","",IF(F78&lt;=0,20,IF(F78&lt;5%,20+400*F78,IF(F78&lt;10%,40+400*(F78-5%),IF(F78&lt;15%,60+400*(F78-10%),IF(F78&lt;25%,80+200*(F78-15%),100))))))</f>
        <v/>
      </c>
      <c r="Q78" s="52">
        <f>IF(OR(O78="",P78=""),"",70%*O78+30%*P78)</f>
        <v/>
      </c>
      <c r="R78">
        <f>IF(Q78="","",IF(Q78&gt;=70,"BUY",IF(Q78&gt;=40,"HOLD","SELL")))</f>
        <v/>
      </c>
    </row>
    <row r="79">
      <c r="A79" s="27" t="n">
        <v>43008</v>
      </c>
      <c r="B79" s="28" t="n">
        <v>9788.6</v>
      </c>
      <c r="C79" s="51" t="n">
        <v>25.4</v>
      </c>
      <c r="D79" s="30" t="inlineStr">
        <is>
          <t>Standalone</t>
        </is>
      </c>
      <c r="E79" s="31">
        <f>IFERROR(B79/C79,"")</f>
        <v/>
      </c>
      <c r="F79" s="50">
        <f>IF(D79=D75,IFERROR(E79/E75-1,""),"")</f>
        <v/>
      </c>
      <c r="G79" s="50">
        <f>IFERROR((COUNTIF($C$5:$C$92,"&lt;"&amp;C79)+0.5*COUNTIF($C$5:$C$92,C79))/COUNT($C$5:$C$92),"")</f>
        <v/>
      </c>
      <c r="H79">
        <f>IF(G79="","",IF(G79&lt;=20%,"Q1 Cheapest",IF(G79&lt;=40%,"Q2",IF(G79&lt;=60%,"Q3",IF(G79&lt;=80%,"Q4","Q5 Most Expensive")))))</f>
        <v/>
      </c>
      <c r="I79" s="50">
        <f>IFERROR(B83/B79-1,"")</f>
        <v/>
      </c>
      <c r="J79" s="50">
        <f>IFERROR((B91/B79)^(1/3)-1,"")</f>
        <v/>
      </c>
      <c r="K79" s="50">
        <f>IFERROR((B99/B79)^(1/5)-1,"")</f>
        <v/>
      </c>
      <c r="L79" s="50" t="inlineStr"/>
      <c r="M79">
        <f>IF(F79="","",IF(F79&lt;5%,"&lt;5%",IF(F79&lt;15%,"5-15%","&gt;15%")))</f>
        <v/>
      </c>
      <c r="N79" s="50">
        <f>IF(COUNT($C$5:C79)&lt;8,"",(COUNTIF($C$5:C79,"&lt;"&amp;C79)+0.5*COUNTIF($C$5:C79,C79))/COUNT($C$5:C79))</f>
        <v/>
      </c>
      <c r="O79" s="52">
        <f>IF(N79="","",100*(1-N79))</f>
        <v/>
      </c>
      <c r="P79" s="52">
        <f>IF(F79="","",IF(F79&lt;=0,20,IF(F79&lt;5%,20+400*F79,IF(F79&lt;10%,40+400*(F79-5%),IF(F79&lt;15%,60+400*(F79-10%),IF(F79&lt;25%,80+200*(F79-15%),100))))))</f>
        <v/>
      </c>
      <c r="Q79" s="52">
        <f>IF(OR(O79="",P79=""),"",70%*O79+30%*P79)</f>
        <v/>
      </c>
      <c r="R79">
        <f>IF(Q79="","",IF(Q79&gt;=70,"BUY",IF(Q79&gt;=40,"HOLD","SELL")))</f>
        <v/>
      </c>
    </row>
    <row r="80">
      <c r="A80" s="27" t="n">
        <v>43100</v>
      </c>
      <c r="B80" s="28" t="n">
        <v>10530</v>
      </c>
      <c r="C80" s="51" t="n">
        <v>26.9</v>
      </c>
      <c r="D80" s="30" t="inlineStr">
        <is>
          <t>Standalone</t>
        </is>
      </c>
      <c r="E80" s="31">
        <f>IFERROR(B80/C80,"")</f>
        <v/>
      </c>
      <c r="F80" s="50">
        <f>IF(D80=D76,IFERROR(E80/E76-1,""),"")</f>
        <v/>
      </c>
      <c r="G80" s="50">
        <f>IFERROR((COUNTIF($C$5:$C$92,"&lt;"&amp;C80)+0.5*COUNTIF($C$5:$C$92,C80))/COUNT($C$5:$C$92),"")</f>
        <v/>
      </c>
      <c r="H80">
        <f>IF(G80="","",IF(G80&lt;=20%,"Q1 Cheapest",IF(G80&lt;=40%,"Q2",IF(G80&lt;=60%,"Q3",IF(G80&lt;=80%,"Q4","Q5 Most Expensive")))))</f>
        <v/>
      </c>
      <c r="I80" s="50">
        <f>IFERROR(B84/B80-1,"")</f>
        <v/>
      </c>
      <c r="J80" s="50">
        <f>IFERROR((B92/B80)^(1/3)-1,"")</f>
        <v/>
      </c>
      <c r="K80" s="50">
        <f>IFERROR((B100/B80)^(1/5)-1,"")</f>
        <v/>
      </c>
      <c r="L80" s="50" t="inlineStr"/>
      <c r="M80">
        <f>IF(F80="","",IF(F80&lt;5%,"&lt;5%",IF(F80&lt;15%,"5-15%","&gt;15%")))</f>
        <v/>
      </c>
      <c r="N80" s="50">
        <f>IF(COUNT($C$5:C80)&lt;8,"",(COUNTIF($C$5:C80,"&lt;"&amp;C80)+0.5*COUNTIF($C$5:C80,C80))/COUNT($C$5:C80))</f>
        <v/>
      </c>
      <c r="O80" s="52">
        <f>IF(N80="","",100*(1-N80))</f>
        <v/>
      </c>
      <c r="P80" s="52">
        <f>IF(F80="","",IF(F80&lt;=0,20,IF(F80&lt;5%,20+400*F80,IF(F80&lt;10%,40+400*(F80-5%),IF(F80&lt;15%,60+400*(F80-10%),IF(F80&lt;25%,80+200*(F80-15%),100))))))</f>
        <v/>
      </c>
      <c r="Q80" s="52">
        <f>IF(OR(O80="",P80=""),"",70%*O80+30%*P80)</f>
        <v/>
      </c>
      <c r="R80">
        <f>IF(Q80="","",IF(Q80&gt;=70,"BUY",IF(Q80&gt;=40,"HOLD","SELL")))</f>
        <v/>
      </c>
    </row>
    <row r="81">
      <c r="A81" s="27" t="n">
        <v>43190</v>
      </c>
      <c r="B81" s="28" t="n">
        <v>10113.7</v>
      </c>
      <c r="C81" s="51" t="n">
        <v>24.7</v>
      </c>
      <c r="D81" s="30" t="inlineStr">
        <is>
          <t>Standalone</t>
        </is>
      </c>
      <c r="E81" s="31">
        <f>IFERROR(B81/C81,"")</f>
        <v/>
      </c>
      <c r="F81" s="50">
        <f>IF(D81=D77,IFERROR(E81/E77-1,""),"")</f>
        <v/>
      </c>
      <c r="G81" s="50">
        <f>IFERROR((COUNTIF($C$5:$C$92,"&lt;"&amp;C81)+0.5*COUNTIF($C$5:$C$92,C81))/COUNT($C$5:$C$92),"")</f>
        <v/>
      </c>
      <c r="H81">
        <f>IF(G81="","",IF(G81&lt;=20%,"Q1 Cheapest",IF(G81&lt;=40%,"Q2",IF(G81&lt;=60%,"Q3",IF(G81&lt;=80%,"Q4","Q5 Most Expensive")))))</f>
        <v/>
      </c>
      <c r="I81" s="50">
        <f>IFERROR(B85/B81-1,"")</f>
        <v/>
      </c>
      <c r="J81" s="50">
        <f>IFERROR((B93/B81)^(1/3)-1,"")</f>
        <v/>
      </c>
      <c r="K81" s="50">
        <f>IFERROR((B101/B81)^(1/5)-1,"")</f>
        <v/>
      </c>
      <c r="L81" s="50" t="inlineStr"/>
      <c r="M81">
        <f>IF(F81="","",IF(F81&lt;5%,"&lt;5%",IF(F81&lt;15%,"5-15%","&gt;15%")))</f>
        <v/>
      </c>
      <c r="N81" s="50">
        <f>IF(COUNT($C$5:C81)&lt;8,"",(COUNTIF($C$5:C81,"&lt;"&amp;C81)+0.5*COUNTIF($C$5:C81,C81))/COUNT($C$5:C81))</f>
        <v/>
      </c>
      <c r="O81" s="52">
        <f>IF(N81="","",100*(1-N81))</f>
        <v/>
      </c>
      <c r="P81" s="52">
        <f>IF(F81="","",IF(F81&lt;=0,20,IF(F81&lt;5%,20+400*F81,IF(F81&lt;10%,40+400*(F81-5%),IF(F81&lt;15%,60+400*(F81-10%),IF(F81&lt;25%,80+200*(F81-15%),100))))))</f>
        <v/>
      </c>
      <c r="Q81" s="52">
        <f>IF(OR(O81="",P81=""),"",70%*O81+30%*P81)</f>
        <v/>
      </c>
      <c r="R81">
        <f>IF(Q81="","",IF(Q81&gt;=70,"BUY",IF(Q81&gt;=40,"HOLD","SELL")))</f>
        <v/>
      </c>
    </row>
    <row r="82">
      <c r="A82" s="27" t="n">
        <v>43281</v>
      </c>
      <c r="B82" s="28" t="n">
        <v>10714.3</v>
      </c>
      <c r="C82" s="51" t="n">
        <v>25.9</v>
      </c>
      <c r="D82" s="30" t="inlineStr">
        <is>
          <t>Standalone</t>
        </is>
      </c>
      <c r="E82" s="31">
        <f>IFERROR(B82/C82,"")</f>
        <v/>
      </c>
      <c r="F82" s="50">
        <f>IF(D82=D78,IFERROR(E82/E78-1,""),"")</f>
        <v/>
      </c>
      <c r="G82" s="50">
        <f>IFERROR((COUNTIF($C$5:$C$92,"&lt;"&amp;C82)+0.5*COUNTIF($C$5:$C$92,C82))/COUNT($C$5:$C$92),"")</f>
        <v/>
      </c>
      <c r="H82">
        <f>IF(G82="","",IF(G82&lt;=20%,"Q1 Cheapest",IF(G82&lt;=40%,"Q2",IF(G82&lt;=60%,"Q3",IF(G82&lt;=80%,"Q4","Q5 Most Expensive")))))</f>
        <v/>
      </c>
      <c r="I82" s="50">
        <f>IFERROR(B86/B82-1,"")</f>
        <v/>
      </c>
      <c r="J82" s="50">
        <f>IFERROR((B94/B82)^(1/3)-1,"")</f>
        <v/>
      </c>
      <c r="K82" s="50">
        <f>IFERROR((B102/B82)^(1/5)-1,"")</f>
        <v/>
      </c>
      <c r="L82" s="50" t="inlineStr"/>
      <c r="M82">
        <f>IF(F82="","",IF(F82&lt;5%,"&lt;5%",IF(F82&lt;15%,"5-15%","&gt;15%")))</f>
        <v/>
      </c>
      <c r="N82" s="50">
        <f>IF(COUNT($C$5:C82)&lt;8,"",(COUNTIF($C$5:C82,"&lt;"&amp;C82)+0.5*COUNTIF($C$5:C82,C82))/COUNT($C$5:C82))</f>
        <v/>
      </c>
      <c r="O82" s="52">
        <f>IF(N82="","",100*(1-N82))</f>
        <v/>
      </c>
      <c r="P82" s="52">
        <f>IF(F82="","",IF(F82&lt;=0,20,IF(F82&lt;5%,20+400*F82,IF(F82&lt;10%,40+400*(F82-5%),IF(F82&lt;15%,60+400*(F82-10%),IF(F82&lt;25%,80+200*(F82-15%),100))))))</f>
        <v/>
      </c>
      <c r="Q82" s="52">
        <f>IF(OR(O82="",P82=""),"",70%*O82+30%*P82)</f>
        <v/>
      </c>
      <c r="R82">
        <f>IF(Q82="","",IF(Q82&gt;=70,"BUY",IF(Q82&gt;=40,"HOLD","SELL")))</f>
        <v/>
      </c>
    </row>
    <row r="83">
      <c r="A83" s="27" t="n">
        <v>43373</v>
      </c>
      <c r="B83" s="28" t="n">
        <v>10930.45</v>
      </c>
      <c r="C83" s="51" t="n">
        <v>26.4</v>
      </c>
      <c r="D83" s="30" t="inlineStr">
        <is>
          <t>Standalone</t>
        </is>
      </c>
      <c r="E83" s="31">
        <f>IFERROR(B83/C83,"")</f>
        <v/>
      </c>
      <c r="F83" s="50">
        <f>IF(D83=D79,IFERROR(E83/E79-1,""),"")</f>
        <v/>
      </c>
      <c r="G83" s="50">
        <f>IFERROR((COUNTIF($C$5:$C$92,"&lt;"&amp;C83)+0.5*COUNTIF($C$5:$C$92,C83))/COUNT($C$5:$C$92),"")</f>
        <v/>
      </c>
      <c r="H83">
        <f>IF(G83="","",IF(G83&lt;=20%,"Q1 Cheapest",IF(G83&lt;=40%,"Q2",IF(G83&lt;=60%,"Q3",IF(G83&lt;=80%,"Q4","Q5 Most Expensive")))))</f>
        <v/>
      </c>
      <c r="I83" s="50">
        <f>IFERROR(B87/B83-1,"")</f>
        <v/>
      </c>
      <c r="J83" s="50">
        <f>IFERROR((B95/B83)^(1/3)-1,"")</f>
        <v/>
      </c>
      <c r="K83" s="50">
        <f>IFERROR((B103/B83)^(1/5)-1,"")</f>
        <v/>
      </c>
      <c r="L83" s="50" t="inlineStr"/>
      <c r="M83">
        <f>IF(F83="","",IF(F83&lt;5%,"&lt;5%",IF(F83&lt;15%,"5-15%","&gt;15%")))</f>
        <v/>
      </c>
      <c r="N83" s="50">
        <f>IF(COUNT($C$5:C83)&lt;8,"",(COUNTIF($C$5:C83,"&lt;"&amp;C83)+0.5*COUNTIF($C$5:C83,C83))/COUNT($C$5:C83))</f>
        <v/>
      </c>
      <c r="O83" s="52">
        <f>IF(N83="","",100*(1-N83))</f>
        <v/>
      </c>
      <c r="P83" s="52">
        <f>IF(F83="","",IF(F83&lt;=0,20,IF(F83&lt;5%,20+400*F83,IF(F83&lt;10%,40+400*(F83-5%),IF(F83&lt;15%,60+400*(F83-10%),IF(F83&lt;25%,80+200*(F83-15%),100))))))</f>
        <v/>
      </c>
      <c r="Q83" s="52">
        <f>IF(OR(O83="",P83=""),"",70%*O83+30%*P83)</f>
        <v/>
      </c>
      <c r="R83">
        <f>IF(Q83="","",IF(Q83&gt;=70,"BUY",IF(Q83&gt;=40,"HOLD","SELL")))</f>
        <v/>
      </c>
    </row>
    <row r="84">
      <c r="A84" s="27" t="n">
        <v>43465</v>
      </c>
      <c r="B84" s="28" t="n">
        <v>10862.55</v>
      </c>
      <c r="C84" s="51" t="n">
        <v>26.2</v>
      </c>
      <c r="D84" s="30" t="inlineStr">
        <is>
          <t>Standalone</t>
        </is>
      </c>
      <c r="E84" s="31">
        <f>IFERROR(B84/C84,"")</f>
        <v/>
      </c>
      <c r="F84" s="50">
        <f>IF(D84=D80,IFERROR(E84/E80-1,""),"")</f>
        <v/>
      </c>
      <c r="G84" s="50">
        <f>IFERROR((COUNTIF($C$5:$C$92,"&lt;"&amp;C84)+0.5*COUNTIF($C$5:$C$92,C84))/COUNT($C$5:$C$92),"")</f>
        <v/>
      </c>
      <c r="H84">
        <f>IF(G84="","",IF(G84&lt;=20%,"Q1 Cheapest",IF(G84&lt;=40%,"Q2",IF(G84&lt;=60%,"Q3",IF(G84&lt;=80%,"Q4","Q5 Most Expensive")))))</f>
        <v/>
      </c>
      <c r="I84" s="50">
        <f>IFERROR(B88/B84-1,"")</f>
        <v/>
      </c>
      <c r="J84" s="50">
        <f>IFERROR((B96/B84)^(1/3)-1,"")</f>
        <v/>
      </c>
      <c r="K84" s="50">
        <f>IFERROR((B104/B84)^(1/5)-1,"")</f>
        <v/>
      </c>
      <c r="L84" s="50" t="inlineStr"/>
      <c r="M84">
        <f>IF(F84="","",IF(F84&lt;5%,"&lt;5%",IF(F84&lt;15%,"5-15%","&gt;15%")))</f>
        <v/>
      </c>
      <c r="N84" s="50">
        <f>IF(COUNT($C$5:C84)&lt;8,"",(COUNTIF($C$5:C84,"&lt;"&amp;C84)+0.5*COUNTIF($C$5:C84,C84))/COUNT($C$5:C84))</f>
        <v/>
      </c>
      <c r="O84" s="52">
        <f>IF(N84="","",100*(1-N84))</f>
        <v/>
      </c>
      <c r="P84" s="52">
        <f>IF(F84="","",IF(F84&lt;=0,20,IF(F84&lt;5%,20+400*F84,IF(F84&lt;10%,40+400*(F84-5%),IF(F84&lt;15%,60+400*(F84-10%),IF(F84&lt;25%,80+200*(F84-15%),100))))))</f>
        <v/>
      </c>
      <c r="Q84" s="52">
        <f>IF(OR(O84="",P84=""),"",70%*O84+30%*P84)</f>
        <v/>
      </c>
      <c r="R84">
        <f>IF(Q84="","",IF(Q84&gt;=70,"BUY",IF(Q84&gt;=40,"HOLD","SELL")))</f>
        <v/>
      </c>
    </row>
    <row r="85">
      <c r="A85" s="27" t="n">
        <v>43555</v>
      </c>
      <c r="B85" s="28" t="n">
        <v>11623.9</v>
      </c>
      <c r="C85" s="51" t="n">
        <v>29</v>
      </c>
      <c r="D85" s="30" t="inlineStr">
        <is>
          <t>Standalone</t>
        </is>
      </c>
      <c r="E85" s="31">
        <f>IFERROR(B85/C85,"")</f>
        <v/>
      </c>
      <c r="F85" s="50">
        <f>IF(D85=D81,IFERROR(E85/E81-1,""),"")</f>
        <v/>
      </c>
      <c r="G85" s="50">
        <f>IFERROR((COUNTIF($C$5:$C$92,"&lt;"&amp;C85)+0.5*COUNTIF($C$5:$C$92,C85))/COUNT($C$5:$C$92),"")</f>
        <v/>
      </c>
      <c r="H85">
        <f>IF(G85="","",IF(G85&lt;=20%,"Q1 Cheapest",IF(G85&lt;=40%,"Q2",IF(G85&lt;=60%,"Q3",IF(G85&lt;=80%,"Q4","Q5 Most Expensive")))))</f>
        <v/>
      </c>
      <c r="I85" s="50">
        <f>IFERROR(B89/B85-1,"")</f>
        <v/>
      </c>
      <c r="J85" s="50">
        <f>IFERROR((B97/B85)^(1/3)-1,"")</f>
        <v/>
      </c>
      <c r="K85" s="50">
        <f>IFERROR((B105/B85)^(1/5)-1,"")</f>
        <v/>
      </c>
      <c r="L85" s="50" t="inlineStr"/>
      <c r="M85">
        <f>IF(F85="","",IF(F85&lt;5%,"&lt;5%",IF(F85&lt;15%,"5-15%","&gt;15%")))</f>
        <v/>
      </c>
      <c r="N85" s="50">
        <f>IF(COUNT($C$5:C85)&lt;8,"",(COUNTIF($C$5:C85,"&lt;"&amp;C85)+0.5*COUNTIF($C$5:C85,C85))/COUNT($C$5:C85))</f>
        <v/>
      </c>
      <c r="O85" s="52">
        <f>IF(N85="","",100*(1-N85))</f>
        <v/>
      </c>
      <c r="P85" s="52">
        <f>IF(F85="","",IF(F85&lt;=0,20,IF(F85&lt;5%,20+400*F85,IF(F85&lt;10%,40+400*(F85-5%),IF(F85&lt;15%,60+400*(F85-10%),IF(F85&lt;25%,80+200*(F85-15%),100))))))</f>
        <v/>
      </c>
      <c r="Q85" s="52">
        <f>IF(OR(O85="",P85=""),"",70%*O85+30%*P85)</f>
        <v/>
      </c>
      <c r="R85">
        <f>IF(Q85="","",IF(Q85&gt;=70,"BUY",IF(Q85&gt;=40,"HOLD","SELL")))</f>
        <v/>
      </c>
    </row>
    <row r="86">
      <c r="A86" s="27" t="n">
        <v>43646</v>
      </c>
      <c r="B86" s="28" t="n">
        <v>11788.85</v>
      </c>
      <c r="C86" s="51" t="n">
        <v>29</v>
      </c>
      <c r="D86" s="30" t="inlineStr">
        <is>
          <t>Standalone</t>
        </is>
      </c>
      <c r="E86" s="31">
        <f>IFERROR(B86/C86,"")</f>
        <v/>
      </c>
      <c r="F86" s="50">
        <f>IF(D86=D82,IFERROR(E86/E82-1,""),"")</f>
        <v/>
      </c>
      <c r="G86" s="50">
        <f>IFERROR((COUNTIF($C$5:$C$92,"&lt;"&amp;C86)+0.5*COUNTIF($C$5:$C$92,C86))/COUNT($C$5:$C$92),"")</f>
        <v/>
      </c>
      <c r="H86">
        <f>IF(G86="","",IF(G86&lt;=20%,"Q1 Cheapest",IF(G86&lt;=40%,"Q2",IF(G86&lt;=60%,"Q3",IF(G86&lt;=80%,"Q4","Q5 Most Expensive")))))</f>
        <v/>
      </c>
      <c r="I86" s="50">
        <f>IFERROR(B90/B86-1,"")</f>
        <v/>
      </c>
      <c r="J86" s="50">
        <f>IFERROR((B98/B86)^(1/3)-1,"")</f>
        <v/>
      </c>
      <c r="K86" s="50">
        <f>IFERROR((B106/B86)^(1/5)-1,"")</f>
        <v/>
      </c>
      <c r="L86" s="50" t="inlineStr"/>
      <c r="M86">
        <f>IF(F86="","",IF(F86&lt;5%,"&lt;5%",IF(F86&lt;15%,"5-15%","&gt;15%")))</f>
        <v/>
      </c>
      <c r="N86" s="50">
        <f>IF(COUNT($C$5:C86)&lt;8,"",(COUNTIF($C$5:C86,"&lt;"&amp;C86)+0.5*COUNTIF($C$5:C86,C86))/COUNT($C$5:C86))</f>
        <v/>
      </c>
      <c r="O86" s="52">
        <f>IF(N86="","",100*(1-N86))</f>
        <v/>
      </c>
      <c r="P86" s="52">
        <f>IF(F86="","",IF(F86&lt;=0,20,IF(F86&lt;5%,20+400*F86,IF(F86&lt;10%,40+400*(F86-5%),IF(F86&lt;15%,60+400*(F86-10%),IF(F86&lt;25%,80+200*(F86-15%),100))))))</f>
        <v/>
      </c>
      <c r="Q86" s="52">
        <f>IF(OR(O86="",P86=""),"",70%*O86+30%*P86)</f>
        <v/>
      </c>
      <c r="R86">
        <f>IF(Q86="","",IF(Q86&gt;=70,"BUY",IF(Q86&gt;=40,"HOLD","SELL")))</f>
        <v/>
      </c>
    </row>
    <row r="87">
      <c r="A87" s="27" t="n">
        <v>43738</v>
      </c>
      <c r="B87" s="28" t="n">
        <v>11474.45</v>
      </c>
      <c r="C87" s="51" t="n">
        <v>26.4</v>
      </c>
      <c r="D87" s="30" t="inlineStr">
        <is>
          <t>Standalone</t>
        </is>
      </c>
      <c r="E87" s="31">
        <f>IFERROR(B87/C87,"")</f>
        <v/>
      </c>
      <c r="F87" s="50">
        <f>IF(D87=D83,IFERROR(E87/E83-1,""),"")</f>
        <v/>
      </c>
      <c r="G87" s="50">
        <f>IFERROR((COUNTIF($C$5:$C$92,"&lt;"&amp;C87)+0.5*COUNTIF($C$5:$C$92,C87))/COUNT($C$5:$C$92),"")</f>
        <v/>
      </c>
      <c r="H87">
        <f>IF(G87="","",IF(G87&lt;=20%,"Q1 Cheapest",IF(G87&lt;=40%,"Q2",IF(G87&lt;=60%,"Q3",IF(G87&lt;=80%,"Q4","Q5 Most Expensive")))))</f>
        <v/>
      </c>
      <c r="I87" s="50">
        <f>IFERROR(B91/B87-1,"")</f>
        <v/>
      </c>
      <c r="J87" s="50">
        <f>IFERROR((B99/B87)^(1/3)-1,"")</f>
        <v/>
      </c>
      <c r="K87" s="50">
        <f>IFERROR((B107/B87)^(1/5)-1,"")</f>
        <v/>
      </c>
      <c r="L87" s="50" t="inlineStr"/>
      <c r="M87">
        <f>IF(F87="","",IF(F87&lt;5%,"&lt;5%",IF(F87&lt;15%,"5-15%","&gt;15%")))</f>
        <v/>
      </c>
      <c r="N87" s="50">
        <f>IF(COUNT($C$5:C87)&lt;8,"",(COUNTIF($C$5:C87,"&lt;"&amp;C87)+0.5*COUNTIF($C$5:C87,C87))/COUNT($C$5:C87))</f>
        <v/>
      </c>
      <c r="O87" s="52">
        <f>IF(N87="","",100*(1-N87))</f>
        <v/>
      </c>
      <c r="P87" s="52">
        <f>IF(F87="","",IF(F87&lt;=0,20,IF(F87&lt;5%,20+400*F87,IF(F87&lt;10%,40+400*(F87-5%),IF(F87&lt;15%,60+400*(F87-10%),IF(F87&lt;25%,80+200*(F87-15%),100))))))</f>
        <v/>
      </c>
      <c r="Q87" s="52">
        <f>IF(OR(O87="",P87=""),"",70%*O87+30%*P87)</f>
        <v/>
      </c>
      <c r="R87">
        <f>IF(Q87="","",IF(Q87&gt;=70,"BUY",IF(Q87&gt;=40,"HOLD","SELL")))</f>
        <v/>
      </c>
    </row>
    <row r="88">
      <c r="A88" s="27" t="n">
        <v>43830</v>
      </c>
      <c r="B88" s="28" t="n">
        <v>12168.45</v>
      </c>
      <c r="C88" s="51" t="n">
        <v>28.3</v>
      </c>
      <c r="D88" s="30" t="inlineStr">
        <is>
          <t>Standalone</t>
        </is>
      </c>
      <c r="E88" s="31">
        <f>IFERROR(B88/C88,"")</f>
        <v/>
      </c>
      <c r="F88" s="50">
        <f>IF(D88=D84,IFERROR(E88/E84-1,""),"")</f>
        <v/>
      </c>
      <c r="G88" s="50">
        <f>IFERROR((COUNTIF($C$5:$C$92,"&lt;"&amp;C88)+0.5*COUNTIF($C$5:$C$92,C88))/COUNT($C$5:$C$92),"")</f>
        <v/>
      </c>
      <c r="H88">
        <f>IF(G88="","",IF(G88&lt;=20%,"Q1 Cheapest",IF(G88&lt;=40%,"Q2",IF(G88&lt;=60%,"Q3",IF(G88&lt;=80%,"Q4","Q5 Most Expensive")))))</f>
        <v/>
      </c>
      <c r="I88" s="50">
        <f>IFERROR(B92/B88-1,"")</f>
        <v/>
      </c>
      <c r="J88" s="50">
        <f>IFERROR((B100/B88)^(1/3)-1,"")</f>
        <v/>
      </c>
      <c r="K88" s="50">
        <f>IFERROR((B108/B88)^(1/5)-1,"")</f>
        <v/>
      </c>
      <c r="L88" s="50" t="inlineStr"/>
      <c r="M88">
        <f>IF(F88="","",IF(F88&lt;5%,"&lt;5%",IF(F88&lt;15%,"5-15%","&gt;15%")))</f>
        <v/>
      </c>
      <c r="N88" s="50">
        <f>IF(COUNT($C$5:C88)&lt;8,"",(COUNTIF($C$5:C88,"&lt;"&amp;C88)+0.5*COUNTIF($C$5:C88,C88))/COUNT($C$5:C88))</f>
        <v/>
      </c>
      <c r="O88" s="52">
        <f>IF(N88="","",100*(1-N88))</f>
        <v/>
      </c>
      <c r="P88" s="52">
        <f>IF(F88="","",IF(F88&lt;=0,20,IF(F88&lt;5%,20+400*F88,IF(F88&lt;10%,40+400*(F88-5%),IF(F88&lt;15%,60+400*(F88-10%),IF(F88&lt;25%,80+200*(F88-15%),100))))))</f>
        <v/>
      </c>
      <c r="Q88" s="52">
        <f>IF(OR(O88="",P88=""),"",70%*O88+30%*P88)</f>
        <v/>
      </c>
      <c r="R88">
        <f>IF(Q88="","",IF(Q88&gt;=70,"BUY",IF(Q88&gt;=40,"HOLD","SELL")))</f>
        <v/>
      </c>
    </row>
    <row r="89">
      <c r="A89" s="27" t="n">
        <v>43921</v>
      </c>
      <c r="B89" s="28" t="n">
        <v>8597.75</v>
      </c>
      <c r="C89" s="51" t="n">
        <v>19.4</v>
      </c>
      <c r="D89" s="30" t="inlineStr">
        <is>
          <t>Standalone</t>
        </is>
      </c>
      <c r="E89" s="31">
        <f>IFERROR(B89/C89,"")</f>
        <v/>
      </c>
      <c r="F89" s="50">
        <f>IF(D89=D85,IFERROR(E89/E85-1,""),"")</f>
        <v/>
      </c>
      <c r="G89" s="50">
        <f>IFERROR((COUNTIF($C$5:$C$92,"&lt;"&amp;C89)+0.5*COUNTIF($C$5:$C$92,C89))/COUNT($C$5:$C$92),"")</f>
        <v/>
      </c>
      <c r="H89">
        <f>IF(G89="","",IF(G89&lt;=20%,"Q1 Cheapest",IF(G89&lt;=40%,"Q2",IF(G89&lt;=60%,"Q3",IF(G89&lt;=80%,"Q4","Q5 Most Expensive")))))</f>
        <v/>
      </c>
      <c r="I89" s="50">
        <f>IFERROR(B93/B89-1,"")</f>
        <v/>
      </c>
      <c r="J89" s="50">
        <f>IFERROR((B101/B89)^(1/3)-1,"")</f>
        <v/>
      </c>
      <c r="K89" s="50">
        <f>IFERROR((B109/B89)^(1/5)-1,"")</f>
        <v/>
      </c>
      <c r="L89" s="50" t="inlineStr"/>
      <c r="M89">
        <f>IF(F89="","",IF(F89&lt;5%,"&lt;5%",IF(F89&lt;15%,"5-15%","&gt;15%")))</f>
        <v/>
      </c>
      <c r="N89" s="50">
        <f>IF(COUNT($C$5:C89)&lt;8,"",(COUNTIF($C$5:C89,"&lt;"&amp;C89)+0.5*COUNTIF($C$5:C89,C89))/COUNT($C$5:C89))</f>
        <v/>
      </c>
      <c r="O89" s="52">
        <f>IF(N89="","",100*(1-N89))</f>
        <v/>
      </c>
      <c r="P89" s="52">
        <f>IF(F89="","",IF(F89&lt;=0,20,IF(F89&lt;5%,20+400*F89,IF(F89&lt;10%,40+400*(F89-5%),IF(F89&lt;15%,60+400*(F89-10%),IF(F89&lt;25%,80+200*(F89-15%),100))))))</f>
        <v/>
      </c>
      <c r="Q89" s="52">
        <f>IF(OR(O89="",P89=""),"",70%*O89+30%*P89)</f>
        <v/>
      </c>
      <c r="R89">
        <f>IF(Q89="","",IF(Q89&gt;=70,"BUY",IF(Q89&gt;=40,"HOLD","SELL")))</f>
        <v/>
      </c>
    </row>
    <row r="90">
      <c r="A90" s="27" t="n">
        <v>44012</v>
      </c>
      <c r="B90" s="28" t="n">
        <v>10302.1</v>
      </c>
      <c r="C90" s="51" t="n">
        <v>26.3</v>
      </c>
      <c r="D90" s="30" t="inlineStr">
        <is>
          <t>Standalone</t>
        </is>
      </c>
      <c r="E90" s="31">
        <f>IFERROR(B90/C90,"")</f>
        <v/>
      </c>
      <c r="F90" s="50">
        <f>IF(D90=D86,IFERROR(E90/E86-1,""),"")</f>
        <v/>
      </c>
      <c r="G90" s="50">
        <f>IFERROR((COUNTIF($C$5:$C$92,"&lt;"&amp;C90)+0.5*COUNTIF($C$5:$C$92,C90))/COUNT($C$5:$C$92),"")</f>
        <v/>
      </c>
      <c r="H90">
        <f>IF(G90="","",IF(G90&lt;=20%,"Q1 Cheapest",IF(G90&lt;=40%,"Q2",IF(G90&lt;=60%,"Q3",IF(G90&lt;=80%,"Q4","Q5 Most Expensive")))))</f>
        <v/>
      </c>
      <c r="I90" s="50">
        <f>IFERROR(B94/B90-1,"")</f>
        <v/>
      </c>
      <c r="J90" s="50">
        <f>IFERROR((B102/B90)^(1/3)-1,"")</f>
        <v/>
      </c>
      <c r="K90" s="50">
        <f>IFERROR((B110/B90)^(1/5)-1,"")</f>
        <v/>
      </c>
      <c r="L90" s="50" t="inlineStr"/>
      <c r="M90">
        <f>IF(F90="","",IF(F90&lt;5%,"&lt;5%",IF(F90&lt;15%,"5-15%","&gt;15%")))</f>
        <v/>
      </c>
      <c r="N90" s="50">
        <f>IF(COUNT($C$5:C90)&lt;8,"",(COUNTIF($C$5:C90,"&lt;"&amp;C90)+0.5*COUNTIF($C$5:C90,C90))/COUNT($C$5:C90))</f>
        <v/>
      </c>
      <c r="O90" s="52">
        <f>IF(N90="","",100*(1-N90))</f>
        <v/>
      </c>
      <c r="P90" s="52">
        <f>IF(F90="","",IF(F90&lt;=0,20,IF(F90&lt;5%,20+400*F90,IF(F90&lt;10%,40+400*(F90-5%),IF(F90&lt;15%,60+400*(F90-10%),IF(F90&lt;25%,80+200*(F90-15%),100))))))</f>
        <v/>
      </c>
      <c r="Q90" s="52">
        <f>IF(OR(O90="",P90=""),"",70%*O90+30%*P90)</f>
        <v/>
      </c>
      <c r="R90">
        <f>IF(Q90="","",IF(Q90&gt;=70,"BUY",IF(Q90&gt;=40,"HOLD","SELL")))</f>
        <v/>
      </c>
    </row>
    <row r="91">
      <c r="A91" s="27" t="n">
        <v>44104</v>
      </c>
      <c r="B91" s="28" t="n">
        <v>11247.55</v>
      </c>
      <c r="C91" s="51" t="n">
        <v>32.7</v>
      </c>
      <c r="D91" s="30" t="inlineStr">
        <is>
          <t>Standalone</t>
        </is>
      </c>
      <c r="E91" s="31">
        <f>IFERROR(B91/C91,"")</f>
        <v/>
      </c>
      <c r="F91" s="50">
        <f>IF(D91=D87,IFERROR(E91/E87-1,""),"")</f>
        <v/>
      </c>
      <c r="G91" s="50">
        <f>IFERROR((COUNTIF($C$5:$C$92,"&lt;"&amp;C91)+0.5*COUNTIF($C$5:$C$92,C91))/COUNT($C$5:$C$92),"")</f>
        <v/>
      </c>
      <c r="H91">
        <f>IF(G91="","",IF(G91&lt;=20%,"Q1 Cheapest",IF(G91&lt;=40%,"Q2",IF(G91&lt;=60%,"Q3",IF(G91&lt;=80%,"Q4","Q5 Most Expensive")))))</f>
        <v/>
      </c>
      <c r="I91" s="50">
        <f>IFERROR(B95/B91-1,"")</f>
        <v/>
      </c>
      <c r="J91" s="50">
        <f>IFERROR((B103/B91)^(1/3)-1,"")</f>
        <v/>
      </c>
      <c r="K91" s="50">
        <f>IFERROR((B111/B91)^(1/5)-1,"")</f>
        <v/>
      </c>
      <c r="L91" s="50" t="inlineStr"/>
      <c r="M91">
        <f>IF(F91="","",IF(F91&lt;5%,"&lt;5%",IF(F91&lt;15%,"5-15%","&gt;15%")))</f>
        <v/>
      </c>
      <c r="N91" s="50">
        <f>IF(COUNT($C$5:C91)&lt;8,"",(COUNTIF($C$5:C91,"&lt;"&amp;C91)+0.5*COUNTIF($C$5:C91,C91))/COUNT($C$5:C91))</f>
        <v/>
      </c>
      <c r="O91" s="52">
        <f>IF(N91="","",100*(1-N91))</f>
        <v/>
      </c>
      <c r="P91" s="52">
        <f>IF(F91="","",IF(F91&lt;=0,20,IF(F91&lt;5%,20+400*F91,IF(F91&lt;10%,40+400*(F91-5%),IF(F91&lt;15%,60+400*(F91-10%),IF(F91&lt;25%,80+200*(F91-15%),100))))))</f>
        <v/>
      </c>
      <c r="Q91" s="52">
        <f>IF(OR(O91="",P91=""),"",70%*O91+30%*P91)</f>
        <v/>
      </c>
      <c r="R91">
        <f>IF(Q91="","",IF(Q91&gt;=70,"BUY",IF(Q91&gt;=40,"HOLD","SELL")))</f>
        <v/>
      </c>
    </row>
    <row r="92">
      <c r="A92" s="27" t="n">
        <v>44196</v>
      </c>
      <c r="B92" s="28" t="n">
        <v>13981.75</v>
      </c>
      <c r="C92" s="51" t="n">
        <v>38.5</v>
      </c>
      <c r="D92" s="30" t="inlineStr">
        <is>
          <t>Standalone</t>
        </is>
      </c>
      <c r="E92" s="31">
        <f>IFERROR(B92/C92,"")</f>
        <v/>
      </c>
      <c r="F92" s="50">
        <f>IF(D92=D88,IFERROR(E92/E88-1,""),"")</f>
        <v/>
      </c>
      <c r="G92" s="50">
        <f>IFERROR((COUNTIF($C$5:$C$92,"&lt;"&amp;C92)+0.5*COUNTIF($C$5:$C$92,C92))/COUNT($C$5:$C$92),"")</f>
        <v/>
      </c>
      <c r="H92">
        <f>IF(G92="","",IF(G92&lt;=20%,"Q1 Cheapest",IF(G92&lt;=40%,"Q2",IF(G92&lt;=60%,"Q3",IF(G92&lt;=80%,"Q4","Q5 Most Expensive")))))</f>
        <v/>
      </c>
      <c r="I92" s="50">
        <f>IFERROR(B96/B92-1,"")</f>
        <v/>
      </c>
      <c r="J92" s="50">
        <f>IFERROR((B104/B92)^(1/3)-1,"")</f>
        <v/>
      </c>
      <c r="K92" s="50">
        <f>IFERROR((B112/B92)^(1/5)-1,"")</f>
        <v/>
      </c>
      <c r="L92" s="50" t="inlineStr"/>
      <c r="M92">
        <f>IF(F92="","",IF(F92&lt;5%,"&lt;5%",IF(F92&lt;15%,"5-15%","&gt;15%")))</f>
        <v/>
      </c>
      <c r="N92" s="50">
        <f>IF(COUNT($C$5:C92)&lt;8,"",(COUNTIF($C$5:C92,"&lt;"&amp;C92)+0.5*COUNTIF($C$5:C92,C92))/COUNT($C$5:C92))</f>
        <v/>
      </c>
      <c r="O92" s="52">
        <f>IF(N92="","",100*(1-N92))</f>
        <v/>
      </c>
      <c r="P92" s="52">
        <f>IF(F92="","",IF(F92&lt;=0,20,IF(F92&lt;5%,20+400*F92,IF(F92&lt;10%,40+400*(F92-5%),IF(F92&lt;15%,60+400*(F92-10%),IF(F92&lt;25%,80+200*(F92-15%),100))))))</f>
        <v/>
      </c>
      <c r="Q92" s="52">
        <f>IF(OR(O92="",P92=""),"",70%*O92+30%*P92)</f>
        <v/>
      </c>
      <c r="R92">
        <f>IF(Q92="","",IF(Q92&gt;=70,"BUY",IF(Q92&gt;=40,"HOLD","SELL")))</f>
        <v/>
      </c>
    </row>
    <row r="93">
      <c r="A93" s="27" t="n">
        <v>44286</v>
      </c>
      <c r="B93" s="28" t="n">
        <v>14690.7</v>
      </c>
      <c r="C93" s="51" t="n">
        <v>33.2</v>
      </c>
      <c r="D93" s="30" t="inlineStr">
        <is>
          <t>Consolidated</t>
        </is>
      </c>
      <c r="E93" s="31">
        <f>IFERROR(B93/C93,"")</f>
        <v/>
      </c>
      <c r="F93" s="50">
        <f>IF(D93=D89,IFERROR(E93/E89-1,""),"")</f>
        <v/>
      </c>
      <c r="G93" s="50">
        <f>IFERROR((COUNTIF($C$93:$C$114,"&lt;"&amp;C93)+0.5*COUNTIF($C$93:$C$114,C93))/COUNT($C$93:$C$114),"")</f>
        <v/>
      </c>
      <c r="H93">
        <f>IF(G93="","",IF(G93&lt;=20%,"Q1 Cheapest",IF(G93&lt;=40%,"Q2",IF(G93&lt;=60%,"Q3",IF(G93&lt;=80%,"Q4","Q5 Most Expensive")))))</f>
        <v/>
      </c>
      <c r="I93" s="50">
        <f>IFERROR(B97/B93-1,"")</f>
        <v/>
      </c>
      <c r="J93" s="50">
        <f>IFERROR((B105/B93)^(1/3)-1,"")</f>
        <v/>
      </c>
      <c r="K93" s="50">
        <f>IFERROR((B113/B93)^(1/5)-1,"")</f>
        <v/>
      </c>
      <c r="L93" s="50" t="inlineStr"/>
      <c r="M93">
        <f>IF(F93="","",IF(F93&lt;5%,"&lt;5%",IF(F93&lt;15%,"5-15%","&gt;15%")))</f>
        <v/>
      </c>
      <c r="N93" s="50">
        <f>IF(COUNT($C$93:C93)&lt;8,"",(COUNTIF($C$93:C93,"&lt;"&amp;C93)+0.5*COUNTIF($C$93:C93,C93))/COUNT($C$93:C93))</f>
        <v/>
      </c>
      <c r="O93" s="52">
        <f>IF(N93="","",100*(1-N93))</f>
        <v/>
      </c>
      <c r="P93" s="52">
        <f>IF(F93="","",IF(F93&lt;=0,20,IF(F93&lt;5%,20+400*F93,IF(F93&lt;10%,40+400*(F93-5%),IF(F93&lt;15%,60+400*(F93-10%),IF(F93&lt;25%,80+200*(F93-15%),100))))))</f>
        <v/>
      </c>
      <c r="Q93" s="52">
        <f>IF(OR(O93="",P93=""),"",70%*O93+30%*P93)</f>
        <v/>
      </c>
      <c r="R93">
        <f>IF(Q93="","",IF(Q93&gt;=70,"BUY",IF(Q93&gt;=40,"HOLD","SELL")))</f>
        <v/>
      </c>
    </row>
    <row r="94">
      <c r="A94" s="27" t="n">
        <v>44377</v>
      </c>
      <c r="B94" s="28" t="n">
        <v>15721.5</v>
      </c>
      <c r="C94" s="51" t="n">
        <v>28.3</v>
      </c>
      <c r="D94" s="30" t="inlineStr">
        <is>
          <t>Consolidated</t>
        </is>
      </c>
      <c r="E94" s="31">
        <f>IFERROR(B94/C94,"")</f>
        <v/>
      </c>
      <c r="F94" s="50">
        <f>IF(D94=D90,IFERROR(E94/E90-1,""),"")</f>
        <v/>
      </c>
      <c r="G94" s="50">
        <f>IFERROR((COUNTIF($C$93:$C$114,"&lt;"&amp;C94)+0.5*COUNTIF($C$93:$C$114,C94))/COUNT($C$93:$C$114),"")</f>
        <v/>
      </c>
      <c r="H94">
        <f>IF(G94="","",IF(G94&lt;=20%,"Q1 Cheapest",IF(G94&lt;=40%,"Q2",IF(G94&lt;=60%,"Q3",IF(G94&lt;=80%,"Q4","Q5 Most Expensive")))))</f>
        <v/>
      </c>
      <c r="I94" s="50">
        <f>IFERROR(B98/B94-1,"")</f>
        <v/>
      </c>
      <c r="J94" s="50">
        <f>IFERROR((B106/B94)^(1/3)-1,"")</f>
        <v/>
      </c>
      <c r="K94" s="50">
        <f>IFERROR((B114/B94)^(1/5)-1,"")</f>
        <v/>
      </c>
      <c r="L94" s="50" t="inlineStr"/>
      <c r="M94">
        <f>IF(F94="","",IF(F94&lt;5%,"&lt;5%",IF(F94&lt;15%,"5-15%","&gt;15%")))</f>
        <v/>
      </c>
      <c r="N94" s="50">
        <f>IF(COUNT($C$93:C94)&lt;8,"",(COUNTIF($C$93:C94,"&lt;"&amp;C94)+0.5*COUNTIF($C$93:C94,C94))/COUNT($C$93:C94))</f>
        <v/>
      </c>
      <c r="O94" s="52">
        <f>IF(N94="","",100*(1-N94))</f>
        <v/>
      </c>
      <c r="P94" s="52">
        <f>IF(F94="","",IF(F94&lt;=0,20,IF(F94&lt;5%,20+400*F94,IF(F94&lt;10%,40+400*(F94-5%),IF(F94&lt;15%,60+400*(F94-10%),IF(F94&lt;25%,80+200*(F94-15%),100))))))</f>
        <v/>
      </c>
      <c r="Q94" s="52">
        <f>IF(OR(O94="",P94=""),"",70%*O94+30%*P94)</f>
        <v/>
      </c>
      <c r="R94">
        <f>IF(Q94="","",IF(Q94&gt;=70,"BUY",IF(Q94&gt;=40,"HOLD","SELL")))</f>
        <v/>
      </c>
    </row>
    <row r="95">
      <c r="A95" s="27" t="n">
        <v>44469</v>
      </c>
      <c r="B95" s="28" t="n">
        <v>17618.15</v>
      </c>
      <c r="C95" s="51" t="n">
        <v>27</v>
      </c>
      <c r="D95" s="30" t="inlineStr">
        <is>
          <t>Consolidated</t>
        </is>
      </c>
      <c r="E95" s="31">
        <f>IFERROR(B95/C95,"")</f>
        <v/>
      </c>
      <c r="F95" s="50">
        <f>IF(D95=D91,IFERROR(E95/E91-1,""),"")</f>
        <v/>
      </c>
      <c r="G95" s="50">
        <f>IFERROR((COUNTIF($C$93:$C$114,"&lt;"&amp;C95)+0.5*COUNTIF($C$93:$C$114,C95))/COUNT($C$93:$C$114),"")</f>
        <v/>
      </c>
      <c r="H95">
        <f>IF(G95="","",IF(G95&lt;=20%,"Q1 Cheapest",IF(G95&lt;=40%,"Q2",IF(G95&lt;=60%,"Q3",IF(G95&lt;=80%,"Q4","Q5 Most Expensive")))))</f>
        <v/>
      </c>
      <c r="I95" s="50">
        <f>IFERROR(B99/B95-1,"")</f>
        <v/>
      </c>
      <c r="J95" s="50">
        <f>IFERROR((B107/B95)^(1/3)-1,"")</f>
        <v/>
      </c>
      <c r="K95" s="50" t="inlineStr"/>
      <c r="L95" s="50" t="inlineStr"/>
      <c r="M95">
        <f>IF(F95="","",IF(F95&lt;5%,"&lt;5%",IF(F95&lt;15%,"5-15%","&gt;15%")))</f>
        <v/>
      </c>
      <c r="N95" s="50">
        <f>IF(COUNT($C$93:C95)&lt;8,"",(COUNTIF($C$93:C95,"&lt;"&amp;C95)+0.5*COUNTIF($C$93:C95,C95))/COUNT($C$93:C95))</f>
        <v/>
      </c>
      <c r="O95" s="52">
        <f>IF(N95="","",100*(1-N95))</f>
        <v/>
      </c>
      <c r="P95" s="52">
        <f>IF(F95="","",IF(F95&lt;=0,20,IF(F95&lt;5%,20+400*F95,IF(F95&lt;10%,40+400*(F95-5%),IF(F95&lt;15%,60+400*(F95-10%),IF(F95&lt;25%,80+200*(F95-15%),100))))))</f>
        <v/>
      </c>
      <c r="Q95" s="52">
        <f>IF(OR(O95="",P95=""),"",70%*O95+30%*P95)</f>
        <v/>
      </c>
      <c r="R95">
        <f>IF(Q95="","",IF(Q95&gt;=70,"BUY",IF(Q95&gt;=40,"HOLD","SELL")))</f>
        <v/>
      </c>
    </row>
    <row r="96">
      <c r="A96" s="27" t="n">
        <v>44561</v>
      </c>
      <c r="B96" s="28" t="n">
        <v>17354.05</v>
      </c>
      <c r="C96" s="51" t="n">
        <v>24.1</v>
      </c>
      <c r="D96" s="30" t="inlineStr">
        <is>
          <t>Consolidated</t>
        </is>
      </c>
      <c r="E96" s="31">
        <f>IFERROR(B96/C96,"")</f>
        <v/>
      </c>
      <c r="F96" s="50">
        <f>IF(D96=D92,IFERROR(E96/E92-1,""),"")</f>
        <v/>
      </c>
      <c r="G96" s="50">
        <f>IFERROR((COUNTIF($C$93:$C$114,"&lt;"&amp;C96)+0.5*COUNTIF($C$93:$C$114,C96))/COUNT($C$93:$C$114),"")</f>
        <v/>
      </c>
      <c r="H96">
        <f>IF(G96="","",IF(G96&lt;=20%,"Q1 Cheapest",IF(G96&lt;=40%,"Q2",IF(G96&lt;=60%,"Q3",IF(G96&lt;=80%,"Q4","Q5 Most Expensive")))))</f>
        <v/>
      </c>
      <c r="I96" s="50">
        <f>IFERROR(B100/B96-1,"")</f>
        <v/>
      </c>
      <c r="J96" s="50">
        <f>IFERROR((B108/B96)^(1/3)-1,"")</f>
        <v/>
      </c>
      <c r="K96" s="50" t="inlineStr"/>
      <c r="L96" s="50" t="inlineStr"/>
      <c r="M96">
        <f>IF(F96="","",IF(F96&lt;5%,"&lt;5%",IF(F96&lt;15%,"5-15%","&gt;15%")))</f>
        <v/>
      </c>
      <c r="N96" s="50">
        <f>IF(COUNT($C$93:C96)&lt;8,"",(COUNTIF($C$93:C96,"&lt;"&amp;C96)+0.5*COUNTIF($C$93:C96,C96))/COUNT($C$93:C96))</f>
        <v/>
      </c>
      <c r="O96" s="52">
        <f>IF(N96="","",100*(1-N96))</f>
        <v/>
      </c>
      <c r="P96" s="52">
        <f>IF(F96="","",IF(F96&lt;=0,20,IF(F96&lt;5%,20+400*F96,IF(F96&lt;10%,40+400*(F96-5%),IF(F96&lt;15%,60+400*(F96-10%),IF(F96&lt;25%,80+200*(F96-15%),100))))))</f>
        <v/>
      </c>
      <c r="Q96" s="52">
        <f>IF(OR(O96="",P96=""),"",70%*O96+30%*P96)</f>
        <v/>
      </c>
      <c r="R96">
        <f>IF(Q96="","",IF(Q96&gt;=70,"BUY",IF(Q96&gt;=40,"HOLD","SELL")))</f>
        <v/>
      </c>
    </row>
    <row r="97">
      <c r="A97" s="27" t="n">
        <v>44651</v>
      </c>
      <c r="B97" s="28" t="n">
        <v>17464.75</v>
      </c>
      <c r="C97" s="51" t="n">
        <v>22.9</v>
      </c>
      <c r="D97" s="30" t="inlineStr">
        <is>
          <t>Consolidated</t>
        </is>
      </c>
      <c r="E97" s="31">
        <f>IFERROR(B97/C97,"")</f>
        <v/>
      </c>
      <c r="F97" s="50">
        <f>IF(D97=D93,IFERROR(E97/E93-1,""),"")</f>
        <v/>
      </c>
      <c r="G97" s="50">
        <f>IFERROR((COUNTIF($C$93:$C$114,"&lt;"&amp;C97)+0.5*COUNTIF($C$93:$C$114,C97))/COUNT($C$93:$C$114),"")</f>
        <v/>
      </c>
      <c r="H97">
        <f>IF(G97="","",IF(G97&lt;=20%,"Q1 Cheapest",IF(G97&lt;=40%,"Q2",IF(G97&lt;=60%,"Q3",IF(G97&lt;=80%,"Q4","Q5 Most Expensive")))))</f>
        <v/>
      </c>
      <c r="I97" s="50">
        <f>IFERROR(B101/B97-1,"")</f>
        <v/>
      </c>
      <c r="J97" s="50">
        <f>IFERROR((B109/B97)^(1/3)-1,"")</f>
        <v/>
      </c>
      <c r="K97" s="50" t="inlineStr"/>
      <c r="L97" s="50" t="inlineStr"/>
      <c r="M97">
        <f>IF(F97="","",IF(F97&lt;5%,"&lt;5%",IF(F97&lt;15%,"5-15%","&gt;15%")))</f>
        <v/>
      </c>
      <c r="N97" s="50">
        <f>IF(COUNT($C$93:C97)&lt;8,"",(COUNTIF($C$93:C97,"&lt;"&amp;C97)+0.5*COUNTIF($C$93:C97,C97))/COUNT($C$93:C97))</f>
        <v/>
      </c>
      <c r="O97" s="52">
        <f>IF(N97="","",100*(1-N97))</f>
        <v/>
      </c>
      <c r="P97" s="52">
        <f>IF(F97="","",IF(F97&lt;=0,20,IF(F97&lt;5%,20+400*F97,IF(F97&lt;10%,40+400*(F97-5%),IF(F97&lt;15%,60+400*(F97-10%),IF(F97&lt;25%,80+200*(F97-15%),100))))))</f>
        <v/>
      </c>
      <c r="Q97" s="52">
        <f>IF(OR(O97="",P97=""),"",70%*O97+30%*P97)</f>
        <v/>
      </c>
      <c r="R97">
        <f>IF(Q97="","",IF(Q97&gt;=70,"BUY",IF(Q97&gt;=40,"HOLD","SELL")))</f>
        <v/>
      </c>
    </row>
    <row r="98">
      <c r="A98" s="27" t="n">
        <v>44742</v>
      </c>
      <c r="B98" s="28" t="n">
        <v>15780.25</v>
      </c>
      <c r="C98" s="51" t="n">
        <v>19.5</v>
      </c>
      <c r="D98" s="30" t="inlineStr">
        <is>
          <t>Consolidated</t>
        </is>
      </c>
      <c r="E98" s="31">
        <f>IFERROR(B98/C98,"")</f>
        <v/>
      </c>
      <c r="F98" s="50">
        <f>IF(D98=D94,IFERROR(E98/E94-1,""),"")</f>
        <v/>
      </c>
      <c r="G98" s="50">
        <f>IFERROR((COUNTIF($C$93:$C$114,"&lt;"&amp;C98)+0.5*COUNTIF($C$93:$C$114,C98))/COUNT($C$93:$C$114),"")</f>
        <v/>
      </c>
      <c r="H98">
        <f>IF(G98="","",IF(G98&lt;=20%,"Q1 Cheapest",IF(G98&lt;=40%,"Q2",IF(G98&lt;=60%,"Q3",IF(G98&lt;=80%,"Q4","Q5 Most Expensive")))))</f>
        <v/>
      </c>
      <c r="I98" s="50">
        <f>IFERROR(B102/B98-1,"")</f>
        <v/>
      </c>
      <c r="J98" s="50">
        <f>IFERROR((B110/B98)^(1/3)-1,"")</f>
        <v/>
      </c>
      <c r="K98" s="50" t="inlineStr"/>
      <c r="L98" s="50" t="inlineStr"/>
      <c r="M98">
        <f>IF(F98="","",IF(F98&lt;5%,"&lt;5%",IF(F98&lt;15%,"5-15%","&gt;15%")))</f>
        <v/>
      </c>
      <c r="N98" s="50">
        <f>IF(COUNT($C$93:C98)&lt;8,"",(COUNTIF($C$93:C98,"&lt;"&amp;C98)+0.5*COUNTIF($C$93:C98,C98))/COUNT($C$93:C98))</f>
        <v/>
      </c>
      <c r="O98" s="52">
        <f>IF(N98="","",100*(1-N98))</f>
        <v/>
      </c>
      <c r="P98" s="52">
        <f>IF(F98="","",IF(F98&lt;=0,20,IF(F98&lt;5%,20+400*F98,IF(F98&lt;10%,40+400*(F98-5%),IF(F98&lt;15%,60+400*(F98-10%),IF(F98&lt;25%,80+200*(F98-15%),100))))))</f>
        <v/>
      </c>
      <c r="Q98" s="52">
        <f>IF(OR(O98="",P98=""),"",70%*O98+30%*P98)</f>
        <v/>
      </c>
      <c r="R98">
        <f>IF(Q98="","",IF(Q98&gt;=70,"BUY",IF(Q98&gt;=40,"HOLD","SELL")))</f>
        <v/>
      </c>
    </row>
    <row r="99">
      <c r="A99" s="27" t="n">
        <v>44834</v>
      </c>
      <c r="B99" s="28" t="n">
        <v>17094.35</v>
      </c>
      <c r="C99" s="51" t="n">
        <v>20.6</v>
      </c>
      <c r="D99" s="30" t="inlineStr">
        <is>
          <t>Consolidated</t>
        </is>
      </c>
      <c r="E99" s="31">
        <f>IFERROR(B99/C99,"")</f>
        <v/>
      </c>
      <c r="F99" s="50">
        <f>IF(D99=D95,IFERROR(E99/E95-1,""),"")</f>
        <v/>
      </c>
      <c r="G99" s="50">
        <f>IFERROR((COUNTIF($C$93:$C$114,"&lt;"&amp;C99)+0.5*COUNTIF($C$93:$C$114,C99))/COUNT($C$93:$C$114),"")</f>
        <v/>
      </c>
      <c r="H99">
        <f>IF(G99="","",IF(G99&lt;=20%,"Q1 Cheapest",IF(G99&lt;=40%,"Q2",IF(G99&lt;=60%,"Q3",IF(G99&lt;=80%,"Q4","Q5 Most Expensive")))))</f>
        <v/>
      </c>
      <c r="I99" s="50">
        <f>IFERROR(B103/B99-1,"")</f>
        <v/>
      </c>
      <c r="J99" s="50">
        <f>IFERROR((B111/B99)^(1/3)-1,"")</f>
        <v/>
      </c>
      <c r="K99" s="50" t="inlineStr"/>
      <c r="L99" s="50" t="inlineStr"/>
      <c r="M99">
        <f>IF(F99="","",IF(F99&lt;5%,"&lt;5%",IF(F99&lt;15%,"5-15%","&gt;15%")))</f>
        <v/>
      </c>
      <c r="N99" s="50">
        <f>IF(COUNT($C$93:C99)&lt;8,"",(COUNTIF($C$93:C99,"&lt;"&amp;C99)+0.5*COUNTIF($C$93:C99,C99))/COUNT($C$93:C99))</f>
        <v/>
      </c>
      <c r="O99" s="52">
        <f>IF(N99="","",100*(1-N99))</f>
        <v/>
      </c>
      <c r="P99" s="52">
        <f>IF(F99="","",IF(F99&lt;=0,20,IF(F99&lt;5%,20+400*F99,IF(F99&lt;10%,40+400*(F99-5%),IF(F99&lt;15%,60+400*(F99-10%),IF(F99&lt;25%,80+200*(F99-15%),100))))))</f>
        <v/>
      </c>
      <c r="Q99" s="52">
        <f>IF(OR(O99="",P99=""),"",70%*O99+30%*P99)</f>
        <v/>
      </c>
      <c r="R99">
        <f>IF(Q99="","",IF(Q99&gt;=70,"BUY",IF(Q99&gt;=40,"HOLD","SELL")))</f>
        <v/>
      </c>
    </row>
    <row r="100">
      <c r="A100" s="27" t="n">
        <v>44926</v>
      </c>
      <c r="B100" s="28" t="n">
        <v>18105.3</v>
      </c>
      <c r="C100" s="51" t="n">
        <v>21.8</v>
      </c>
      <c r="D100" s="30" t="inlineStr">
        <is>
          <t>Consolidated</t>
        </is>
      </c>
      <c r="E100" s="31">
        <f>IFERROR(B100/C100,"")</f>
        <v/>
      </c>
      <c r="F100" s="50">
        <f>IF(D100=D96,IFERROR(E100/E96-1,""),"")</f>
        <v/>
      </c>
      <c r="G100" s="50">
        <f>IFERROR((COUNTIF($C$93:$C$114,"&lt;"&amp;C100)+0.5*COUNTIF($C$93:$C$114,C100))/COUNT($C$93:$C$114),"")</f>
        <v/>
      </c>
      <c r="H100">
        <f>IF(G100="","",IF(G100&lt;=20%,"Q1 Cheapest",IF(G100&lt;=40%,"Q2",IF(G100&lt;=60%,"Q3",IF(G100&lt;=80%,"Q4","Q5 Most Expensive")))))</f>
        <v/>
      </c>
      <c r="I100" s="50">
        <f>IFERROR(B104/B100-1,"")</f>
        <v/>
      </c>
      <c r="J100" s="50">
        <f>IFERROR((B112/B100)^(1/3)-1,"")</f>
        <v/>
      </c>
      <c r="K100" s="50" t="inlineStr"/>
      <c r="L100" s="50" t="inlineStr"/>
      <c r="M100">
        <f>IF(F100="","",IF(F100&lt;5%,"&lt;5%",IF(F100&lt;15%,"5-15%","&gt;15%")))</f>
        <v/>
      </c>
      <c r="N100" s="50">
        <f>IF(COUNT($C$93:C100)&lt;8,"",(COUNTIF($C$93:C100,"&lt;"&amp;C100)+0.5*COUNTIF($C$93:C100,C100))/COUNT($C$93:C100))</f>
        <v/>
      </c>
      <c r="O100" s="52">
        <f>IF(N100="","",100*(1-N100))</f>
        <v/>
      </c>
      <c r="P100" s="52">
        <f>IF(F100="","",IF(F100&lt;=0,20,IF(F100&lt;5%,20+400*F100,IF(F100&lt;10%,40+400*(F100-5%),IF(F100&lt;15%,60+400*(F100-10%),IF(F100&lt;25%,80+200*(F100-15%),100))))))</f>
        <v/>
      </c>
      <c r="Q100" s="52">
        <f>IF(OR(O100="",P100=""),"",70%*O100+30%*P100)</f>
        <v/>
      </c>
      <c r="R100">
        <f>IF(Q100="","",IF(Q100&gt;=70,"BUY",IF(Q100&gt;=40,"HOLD","SELL")))</f>
        <v/>
      </c>
    </row>
    <row r="101">
      <c r="A101" s="27" t="n">
        <v>45016</v>
      </c>
      <c r="B101" s="28" t="n">
        <v>17359.75</v>
      </c>
      <c r="C101" s="51" t="n">
        <v>20.4</v>
      </c>
      <c r="D101" s="30" t="inlineStr">
        <is>
          <t>Consolidated</t>
        </is>
      </c>
      <c r="E101" s="31">
        <f>IFERROR(B101/C101,"")</f>
        <v/>
      </c>
      <c r="F101" s="50">
        <f>IF(D101=D97,IFERROR(E101/E97-1,""),"")</f>
        <v/>
      </c>
      <c r="G101" s="50">
        <f>IFERROR((COUNTIF($C$93:$C$114,"&lt;"&amp;C101)+0.5*COUNTIF($C$93:$C$114,C101))/COUNT($C$93:$C$114),"")</f>
        <v/>
      </c>
      <c r="H101">
        <f>IF(G101="","",IF(G101&lt;=20%,"Q1 Cheapest",IF(G101&lt;=40%,"Q2",IF(G101&lt;=60%,"Q3",IF(G101&lt;=80%,"Q4","Q5 Most Expensive")))))</f>
        <v/>
      </c>
      <c r="I101" s="50">
        <f>IFERROR(B105/B101-1,"")</f>
        <v/>
      </c>
      <c r="J101" s="50">
        <f>IFERROR((B113/B101)^(1/3)-1,"")</f>
        <v/>
      </c>
      <c r="K101" s="50" t="inlineStr"/>
      <c r="L101" s="50" t="inlineStr"/>
      <c r="M101">
        <f>IF(F101="","",IF(F101&lt;5%,"&lt;5%",IF(F101&lt;15%,"5-15%","&gt;15%")))</f>
        <v/>
      </c>
      <c r="N101" s="50">
        <f>IF(COUNT($C$93:C101)&lt;8,"",(COUNTIF($C$93:C101,"&lt;"&amp;C101)+0.5*COUNTIF($C$93:C101,C101))/COUNT($C$93:C101))</f>
        <v/>
      </c>
      <c r="O101" s="52">
        <f>IF(N101="","",100*(1-N101))</f>
        <v/>
      </c>
      <c r="P101" s="52">
        <f>IF(F101="","",IF(F101&lt;=0,20,IF(F101&lt;5%,20+400*F101,IF(F101&lt;10%,40+400*(F101-5%),IF(F101&lt;15%,60+400*(F101-10%),IF(F101&lt;25%,80+200*(F101-15%),100))))))</f>
        <v/>
      </c>
      <c r="Q101" s="52">
        <f>IF(OR(O101="",P101=""),"",70%*O101+30%*P101)</f>
        <v/>
      </c>
      <c r="R101">
        <f>IF(Q101="","",IF(Q101&gt;=70,"BUY",IF(Q101&gt;=40,"HOLD","SELL")))</f>
        <v/>
      </c>
    </row>
    <row r="102">
      <c r="A102" s="27" t="n">
        <v>45107</v>
      </c>
      <c r="B102" s="28" t="n">
        <v>19189.05</v>
      </c>
      <c r="C102" s="51" t="n">
        <v>22.4</v>
      </c>
      <c r="D102" s="30" t="inlineStr">
        <is>
          <t>Consolidated</t>
        </is>
      </c>
      <c r="E102" s="31">
        <f>IFERROR(B102/C102,"")</f>
        <v/>
      </c>
      <c r="F102" s="50">
        <f>IF(D102=D98,IFERROR(E102/E98-1,""),"")</f>
        <v/>
      </c>
      <c r="G102" s="50">
        <f>IFERROR((COUNTIF($C$93:$C$114,"&lt;"&amp;C102)+0.5*COUNTIF($C$93:$C$114,C102))/COUNT($C$93:$C$114),"")</f>
        <v/>
      </c>
      <c r="H102">
        <f>IF(G102="","",IF(G102&lt;=20%,"Q1 Cheapest",IF(G102&lt;=40%,"Q2",IF(G102&lt;=60%,"Q3",IF(G102&lt;=80%,"Q4","Q5 Most Expensive")))))</f>
        <v/>
      </c>
      <c r="I102" s="50">
        <f>IFERROR(B106/B102-1,"")</f>
        <v/>
      </c>
      <c r="J102" s="50">
        <f>IFERROR((B114/B102)^(1/3)-1,"")</f>
        <v/>
      </c>
      <c r="K102" s="50" t="inlineStr"/>
      <c r="L102" s="50" t="inlineStr"/>
      <c r="M102">
        <f>IF(F102="","",IF(F102&lt;5%,"&lt;5%",IF(F102&lt;15%,"5-15%","&gt;15%")))</f>
        <v/>
      </c>
      <c r="N102" s="50">
        <f>IF(COUNT($C$93:C102)&lt;8,"",(COUNTIF($C$93:C102,"&lt;"&amp;C102)+0.5*COUNTIF($C$93:C102,C102))/COUNT($C$93:C102))</f>
        <v/>
      </c>
      <c r="O102" s="52">
        <f>IF(N102="","",100*(1-N102))</f>
        <v/>
      </c>
      <c r="P102" s="52">
        <f>IF(F102="","",IF(F102&lt;=0,20,IF(F102&lt;5%,20+400*F102,IF(F102&lt;10%,40+400*(F102-5%),IF(F102&lt;15%,60+400*(F102-10%),IF(F102&lt;25%,80+200*(F102-15%),100))))))</f>
        <v/>
      </c>
      <c r="Q102" s="52">
        <f>IF(OR(O102="",P102=""),"",70%*O102+30%*P102)</f>
        <v/>
      </c>
      <c r="R102">
        <f>IF(Q102="","",IF(Q102&gt;=70,"BUY",IF(Q102&gt;=40,"HOLD","SELL")))</f>
        <v/>
      </c>
    </row>
    <row r="103">
      <c r="A103" s="27" t="n">
        <v>45199</v>
      </c>
      <c r="B103" s="28" t="n">
        <v>19638.3</v>
      </c>
      <c r="C103" s="51" t="n">
        <v>22.2</v>
      </c>
      <c r="D103" s="30" t="inlineStr">
        <is>
          <t>Consolidated</t>
        </is>
      </c>
      <c r="E103" s="31">
        <f>IFERROR(B103/C103,"")</f>
        <v/>
      </c>
      <c r="F103" s="50">
        <f>IF(D103=D99,IFERROR(E103/E99-1,""),"")</f>
        <v/>
      </c>
      <c r="G103" s="50">
        <f>IFERROR((COUNTIF($C$93:$C$114,"&lt;"&amp;C103)+0.5*COUNTIF($C$93:$C$114,C103))/COUNT($C$93:$C$114),"")</f>
        <v/>
      </c>
      <c r="H103">
        <f>IF(G103="","",IF(G103&lt;=20%,"Q1 Cheapest",IF(G103&lt;=40%,"Q2",IF(G103&lt;=60%,"Q3",IF(G103&lt;=80%,"Q4","Q5 Most Expensive")))))</f>
        <v/>
      </c>
      <c r="I103" s="50">
        <f>IFERROR(B107/B103-1,"")</f>
        <v/>
      </c>
      <c r="J103" s="50" t="inlineStr"/>
      <c r="K103" s="50" t="inlineStr"/>
      <c r="L103" s="50" t="inlineStr"/>
      <c r="M103">
        <f>IF(F103="","",IF(F103&lt;5%,"&lt;5%",IF(F103&lt;15%,"5-15%","&gt;15%")))</f>
        <v/>
      </c>
      <c r="N103" s="50">
        <f>IF(COUNT($C$93:C103)&lt;8,"",(COUNTIF($C$93:C103,"&lt;"&amp;C103)+0.5*COUNTIF($C$93:C103,C103))/COUNT($C$93:C103))</f>
        <v/>
      </c>
      <c r="O103" s="52">
        <f>IF(N103="","",100*(1-N103))</f>
        <v/>
      </c>
      <c r="P103" s="52">
        <f>IF(F103="","",IF(F103&lt;=0,20,IF(F103&lt;5%,20+400*F103,IF(F103&lt;10%,40+400*(F103-5%),IF(F103&lt;15%,60+400*(F103-10%),IF(F103&lt;25%,80+200*(F103-15%),100))))))</f>
        <v/>
      </c>
      <c r="Q103" s="52">
        <f>IF(OR(O103="",P103=""),"",70%*O103+30%*P103)</f>
        <v/>
      </c>
      <c r="R103">
        <f>IF(Q103="","",IF(Q103&gt;=70,"BUY",IF(Q103&gt;=40,"HOLD","SELL")))</f>
        <v/>
      </c>
    </row>
    <row r="104">
      <c r="A104" s="27" t="n">
        <v>45291</v>
      </c>
      <c r="B104" s="28" t="n">
        <v>21731.4</v>
      </c>
      <c r="C104" s="51" t="n">
        <v>23.2</v>
      </c>
      <c r="D104" s="30" t="inlineStr">
        <is>
          <t>Consolidated</t>
        </is>
      </c>
      <c r="E104" s="31">
        <f>IFERROR(B104/C104,"")</f>
        <v/>
      </c>
      <c r="F104" s="50">
        <f>IF(D104=D100,IFERROR(E104/E100-1,""),"")</f>
        <v/>
      </c>
      <c r="G104" s="50">
        <f>IFERROR((COUNTIF($C$93:$C$114,"&lt;"&amp;C104)+0.5*COUNTIF($C$93:$C$114,C104))/COUNT($C$93:$C$114),"")</f>
        <v/>
      </c>
      <c r="H104">
        <f>IF(G104="","",IF(G104&lt;=20%,"Q1 Cheapest",IF(G104&lt;=40%,"Q2",IF(G104&lt;=60%,"Q3",IF(G104&lt;=80%,"Q4","Q5 Most Expensive")))))</f>
        <v/>
      </c>
      <c r="I104" s="50">
        <f>IFERROR(B108/B104-1,"")</f>
        <v/>
      </c>
      <c r="J104" s="50" t="inlineStr"/>
      <c r="K104" s="50" t="inlineStr"/>
      <c r="L104" s="50" t="inlineStr"/>
      <c r="M104">
        <f>IF(F104="","",IF(F104&lt;5%,"&lt;5%",IF(F104&lt;15%,"5-15%","&gt;15%")))</f>
        <v/>
      </c>
      <c r="N104" s="50">
        <f>IF(COUNT($C$93:C104)&lt;8,"",(COUNTIF($C$93:C104,"&lt;"&amp;C104)+0.5*COUNTIF($C$93:C104,C104))/COUNT($C$93:C104))</f>
        <v/>
      </c>
      <c r="O104" s="52">
        <f>IF(N104="","",100*(1-N104))</f>
        <v/>
      </c>
      <c r="P104" s="52">
        <f>IF(F104="","",IF(F104&lt;=0,20,IF(F104&lt;5%,20+400*F104,IF(F104&lt;10%,40+400*(F104-5%),IF(F104&lt;15%,60+400*(F104-10%),IF(F104&lt;25%,80+200*(F104-15%),100))))))</f>
        <v/>
      </c>
      <c r="Q104" s="52">
        <f>IF(OR(O104="",P104=""),"",70%*O104+30%*P104)</f>
        <v/>
      </c>
      <c r="R104">
        <f>IF(Q104="","",IF(Q104&gt;=70,"BUY",IF(Q104&gt;=40,"HOLD","SELL")))</f>
        <v/>
      </c>
    </row>
    <row r="105">
      <c r="A105" s="27" t="n">
        <v>45382</v>
      </c>
      <c r="B105" s="28" t="n">
        <v>22326.9</v>
      </c>
      <c r="C105" s="51" t="n">
        <v>22.9</v>
      </c>
      <c r="D105" s="30" t="inlineStr">
        <is>
          <t>Consolidated</t>
        </is>
      </c>
      <c r="E105" s="31">
        <f>IFERROR(B105/C105,"")</f>
        <v/>
      </c>
      <c r="F105" s="50">
        <f>IF(D105=D101,IFERROR(E105/E101-1,""),"")</f>
        <v/>
      </c>
      <c r="G105" s="50">
        <f>IFERROR((COUNTIF($C$93:$C$114,"&lt;"&amp;C105)+0.5*COUNTIF($C$93:$C$114,C105))/COUNT($C$93:$C$114),"")</f>
        <v/>
      </c>
      <c r="H105">
        <f>IF(G105="","",IF(G105&lt;=20%,"Q1 Cheapest",IF(G105&lt;=40%,"Q2",IF(G105&lt;=60%,"Q3",IF(G105&lt;=80%,"Q4","Q5 Most Expensive")))))</f>
        <v/>
      </c>
      <c r="I105" s="50">
        <f>IFERROR(B109/B105-1,"")</f>
        <v/>
      </c>
      <c r="J105" s="50" t="inlineStr"/>
      <c r="K105" s="50" t="inlineStr"/>
      <c r="L105" s="50" t="inlineStr"/>
      <c r="M105">
        <f>IF(F105="","",IF(F105&lt;5%,"&lt;5%",IF(F105&lt;15%,"5-15%","&gt;15%")))</f>
        <v/>
      </c>
      <c r="N105" s="50">
        <f>IF(COUNT($C$93:C105)&lt;8,"",(COUNTIF($C$93:C105,"&lt;"&amp;C105)+0.5*COUNTIF($C$93:C105,C105))/COUNT($C$93:C105))</f>
        <v/>
      </c>
      <c r="O105" s="52">
        <f>IF(N105="","",100*(1-N105))</f>
        <v/>
      </c>
      <c r="P105" s="52">
        <f>IF(F105="","",IF(F105&lt;=0,20,IF(F105&lt;5%,20+400*F105,IF(F105&lt;10%,40+400*(F105-5%),IF(F105&lt;15%,60+400*(F105-10%),IF(F105&lt;25%,80+200*(F105-15%),100))))))</f>
        <v/>
      </c>
      <c r="Q105" s="52">
        <f>IF(OR(O105="",P105=""),"",70%*O105+30%*P105)</f>
        <v/>
      </c>
      <c r="R105">
        <f>IF(Q105="","",IF(Q105&gt;=70,"BUY",IF(Q105&gt;=40,"HOLD","SELL")))</f>
        <v/>
      </c>
    </row>
    <row r="106">
      <c r="A106" s="27" t="n">
        <v>45473</v>
      </c>
      <c r="B106" s="28" t="n">
        <v>24010.6</v>
      </c>
      <c r="C106" s="51" t="n">
        <v>22.9</v>
      </c>
      <c r="D106" s="30" t="inlineStr">
        <is>
          <t>Consolidated</t>
        </is>
      </c>
      <c r="E106" s="31">
        <f>IFERROR(B106/C106,"")</f>
        <v/>
      </c>
      <c r="F106" s="50">
        <f>IF(D106=D102,IFERROR(E106/E102-1,""),"")</f>
        <v/>
      </c>
      <c r="G106" s="50">
        <f>IFERROR((COUNTIF($C$93:$C$114,"&lt;"&amp;C106)+0.5*COUNTIF($C$93:$C$114,C106))/COUNT($C$93:$C$114),"")</f>
        <v/>
      </c>
      <c r="H106">
        <f>IF(G106="","",IF(G106&lt;=20%,"Q1 Cheapest",IF(G106&lt;=40%,"Q2",IF(G106&lt;=60%,"Q3",IF(G106&lt;=80%,"Q4","Q5 Most Expensive")))))</f>
        <v/>
      </c>
      <c r="I106" s="50">
        <f>IFERROR(B110/B106-1,"")</f>
        <v/>
      </c>
      <c r="J106" s="50" t="inlineStr"/>
      <c r="K106" s="50" t="inlineStr"/>
      <c r="L106" s="50" t="inlineStr"/>
      <c r="M106">
        <f>IF(F106="","",IF(F106&lt;5%,"&lt;5%",IF(F106&lt;15%,"5-15%","&gt;15%")))</f>
        <v/>
      </c>
      <c r="N106" s="50">
        <f>IF(COUNT($C$93:C106)&lt;8,"",(COUNTIF($C$93:C106,"&lt;"&amp;C106)+0.5*COUNTIF($C$93:C106,C106))/COUNT($C$93:C106))</f>
        <v/>
      </c>
      <c r="O106" s="52">
        <f>IF(N106="","",100*(1-N106))</f>
        <v/>
      </c>
      <c r="P106" s="52">
        <f>IF(F106="","",IF(F106&lt;=0,20,IF(F106&lt;5%,20+400*F106,IF(F106&lt;10%,40+400*(F106-5%),IF(F106&lt;15%,60+400*(F106-10%),IF(F106&lt;25%,80+200*(F106-15%),100))))))</f>
        <v/>
      </c>
      <c r="Q106" s="52">
        <f>IF(OR(O106="",P106=""),"",70%*O106+30%*P106)</f>
        <v/>
      </c>
      <c r="R106">
        <f>IF(Q106="","",IF(Q106&gt;=70,"BUY",IF(Q106&gt;=40,"HOLD","SELL")))</f>
        <v/>
      </c>
    </row>
    <row r="107">
      <c r="A107" s="27" t="n">
        <v>45565</v>
      </c>
      <c r="B107" s="28" t="n">
        <v>26061.3</v>
      </c>
      <c r="C107" s="51" t="n">
        <v>24.3</v>
      </c>
      <c r="D107" s="30" t="inlineStr">
        <is>
          <t>Consolidated</t>
        </is>
      </c>
      <c r="E107" s="31">
        <f>IFERROR(B107/C107,"")</f>
        <v/>
      </c>
      <c r="F107" s="50">
        <f>IF(D107=D103,IFERROR(E107/E103-1,""),"")</f>
        <v/>
      </c>
      <c r="G107" s="50">
        <f>IFERROR((COUNTIF($C$93:$C$114,"&lt;"&amp;C107)+0.5*COUNTIF($C$93:$C$114,C107))/COUNT($C$93:$C$114),"")</f>
        <v/>
      </c>
      <c r="H107">
        <f>IF(G107="","",IF(G107&lt;=20%,"Q1 Cheapest",IF(G107&lt;=40%,"Q2",IF(G107&lt;=60%,"Q3",IF(G107&lt;=80%,"Q4","Q5 Most Expensive")))))</f>
        <v/>
      </c>
      <c r="I107" s="50">
        <f>IFERROR(B111/B107-1,"")</f>
        <v/>
      </c>
      <c r="J107" s="50" t="inlineStr"/>
      <c r="K107" s="50" t="inlineStr"/>
      <c r="L107" s="50" t="inlineStr"/>
      <c r="M107">
        <f>IF(F107="","",IF(F107&lt;5%,"&lt;5%",IF(F107&lt;15%,"5-15%","&gt;15%")))</f>
        <v/>
      </c>
      <c r="N107" s="50">
        <f>IF(COUNT($C$93:C107)&lt;8,"",(COUNTIF($C$93:C107,"&lt;"&amp;C107)+0.5*COUNTIF($C$93:C107,C107))/COUNT($C$93:C107))</f>
        <v/>
      </c>
      <c r="O107" s="52">
        <f>IF(N107="","",100*(1-N107))</f>
        <v/>
      </c>
      <c r="P107" s="52">
        <f>IF(F107="","",IF(F107&lt;=0,20,IF(F107&lt;5%,20+400*F107,IF(F107&lt;10%,40+400*(F107-5%),IF(F107&lt;15%,60+400*(F107-10%),IF(F107&lt;25%,80+200*(F107-15%),100))))))</f>
        <v/>
      </c>
      <c r="Q107" s="52">
        <f>IF(OR(O107="",P107=""),"",70%*O107+30%*P107)</f>
        <v/>
      </c>
      <c r="R107">
        <f>IF(Q107="","",IF(Q107&gt;=70,"BUY",IF(Q107&gt;=40,"HOLD","SELL")))</f>
        <v/>
      </c>
    </row>
    <row r="108">
      <c r="A108" s="27" t="n">
        <v>45657</v>
      </c>
      <c r="B108" s="28" t="n">
        <v>23560.6</v>
      </c>
      <c r="C108" s="51" t="n">
        <v>21.8</v>
      </c>
      <c r="D108" s="30" t="inlineStr">
        <is>
          <t>Consolidated</t>
        </is>
      </c>
      <c r="E108" s="31">
        <f>IFERROR(B108/C108,"")</f>
        <v/>
      </c>
      <c r="F108" s="50">
        <f>IF(D108=D104,IFERROR(E108/E104-1,""),"")</f>
        <v/>
      </c>
      <c r="G108" s="50">
        <f>IFERROR((COUNTIF($C$93:$C$114,"&lt;"&amp;C108)+0.5*COUNTIF($C$93:$C$114,C108))/COUNT($C$93:$C$114),"")</f>
        <v/>
      </c>
      <c r="H108">
        <f>IF(G108="","",IF(G108&lt;=20%,"Q1 Cheapest",IF(G108&lt;=40%,"Q2",IF(G108&lt;=60%,"Q3",IF(G108&lt;=80%,"Q4","Q5 Most Expensive")))))</f>
        <v/>
      </c>
      <c r="I108" s="50">
        <f>IFERROR(B112/B108-1,"")</f>
        <v/>
      </c>
      <c r="J108" s="50" t="inlineStr"/>
      <c r="K108" s="50" t="inlineStr"/>
      <c r="L108" s="50" t="inlineStr"/>
      <c r="M108">
        <f>IF(F108="","",IF(F108&lt;5%,"&lt;5%",IF(F108&lt;15%,"5-15%","&gt;15%")))</f>
        <v/>
      </c>
      <c r="N108" s="50">
        <f>IF(COUNT($C$93:C108)&lt;8,"",(COUNTIF($C$93:C108,"&lt;"&amp;C108)+0.5*COUNTIF($C$93:C108,C108))/COUNT($C$93:C108))</f>
        <v/>
      </c>
      <c r="O108" s="52">
        <f>IF(N108="","",100*(1-N108))</f>
        <v/>
      </c>
      <c r="P108" s="52">
        <f>IF(F108="","",IF(F108&lt;=0,20,IF(F108&lt;5%,20+400*F108,IF(F108&lt;10%,40+400*(F108-5%),IF(F108&lt;15%,60+400*(F108-10%),IF(F108&lt;25%,80+200*(F108-15%),100))))))</f>
        <v/>
      </c>
      <c r="Q108" s="52">
        <f>IF(OR(O108="",P108=""),"",70%*O108+30%*P108)</f>
        <v/>
      </c>
      <c r="R108">
        <f>IF(Q108="","",IF(Q108&gt;=70,"BUY",IF(Q108&gt;=40,"HOLD","SELL")))</f>
        <v/>
      </c>
    </row>
    <row r="109">
      <c r="A109" s="27" t="n">
        <v>45747</v>
      </c>
      <c r="B109" s="28" t="n">
        <v>23519.35</v>
      </c>
      <c r="C109" s="51" t="n">
        <v>21.4</v>
      </c>
      <c r="D109" s="30" t="inlineStr">
        <is>
          <t>Consolidated</t>
        </is>
      </c>
      <c r="E109" s="31">
        <f>IFERROR(B109/C109,"")</f>
        <v/>
      </c>
      <c r="F109" s="50">
        <f>IF(D109=D105,IFERROR(E109/E105-1,""),"")</f>
        <v/>
      </c>
      <c r="G109" s="50">
        <f>IFERROR((COUNTIF($C$93:$C$114,"&lt;"&amp;C109)+0.5*COUNTIF($C$93:$C$114,C109))/COUNT($C$93:$C$114),"")</f>
        <v/>
      </c>
      <c r="H109">
        <f>IF(G109="","",IF(G109&lt;=20%,"Q1 Cheapest",IF(G109&lt;=40%,"Q2",IF(G109&lt;=60%,"Q3",IF(G109&lt;=80%,"Q4","Q5 Most Expensive")))))</f>
        <v/>
      </c>
      <c r="I109" s="50">
        <f>IFERROR(B113/B109-1,"")</f>
        <v/>
      </c>
      <c r="J109" s="50" t="inlineStr"/>
      <c r="K109" s="50" t="inlineStr"/>
      <c r="L109" s="50" t="inlineStr"/>
      <c r="M109">
        <f>IF(F109="","",IF(F109&lt;5%,"&lt;5%",IF(F109&lt;15%,"5-15%","&gt;15%")))</f>
        <v/>
      </c>
      <c r="N109" s="50">
        <f>IF(COUNT($C$93:C109)&lt;8,"",(COUNTIF($C$93:C109,"&lt;"&amp;C109)+0.5*COUNTIF($C$93:C109,C109))/COUNT($C$93:C109))</f>
        <v/>
      </c>
      <c r="O109" s="52">
        <f>IF(N109="","",100*(1-N109))</f>
        <v/>
      </c>
      <c r="P109" s="52">
        <f>IF(F109="","",IF(F109&lt;=0,20,IF(F109&lt;5%,20+400*F109,IF(F109&lt;10%,40+400*(F109-5%),IF(F109&lt;15%,60+400*(F109-10%),IF(F109&lt;25%,80+200*(F109-15%),100))))))</f>
        <v/>
      </c>
      <c r="Q109" s="52">
        <f>IF(OR(O109="",P109=""),"",70%*O109+30%*P109)</f>
        <v/>
      </c>
      <c r="R109">
        <f>IF(Q109="","",IF(Q109&gt;=70,"BUY",IF(Q109&gt;=40,"HOLD","SELL")))</f>
        <v/>
      </c>
    </row>
    <row r="110">
      <c r="A110" s="27" t="n">
        <v>45838</v>
      </c>
      <c r="B110" s="28" t="n">
        <v>25517.05</v>
      </c>
      <c r="C110" s="51" t="n">
        <v>23</v>
      </c>
      <c r="D110" s="30" t="inlineStr">
        <is>
          <t>Consolidated</t>
        </is>
      </c>
      <c r="E110" s="31">
        <f>IFERROR(B110/C110,"")</f>
        <v/>
      </c>
      <c r="F110" s="50">
        <f>IF(D110=D106,IFERROR(E110/E106-1,""),"")</f>
        <v/>
      </c>
      <c r="G110" s="50">
        <f>IFERROR((COUNTIF($C$93:$C$114,"&lt;"&amp;C110)+0.5*COUNTIF($C$93:$C$114,C110))/COUNT($C$93:$C$114),"")</f>
        <v/>
      </c>
      <c r="H110">
        <f>IF(G110="","",IF(G110&lt;=20%,"Q1 Cheapest",IF(G110&lt;=40%,"Q2",IF(G110&lt;=60%,"Q3",IF(G110&lt;=80%,"Q4","Q5 Most Expensive")))))</f>
        <v/>
      </c>
      <c r="I110" s="50">
        <f>IFERROR(B114/B110-1,"")</f>
        <v/>
      </c>
      <c r="J110" s="50" t="inlineStr"/>
      <c r="K110" s="50" t="inlineStr"/>
      <c r="L110" s="50" t="inlineStr"/>
      <c r="M110">
        <f>IF(F110="","",IF(F110&lt;5%,"&lt;5%",IF(F110&lt;15%,"5-15%","&gt;15%")))</f>
        <v/>
      </c>
      <c r="N110" s="50">
        <f>IF(COUNT($C$93:C110)&lt;8,"",(COUNTIF($C$93:C110,"&lt;"&amp;C110)+0.5*COUNTIF($C$93:C110,C110))/COUNT($C$93:C110))</f>
        <v/>
      </c>
      <c r="O110" s="52">
        <f>IF(N110="","",100*(1-N110))</f>
        <v/>
      </c>
      <c r="P110" s="52">
        <f>IF(F110="","",IF(F110&lt;=0,20,IF(F110&lt;5%,20+400*F110,IF(F110&lt;10%,40+400*(F110-5%),IF(F110&lt;15%,60+400*(F110-10%),IF(F110&lt;25%,80+200*(F110-15%),100))))))</f>
        <v/>
      </c>
      <c r="Q110" s="52">
        <f>IF(OR(O110="",P110=""),"",70%*O110+30%*P110)</f>
        <v/>
      </c>
      <c r="R110">
        <f>IF(Q110="","",IF(Q110&gt;=70,"BUY",IF(Q110&gt;=40,"HOLD","SELL")))</f>
        <v/>
      </c>
    </row>
    <row r="111">
      <c r="A111" s="27" t="n">
        <v>45930</v>
      </c>
      <c r="B111" s="28" t="n">
        <v>24691.95</v>
      </c>
      <c r="C111" s="51" t="n">
        <v>21.8</v>
      </c>
      <c r="D111" s="30" t="inlineStr">
        <is>
          <t>Consolidated</t>
        </is>
      </c>
      <c r="E111" s="31">
        <f>IFERROR(B111/C111,"")</f>
        <v/>
      </c>
      <c r="F111" s="50">
        <f>IF(D111=D107,IFERROR(E111/E107-1,""),"")</f>
        <v/>
      </c>
      <c r="G111" s="50">
        <f>IFERROR((COUNTIF($C$93:$C$114,"&lt;"&amp;C111)+0.5*COUNTIF($C$93:$C$114,C111))/COUNT($C$93:$C$114),"")</f>
        <v/>
      </c>
      <c r="H111">
        <f>IF(G111="","",IF(G111&lt;=20%,"Q1 Cheapest",IF(G111&lt;=40%,"Q2",IF(G111&lt;=60%,"Q3",IF(G111&lt;=80%,"Q4","Q5 Most Expensive")))))</f>
        <v/>
      </c>
      <c r="I111" s="50" t="inlineStr"/>
      <c r="J111" s="50" t="inlineStr"/>
      <c r="K111" s="50" t="inlineStr"/>
      <c r="L111" s="50" t="inlineStr"/>
      <c r="M111">
        <f>IF(F111="","",IF(F111&lt;5%,"&lt;5%",IF(F111&lt;15%,"5-15%","&gt;15%")))</f>
        <v/>
      </c>
      <c r="N111" s="50">
        <f>IF(COUNT($C$93:C111)&lt;8,"",(COUNTIF($C$93:C111,"&lt;"&amp;C111)+0.5*COUNTIF($C$93:C111,C111))/COUNT($C$93:C111))</f>
        <v/>
      </c>
      <c r="O111" s="52">
        <f>IF(N111="","",100*(1-N111))</f>
        <v/>
      </c>
      <c r="P111" s="52">
        <f>IF(F111="","",IF(F111&lt;=0,20,IF(F111&lt;5%,20+400*F111,IF(F111&lt;10%,40+400*(F111-5%),IF(F111&lt;15%,60+400*(F111-10%),IF(F111&lt;25%,80+200*(F111-15%),100))))))</f>
        <v/>
      </c>
      <c r="Q111" s="52">
        <f>IF(OR(O111="",P111=""),"",70%*O111+30%*P111)</f>
        <v/>
      </c>
      <c r="R111">
        <f>IF(Q111="","",IF(Q111&gt;=70,"BUY",IF(Q111&gt;=40,"HOLD","SELL")))</f>
        <v/>
      </c>
    </row>
    <row r="112">
      <c r="A112" s="27" t="n">
        <v>46022</v>
      </c>
      <c r="B112" s="28" t="n">
        <v>25971.05</v>
      </c>
      <c r="C112" s="51" t="n">
        <v>22.8</v>
      </c>
      <c r="D112" s="30" t="inlineStr">
        <is>
          <t>Consolidated</t>
        </is>
      </c>
      <c r="E112" s="31">
        <f>IFERROR(B112/C112,"")</f>
        <v/>
      </c>
      <c r="F112" s="50">
        <f>IF(D112=D108,IFERROR(E112/E108-1,""),"")</f>
        <v/>
      </c>
      <c r="G112" s="50">
        <f>IFERROR((COUNTIF($C$93:$C$114,"&lt;"&amp;C112)+0.5*COUNTIF($C$93:$C$114,C112))/COUNT($C$93:$C$114),"")</f>
        <v/>
      </c>
      <c r="H112">
        <f>IF(G112="","",IF(G112&lt;=20%,"Q1 Cheapest",IF(G112&lt;=40%,"Q2",IF(G112&lt;=60%,"Q3",IF(G112&lt;=80%,"Q4","Q5 Most Expensive")))))</f>
        <v/>
      </c>
      <c r="I112" s="50" t="inlineStr"/>
      <c r="J112" s="50" t="inlineStr"/>
      <c r="K112" s="50" t="inlineStr"/>
      <c r="L112" s="50" t="inlineStr"/>
      <c r="M112">
        <f>IF(F112="","",IF(F112&lt;5%,"&lt;5%",IF(F112&lt;15%,"5-15%","&gt;15%")))</f>
        <v/>
      </c>
      <c r="N112" s="50">
        <f>IF(COUNT($C$93:C112)&lt;8,"",(COUNTIF($C$93:C112,"&lt;"&amp;C112)+0.5*COUNTIF($C$93:C112,C112))/COUNT($C$93:C112))</f>
        <v/>
      </c>
      <c r="O112" s="52">
        <f>IF(N112="","",100*(1-N112))</f>
        <v/>
      </c>
      <c r="P112" s="52">
        <f>IF(F112="","",IF(F112&lt;=0,20,IF(F112&lt;5%,20+400*F112,IF(F112&lt;10%,40+400*(F112-5%),IF(F112&lt;15%,60+400*(F112-10%),IF(F112&lt;25%,80+200*(F112-15%),100))))))</f>
        <v/>
      </c>
      <c r="Q112" s="52">
        <f>IF(OR(O112="",P112=""),"",70%*O112+30%*P112)</f>
        <v/>
      </c>
      <c r="R112">
        <f>IF(Q112="","",IF(Q112&gt;=70,"BUY",IF(Q112&gt;=40,"HOLD","SELL")))</f>
        <v/>
      </c>
    </row>
    <row r="113">
      <c r="A113" s="27" t="n">
        <v>46112</v>
      </c>
      <c r="B113" s="28" t="n">
        <v>22549.65</v>
      </c>
      <c r="C113" s="51" t="n">
        <v>19.6</v>
      </c>
      <c r="D113" s="30" t="inlineStr">
        <is>
          <t>Consolidated</t>
        </is>
      </c>
      <c r="E113" s="31">
        <f>IFERROR(B113/C113,"")</f>
        <v/>
      </c>
      <c r="F113" s="50">
        <f>IF(D113=D109,IFERROR(E113/E109-1,""),"")</f>
        <v/>
      </c>
      <c r="G113" s="50">
        <f>IFERROR((COUNTIF($C$93:$C$114,"&lt;"&amp;C113)+0.5*COUNTIF($C$93:$C$114,C113))/COUNT($C$93:$C$114),"")</f>
        <v/>
      </c>
      <c r="H113">
        <f>IF(G113="","",IF(G113&lt;=20%,"Q1 Cheapest",IF(G113&lt;=40%,"Q2",IF(G113&lt;=60%,"Q3",IF(G113&lt;=80%,"Q4","Q5 Most Expensive")))))</f>
        <v/>
      </c>
      <c r="I113" s="50" t="inlineStr"/>
      <c r="J113" s="50" t="inlineStr"/>
      <c r="K113" s="50" t="inlineStr"/>
      <c r="L113" s="50" t="inlineStr"/>
      <c r="M113">
        <f>IF(F113="","",IF(F113&lt;5%,"&lt;5%",IF(F113&lt;15%,"5-15%","&gt;15%")))</f>
        <v/>
      </c>
      <c r="N113" s="50">
        <f>IF(COUNT($C$93:C113)&lt;8,"",(COUNTIF($C$93:C113,"&lt;"&amp;C113)+0.5*COUNTIF($C$93:C113,C113))/COUNT($C$93:C113))</f>
        <v/>
      </c>
      <c r="O113" s="52">
        <f>IF(N113="","",100*(1-N113))</f>
        <v/>
      </c>
      <c r="P113" s="52">
        <f>IF(F113="","",IF(F113&lt;=0,20,IF(F113&lt;5%,20+400*F113,IF(F113&lt;10%,40+400*(F113-5%),IF(F113&lt;15%,60+400*(F113-10%),IF(F113&lt;25%,80+200*(F113-15%),100))))))</f>
        <v/>
      </c>
      <c r="Q113" s="52">
        <f>IF(OR(O113="",P113=""),"",70%*O113+30%*P113)</f>
        <v/>
      </c>
      <c r="R113">
        <f>IF(Q113="","",IF(Q113&gt;=70,"BUY",IF(Q113&gt;=40,"HOLD","SELL")))</f>
        <v/>
      </c>
    </row>
    <row r="114">
      <c r="A114" s="27" t="n">
        <v>46203</v>
      </c>
      <c r="B114" s="28" t="n">
        <v>23865.75</v>
      </c>
      <c r="C114" s="51" t="n">
        <v>20.6</v>
      </c>
      <c r="D114" s="30" t="inlineStr">
        <is>
          <t>Consolidated</t>
        </is>
      </c>
      <c r="E114" s="31">
        <f>IFERROR(B114/C114,"")</f>
        <v/>
      </c>
      <c r="F114" s="50">
        <f>IF(D114=D110,IFERROR(E114/E110-1,""),"")</f>
        <v/>
      </c>
      <c r="G114" s="50">
        <f>IFERROR((COUNTIF($C$93:$C$114,"&lt;"&amp;C114)+0.5*COUNTIF($C$93:$C$114,C114))/COUNT($C$93:$C$114),"")</f>
        <v/>
      </c>
      <c r="H114">
        <f>IF(G114="","",IF(G114&lt;=20%,"Q1 Cheapest",IF(G114&lt;=40%,"Q2",IF(G114&lt;=60%,"Q3",IF(G114&lt;=80%,"Q4","Q5 Most Expensive")))))</f>
        <v/>
      </c>
      <c r="I114" s="50" t="inlineStr"/>
      <c r="J114" s="50" t="inlineStr"/>
      <c r="K114" s="50" t="inlineStr"/>
      <c r="L114" s="50" t="inlineStr"/>
      <c r="M114">
        <f>IF(F114="","",IF(F114&lt;5%,"&lt;5%",IF(F114&lt;15%,"5-15%","&gt;15%")))</f>
        <v/>
      </c>
      <c r="N114" s="50">
        <f>IF(COUNT($C$93:C114)&lt;8,"",(COUNTIF($C$93:C114,"&lt;"&amp;C114)+0.5*COUNTIF($C$93:C114,C114))/COUNT($C$93:C114))</f>
        <v/>
      </c>
      <c r="O114" s="52">
        <f>IF(N114="","",100*(1-N114))</f>
        <v/>
      </c>
      <c r="P114" s="52">
        <f>IF(F114="","",IF(F114&lt;=0,20,IF(F114&lt;5%,20+400*F114,IF(F114&lt;10%,40+400*(F114-5%),IF(F114&lt;15%,60+400*(F114-10%),IF(F114&lt;25%,80+200*(F114-15%),100))))))</f>
        <v/>
      </c>
      <c r="Q114" s="52">
        <f>IF(OR(O114="",P114=""),"",70%*O114+30%*P114)</f>
        <v/>
      </c>
      <c r="R114">
        <f>IF(Q114="","",IF(Q114&gt;=70,"BUY",IF(Q114&gt;=40,"HOLD","SELL")))</f>
        <v/>
      </c>
    </row>
  </sheetData>
  <autoFilter ref="A4:R114"/>
  <mergeCells count="2">
    <mergeCell ref="A2:R2"/>
    <mergeCell ref="A1:R1"/>
  </mergeCells>
  <conditionalFormatting sqref="R5:R114">
    <cfRule type="cellIs" priority="1" operator="equal" dxfId="3">
      <formula>"BUY"</formula>
    </cfRule>
    <cfRule type="cellIs" priority="2" operator="equal" dxfId="4">
      <formula>"SELL"</formula>
    </cfRule>
    <cfRule type="cellIs" priority="3" operator="equal" dxfId="5">
      <formula>"HOLD"</formula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48" customWidth="1" min="4" max="4"/>
  </cols>
  <sheetData>
    <row r="1" ht="28" customHeight="1">
      <c r="A1" s="1" t="inlineStr">
        <is>
          <t>NIFTY 50 Consolidated-Earnings P/E History</t>
        </is>
      </c>
    </row>
    <row r="2" ht="34" customHeight="1">
      <c r="A2" s="2" t="inlineStr">
        <is>
          <t>Monthly readings used to locate the current P/E within the post-methodology-change era. The current month is updated through the latest available trading day.</t>
        </is>
      </c>
    </row>
    <row r="4">
      <c r="A4" s="20" t="inlineStr">
        <is>
          <t>Month</t>
        </is>
      </c>
      <c r="B4" s="20" t="inlineStr">
        <is>
          <t>P/E</t>
        </is>
      </c>
      <c r="C4" s="20" t="inlineStr">
        <is>
          <t>Basis</t>
        </is>
      </c>
      <c r="D4" s="20" t="inlineStr">
        <is>
          <t>Source</t>
        </is>
      </c>
    </row>
    <row r="5">
      <c r="A5" s="27" t="n">
        <v>44287</v>
      </c>
      <c r="B5" s="53" t="n">
        <v>32.2</v>
      </c>
      <c r="C5" s="30" t="inlineStr">
        <is>
          <t>Consolidated</t>
        </is>
      </c>
      <c r="D5" s="34" t="inlineStr">
        <is>
          <t>https://downstox.com/nifty-pe/nifty-50</t>
        </is>
      </c>
    </row>
    <row r="6">
      <c r="A6" s="27" t="n">
        <v>44317</v>
      </c>
      <c r="B6" s="53" t="n">
        <v>29.2</v>
      </c>
      <c r="C6" s="30" t="inlineStr">
        <is>
          <t>Consolidated</t>
        </is>
      </c>
      <c r="D6" s="34" t="inlineStr">
        <is>
          <t>https://downstox.com/nifty-pe/nifty-50</t>
        </is>
      </c>
    </row>
    <row r="7">
      <c r="A7" s="27" t="n">
        <v>44348</v>
      </c>
      <c r="B7" s="53" t="n">
        <v>28.3</v>
      </c>
      <c r="C7" s="30" t="inlineStr">
        <is>
          <t>Consolidated</t>
        </is>
      </c>
      <c r="D7" s="34" t="inlineStr">
        <is>
          <t>https://downstox.com/nifty-pe/nifty-50</t>
        </is>
      </c>
    </row>
    <row r="8">
      <c r="A8" s="27" t="n">
        <v>44378</v>
      </c>
      <c r="B8" s="53" t="n">
        <v>27</v>
      </c>
      <c r="C8" s="30" t="inlineStr">
        <is>
          <t>Consolidated</t>
        </is>
      </c>
      <c r="D8" s="34" t="inlineStr">
        <is>
          <t>https://downstox.com/nifty-pe/nifty-50</t>
        </is>
      </c>
    </row>
    <row r="9">
      <c r="A9" s="27" t="n">
        <v>44409</v>
      </c>
      <c r="B9" s="53" t="n">
        <v>26.3</v>
      </c>
      <c r="C9" s="30" t="inlineStr">
        <is>
          <t>Consolidated</t>
        </is>
      </c>
      <c r="D9" s="34" t="inlineStr">
        <is>
          <t>https://downstox.com/nifty-pe/nifty-50</t>
        </is>
      </c>
    </row>
    <row r="10">
      <c r="A10" s="27" t="n">
        <v>44440</v>
      </c>
      <c r="B10" s="53" t="n">
        <v>27</v>
      </c>
      <c r="C10" s="30" t="inlineStr">
        <is>
          <t>Consolidated</t>
        </is>
      </c>
      <c r="D10" s="34" t="inlineStr">
        <is>
          <t>https://downstox.com/nifty-pe/nifty-50</t>
        </is>
      </c>
    </row>
    <row r="11">
      <c r="A11" s="27" t="n">
        <v>44470</v>
      </c>
      <c r="B11" s="53" t="n">
        <v>25.7</v>
      </c>
      <c r="C11" s="30" t="inlineStr">
        <is>
          <t>Consolidated</t>
        </is>
      </c>
      <c r="D11" s="34" t="inlineStr">
        <is>
          <t>https://downstox.com/nifty-pe/nifty-50</t>
        </is>
      </c>
    </row>
    <row r="12">
      <c r="A12" s="27" t="n">
        <v>44501</v>
      </c>
      <c r="B12" s="53" t="n">
        <v>23.4</v>
      </c>
      <c r="C12" s="30" t="inlineStr">
        <is>
          <t>Consolidated</t>
        </is>
      </c>
      <c r="D12" s="34" t="inlineStr">
        <is>
          <t>https://downstox.com/nifty-pe/nifty-50</t>
        </is>
      </c>
    </row>
    <row r="13">
      <c r="A13" s="27" t="n">
        <v>44531</v>
      </c>
      <c r="B13" s="53" t="n">
        <v>24.1</v>
      </c>
      <c r="C13" s="30" t="inlineStr">
        <is>
          <t>Consolidated</t>
        </is>
      </c>
      <c r="D13" s="34" t="inlineStr">
        <is>
          <t>https://downstox.com/nifty-pe/nifty-50</t>
        </is>
      </c>
    </row>
    <row r="14">
      <c r="A14" s="27" t="n">
        <v>44562</v>
      </c>
      <c r="B14" s="53" t="n">
        <v>23.4</v>
      </c>
      <c r="C14" s="30" t="inlineStr">
        <is>
          <t>Consolidated</t>
        </is>
      </c>
      <c r="D14" s="34" t="inlineStr">
        <is>
          <t>https://downstox.com/nifty-pe/nifty-50</t>
        </is>
      </c>
    </row>
    <row r="15">
      <c r="A15" s="27" t="n">
        <v>44593</v>
      </c>
      <c r="B15" s="53" t="n">
        <v>21.6</v>
      </c>
      <c r="C15" s="30" t="inlineStr">
        <is>
          <t>Consolidated</t>
        </is>
      </c>
      <c r="D15" s="34" t="inlineStr">
        <is>
          <t>https://downstox.com/nifty-pe/nifty-50</t>
        </is>
      </c>
    </row>
    <row r="16">
      <c r="A16" s="27" t="n">
        <v>44621</v>
      </c>
      <c r="B16" s="53" t="n">
        <v>22.9</v>
      </c>
      <c r="C16" s="30" t="inlineStr">
        <is>
          <t>Consolidated</t>
        </is>
      </c>
      <c r="D16" s="34" t="inlineStr">
        <is>
          <t>https://downstox.com/nifty-pe/nifty-50</t>
        </is>
      </c>
    </row>
    <row r="17">
      <c r="A17" s="27" t="n">
        <v>44652</v>
      </c>
      <c r="B17" s="53" t="n">
        <v>22</v>
      </c>
      <c r="C17" s="30" t="inlineStr">
        <is>
          <t>Consolidated</t>
        </is>
      </c>
      <c r="D17" s="34" t="inlineStr">
        <is>
          <t>https://downstox.com/nifty-pe/nifty-50</t>
        </is>
      </c>
    </row>
    <row r="18">
      <c r="A18" s="27" t="n">
        <v>44682</v>
      </c>
      <c r="B18" s="53" t="n">
        <v>20.4</v>
      </c>
      <c r="C18" s="30" t="inlineStr">
        <is>
          <t>Consolidated</t>
        </is>
      </c>
      <c r="D18" s="34" t="inlineStr">
        <is>
          <t>https://downstox.com/nifty-pe/nifty-50</t>
        </is>
      </c>
    </row>
    <row r="19">
      <c r="A19" s="27" t="n">
        <v>44713</v>
      </c>
      <c r="B19" s="53" t="n">
        <v>19.5</v>
      </c>
      <c r="C19" s="30" t="inlineStr">
        <is>
          <t>Consolidated</t>
        </is>
      </c>
      <c r="D19" s="34" t="inlineStr">
        <is>
          <t>https://downstox.com/nifty-pe/nifty-50</t>
        </is>
      </c>
    </row>
    <row r="20">
      <c r="A20" s="27" t="n">
        <v>44743</v>
      </c>
      <c r="B20" s="53" t="n">
        <v>20.7</v>
      </c>
      <c r="C20" s="30" t="inlineStr">
        <is>
          <t>Consolidated</t>
        </is>
      </c>
      <c r="D20" s="34" t="inlineStr">
        <is>
          <t>https://downstox.com/nifty-pe/nifty-50</t>
        </is>
      </c>
    </row>
    <row r="21">
      <c r="A21" s="27" t="n">
        <v>44774</v>
      </c>
      <c r="B21" s="53" t="n">
        <v>21.2</v>
      </c>
      <c r="C21" s="30" t="inlineStr">
        <is>
          <t>Consolidated</t>
        </is>
      </c>
      <c r="D21" s="34" t="inlineStr">
        <is>
          <t>https://downstox.com/nifty-pe/nifty-50</t>
        </is>
      </c>
    </row>
    <row r="22">
      <c r="A22" s="27" t="n">
        <v>44805</v>
      </c>
      <c r="B22" s="53" t="n">
        <v>20.6</v>
      </c>
      <c r="C22" s="30" t="inlineStr">
        <is>
          <t>Consolidated</t>
        </is>
      </c>
      <c r="D22" s="34" t="inlineStr">
        <is>
          <t>https://downstox.com/nifty-pe/nifty-50</t>
        </is>
      </c>
    </row>
    <row r="23">
      <c r="A23" s="27" t="n">
        <v>44835</v>
      </c>
      <c r="B23" s="53" t="n">
        <v>21.4</v>
      </c>
      <c r="C23" s="30" t="inlineStr">
        <is>
          <t>Consolidated</t>
        </is>
      </c>
      <c r="D23" s="34" t="inlineStr">
        <is>
          <t>https://downstox.com/nifty-pe/nifty-50</t>
        </is>
      </c>
    </row>
    <row r="24">
      <c r="A24" s="27" t="n">
        <v>44866</v>
      </c>
      <c r="B24" s="53" t="n">
        <v>22.5</v>
      </c>
      <c r="C24" s="30" t="inlineStr">
        <is>
          <t>Consolidated</t>
        </is>
      </c>
      <c r="D24" s="34" t="inlineStr">
        <is>
          <t>https://downstox.com/nifty-pe/nifty-50</t>
        </is>
      </c>
    </row>
    <row r="25">
      <c r="A25" s="27" t="n">
        <v>44896</v>
      </c>
      <c r="B25" s="53" t="n">
        <v>21.8</v>
      </c>
      <c r="C25" s="30" t="inlineStr">
        <is>
          <t>Consolidated</t>
        </is>
      </c>
      <c r="D25" s="34" t="inlineStr">
        <is>
          <t>https://downstox.com/nifty-pe/nifty-50</t>
        </is>
      </c>
    </row>
    <row r="26">
      <c r="A26" s="27" t="n">
        <v>44927</v>
      </c>
      <c r="B26" s="53" t="n">
        <v>20.7</v>
      </c>
      <c r="C26" s="30" t="inlineStr">
        <is>
          <t>Consolidated</t>
        </is>
      </c>
      <c r="D26" s="34" t="inlineStr">
        <is>
          <t>https://downstox.com/nifty-pe/nifty-50</t>
        </is>
      </c>
    </row>
    <row r="27">
      <c r="A27" s="27" t="n">
        <v>44958</v>
      </c>
      <c r="B27" s="53" t="n">
        <v>20.4</v>
      </c>
      <c r="C27" s="30" t="inlineStr">
        <is>
          <t>Consolidated</t>
        </is>
      </c>
      <c r="D27" s="34" t="inlineStr">
        <is>
          <t>https://downstox.com/nifty-pe/nifty-50</t>
        </is>
      </c>
    </row>
    <row r="28">
      <c r="A28" s="27" t="n">
        <v>44986</v>
      </c>
      <c r="B28" s="53" t="n">
        <v>20.4</v>
      </c>
      <c r="C28" s="30" t="inlineStr">
        <is>
          <t>Consolidated</t>
        </is>
      </c>
      <c r="D28" s="34" t="inlineStr">
        <is>
          <t>https://downstox.com/nifty-pe/nifty-50</t>
        </is>
      </c>
    </row>
    <row r="29">
      <c r="A29" s="27" t="n">
        <v>45017</v>
      </c>
      <c r="B29" s="53" t="n">
        <v>20.9</v>
      </c>
      <c r="C29" s="30" t="inlineStr">
        <is>
          <t>Consolidated</t>
        </is>
      </c>
      <c r="D29" s="34" t="inlineStr">
        <is>
          <t>https://downstox.com/nifty-pe/nifty-50</t>
        </is>
      </c>
    </row>
    <row r="30">
      <c r="A30" s="27" t="n">
        <v>45047</v>
      </c>
      <c r="B30" s="53" t="n">
        <v>21.6</v>
      </c>
      <c r="C30" s="30" t="inlineStr">
        <is>
          <t>Consolidated</t>
        </is>
      </c>
      <c r="D30" s="34" t="inlineStr">
        <is>
          <t>https://downstox.com/nifty-pe/nifty-50</t>
        </is>
      </c>
    </row>
    <row r="31">
      <c r="A31" s="27" t="n">
        <v>45078</v>
      </c>
      <c r="B31" s="53" t="n">
        <v>22.4</v>
      </c>
      <c r="C31" s="30" t="inlineStr">
        <is>
          <t>Consolidated</t>
        </is>
      </c>
      <c r="D31" s="34" t="inlineStr">
        <is>
          <t>https://downstox.com/nifty-pe/nifty-50</t>
        </is>
      </c>
    </row>
    <row r="32">
      <c r="A32" s="27" t="n">
        <v>45108</v>
      </c>
      <c r="B32" s="53" t="n">
        <v>23</v>
      </c>
      <c r="C32" s="30" t="inlineStr">
        <is>
          <t>Consolidated</t>
        </is>
      </c>
      <c r="D32" s="34" t="inlineStr">
        <is>
          <t>https://downstox.com/nifty-pe/nifty-50</t>
        </is>
      </c>
    </row>
    <row r="33">
      <c r="A33" s="27" t="n">
        <v>45139</v>
      </c>
      <c r="B33" s="53" t="n">
        <v>22</v>
      </c>
      <c r="C33" s="30" t="inlineStr">
        <is>
          <t>Consolidated</t>
        </is>
      </c>
      <c r="D33" s="34" t="inlineStr">
        <is>
          <t>https://downstox.com/nifty-pe/nifty-50</t>
        </is>
      </c>
    </row>
    <row r="34">
      <c r="A34" s="27" t="n">
        <v>45170</v>
      </c>
      <c r="B34" s="53" t="n">
        <v>22.2</v>
      </c>
      <c r="C34" s="30" t="inlineStr">
        <is>
          <t>Consolidated</t>
        </is>
      </c>
      <c r="D34" s="34" t="inlineStr">
        <is>
          <t>https://downstox.com/nifty-pe/nifty-50</t>
        </is>
      </c>
    </row>
    <row r="35">
      <c r="A35" s="27" t="n">
        <v>45200</v>
      </c>
      <c r="B35" s="53" t="n">
        <v>20.4</v>
      </c>
      <c r="C35" s="30" t="inlineStr">
        <is>
          <t>Consolidated</t>
        </is>
      </c>
      <c r="D35" s="34" t="inlineStr">
        <is>
          <t>https://downstox.com/nifty-pe/nifty-50</t>
        </is>
      </c>
    </row>
    <row r="36">
      <c r="A36" s="27" t="n">
        <v>45231</v>
      </c>
      <c r="B36" s="53" t="n">
        <v>21.5</v>
      </c>
      <c r="C36" s="30" t="inlineStr">
        <is>
          <t>Consolidated</t>
        </is>
      </c>
      <c r="D36" s="34" t="inlineStr">
        <is>
          <t>https://downstox.com/nifty-pe/nifty-50</t>
        </is>
      </c>
    </row>
    <row r="37">
      <c r="A37" s="27" t="n">
        <v>45261</v>
      </c>
      <c r="B37" s="53" t="n">
        <v>23.2</v>
      </c>
      <c r="C37" s="30" t="inlineStr">
        <is>
          <t>Consolidated</t>
        </is>
      </c>
      <c r="D37" s="34" t="inlineStr">
        <is>
          <t>https://downstox.com/nifty-pe/nifty-50</t>
        </is>
      </c>
    </row>
    <row r="38">
      <c r="A38" s="27" t="n">
        <v>45292</v>
      </c>
      <c r="B38" s="53" t="n">
        <v>22.5</v>
      </c>
      <c r="C38" s="30" t="inlineStr">
        <is>
          <t>Consolidated</t>
        </is>
      </c>
      <c r="D38" s="34" t="inlineStr">
        <is>
          <t>https://downstox.com/nifty-pe/nifty-50</t>
        </is>
      </c>
    </row>
    <row r="39">
      <c r="A39" s="27" t="n">
        <v>45323</v>
      </c>
      <c r="B39" s="53" t="n">
        <v>22.7</v>
      </c>
      <c r="C39" s="30" t="inlineStr">
        <is>
          <t>Consolidated</t>
        </is>
      </c>
      <c r="D39" s="34" t="inlineStr">
        <is>
          <t>https://downstox.com/nifty-pe/nifty-50</t>
        </is>
      </c>
    </row>
    <row r="40">
      <c r="A40" s="27" t="n">
        <v>45352</v>
      </c>
      <c r="B40" s="53" t="n">
        <v>22.9</v>
      </c>
      <c r="C40" s="30" t="inlineStr">
        <is>
          <t>Consolidated</t>
        </is>
      </c>
      <c r="D40" s="34" t="inlineStr">
        <is>
          <t>https://downstox.com/nifty-pe/nifty-50</t>
        </is>
      </c>
    </row>
    <row r="41">
      <c r="A41" s="27" t="n">
        <v>45383</v>
      </c>
      <c r="B41" s="53" t="n">
        <v>22</v>
      </c>
      <c r="C41" s="30" t="inlineStr">
        <is>
          <t>Consolidated</t>
        </is>
      </c>
      <c r="D41" s="34" t="inlineStr">
        <is>
          <t>https://downstox.com/nifty-pe/nifty-50</t>
        </is>
      </c>
    </row>
    <row r="42">
      <c r="A42" s="27" t="n">
        <v>45413</v>
      </c>
      <c r="B42" s="53" t="n">
        <v>21.4</v>
      </c>
      <c r="C42" s="30" t="inlineStr">
        <is>
          <t>Consolidated</t>
        </is>
      </c>
      <c r="D42" s="34" t="inlineStr">
        <is>
          <t>https://downstox.com/nifty-pe/nifty-50</t>
        </is>
      </c>
    </row>
    <row r="43">
      <c r="A43" s="27" t="n">
        <v>45444</v>
      </c>
      <c r="B43" s="53" t="n">
        <v>22.9</v>
      </c>
      <c r="C43" s="30" t="inlineStr">
        <is>
          <t>Consolidated</t>
        </is>
      </c>
      <c r="D43" s="34" t="inlineStr">
        <is>
          <t>https://downstox.com/nifty-pe/nifty-50</t>
        </is>
      </c>
    </row>
    <row r="44">
      <c r="A44" s="27" t="n">
        <v>45474</v>
      </c>
      <c r="B44" s="53" t="n">
        <v>23.4</v>
      </c>
      <c r="C44" s="30" t="inlineStr">
        <is>
          <t>Consolidated</t>
        </is>
      </c>
      <c r="D44" s="34" t="inlineStr">
        <is>
          <t>https://downstox.com/nifty-pe/nifty-50</t>
        </is>
      </c>
    </row>
    <row r="45">
      <c r="A45" s="27" t="n">
        <v>45505</v>
      </c>
      <c r="B45" s="53" t="n">
        <v>23.5</v>
      </c>
      <c r="C45" s="30" t="inlineStr">
        <is>
          <t>Consolidated</t>
        </is>
      </c>
      <c r="D45" s="34" t="inlineStr">
        <is>
          <t>https://downstox.com/nifty-pe/nifty-50</t>
        </is>
      </c>
    </row>
    <row r="46">
      <c r="A46" s="27" t="n">
        <v>45536</v>
      </c>
      <c r="B46" s="53" t="n">
        <v>24.3</v>
      </c>
      <c r="C46" s="30" t="inlineStr">
        <is>
          <t>Consolidated</t>
        </is>
      </c>
      <c r="D46" s="34" t="inlineStr">
        <is>
          <t>https://downstox.com/nifty-pe/nifty-50</t>
        </is>
      </c>
    </row>
    <row r="47">
      <c r="A47" s="27" t="n">
        <v>45566</v>
      </c>
      <c r="B47" s="53" t="n">
        <v>22.6</v>
      </c>
      <c r="C47" s="30" t="inlineStr">
        <is>
          <t>Consolidated</t>
        </is>
      </c>
      <c r="D47" s="34" t="inlineStr">
        <is>
          <t>https://downstox.com/nifty-pe/nifty-50</t>
        </is>
      </c>
    </row>
    <row r="48">
      <c r="A48" s="27" t="n">
        <v>45597</v>
      </c>
      <c r="B48" s="53" t="n">
        <v>22.2</v>
      </c>
      <c r="C48" s="30" t="inlineStr">
        <is>
          <t>Consolidated</t>
        </is>
      </c>
      <c r="D48" s="34" t="inlineStr">
        <is>
          <t>https://downstox.com/nifty-pe/nifty-50</t>
        </is>
      </c>
    </row>
    <row r="49">
      <c r="A49" s="27" t="n">
        <v>45627</v>
      </c>
      <c r="B49" s="53" t="n">
        <v>21.8</v>
      </c>
      <c r="C49" s="30" t="inlineStr">
        <is>
          <t>Consolidated</t>
        </is>
      </c>
      <c r="D49" s="34" t="inlineStr">
        <is>
          <t>https://downstox.com/nifty-pe/nifty-50</t>
        </is>
      </c>
    </row>
    <row r="50">
      <c r="A50" s="27" t="n">
        <v>45658</v>
      </c>
      <c r="B50" s="53" t="n">
        <v>21.3</v>
      </c>
      <c r="C50" s="30" t="inlineStr">
        <is>
          <t>Consolidated</t>
        </is>
      </c>
      <c r="D50" s="34" t="inlineStr">
        <is>
          <t>https://downstox.com/nifty-pe/nifty-50</t>
        </is>
      </c>
    </row>
    <row r="51">
      <c r="A51" s="27" t="n">
        <v>45689</v>
      </c>
      <c r="B51" s="53" t="n">
        <v>19.7</v>
      </c>
      <c r="C51" s="30" t="inlineStr">
        <is>
          <t>Consolidated</t>
        </is>
      </c>
      <c r="D51" s="34" t="inlineStr">
        <is>
          <t>https://downstox.com/nifty-pe/nifty-50</t>
        </is>
      </c>
    </row>
    <row r="52">
      <c r="A52" s="27" t="n">
        <v>45717</v>
      </c>
      <c r="B52" s="53" t="n">
        <v>21.4</v>
      </c>
      <c r="C52" s="30" t="inlineStr">
        <is>
          <t>Consolidated</t>
        </is>
      </c>
      <c r="D52" s="34" t="inlineStr">
        <is>
          <t>https://downstox.com/nifty-pe/nifty-50</t>
        </is>
      </c>
    </row>
    <row r="53">
      <c r="A53" s="27" t="n">
        <v>45748</v>
      </c>
      <c r="B53" s="53" t="n">
        <v>21.9</v>
      </c>
      <c r="C53" s="30" t="inlineStr">
        <is>
          <t>Consolidated</t>
        </is>
      </c>
      <c r="D53" s="34" t="inlineStr">
        <is>
          <t>https://downstox.com/nifty-pe/nifty-50</t>
        </is>
      </c>
    </row>
    <row r="54">
      <c r="A54" s="27" t="n">
        <v>45778</v>
      </c>
      <c r="B54" s="53" t="n">
        <v>22.3</v>
      </c>
      <c r="C54" s="30" t="inlineStr">
        <is>
          <t>Consolidated</t>
        </is>
      </c>
      <c r="D54" s="34" t="inlineStr">
        <is>
          <t>https://downstox.com/nifty-pe/nifty-50</t>
        </is>
      </c>
    </row>
    <row r="55">
      <c r="A55" s="27" t="n">
        <v>45809</v>
      </c>
      <c r="B55" s="53" t="n">
        <v>23</v>
      </c>
      <c r="C55" s="30" t="inlineStr">
        <is>
          <t>Consolidated</t>
        </is>
      </c>
      <c r="D55" s="34" t="inlineStr">
        <is>
          <t>https://downstox.com/nifty-pe/nifty-50</t>
        </is>
      </c>
    </row>
    <row r="56">
      <c r="A56" s="27" t="n">
        <v>45839</v>
      </c>
      <c r="B56" s="53" t="n">
        <v>21.9</v>
      </c>
      <c r="C56" s="30" t="inlineStr">
        <is>
          <t>Consolidated</t>
        </is>
      </c>
      <c r="D56" s="34" t="inlineStr">
        <is>
          <t>https://downstox.com/nifty-pe/nifty-50</t>
        </is>
      </c>
    </row>
    <row r="57">
      <c r="A57" s="27" t="n">
        <v>45870</v>
      </c>
      <c r="B57" s="53" t="n">
        <v>21.5</v>
      </c>
      <c r="C57" s="30" t="inlineStr">
        <is>
          <t>Consolidated</t>
        </is>
      </c>
      <c r="D57" s="34" t="inlineStr">
        <is>
          <t>https://downstox.com/nifty-pe/nifty-50</t>
        </is>
      </c>
    </row>
    <row r="58">
      <c r="A58" s="27" t="n">
        <v>45901</v>
      </c>
      <c r="B58" s="53" t="n">
        <v>21.8</v>
      </c>
      <c r="C58" s="30" t="inlineStr">
        <is>
          <t>Consolidated</t>
        </is>
      </c>
      <c r="D58" s="34" t="inlineStr">
        <is>
          <t>https://downstox.com/nifty-pe/nifty-50</t>
        </is>
      </c>
    </row>
    <row r="59">
      <c r="A59" s="27" t="n">
        <v>45931</v>
      </c>
      <c r="B59" s="53" t="n">
        <v>22.6</v>
      </c>
      <c r="C59" s="30" t="inlineStr">
        <is>
          <t>Consolidated</t>
        </is>
      </c>
      <c r="D59" s="34" t="inlineStr">
        <is>
          <t>https://downstox.com/nifty-pe/nifty-50</t>
        </is>
      </c>
    </row>
    <row r="60">
      <c r="A60" s="27" t="n">
        <v>45962</v>
      </c>
      <c r="B60" s="53" t="n">
        <v>22.8</v>
      </c>
      <c r="C60" s="30" t="inlineStr">
        <is>
          <t>Consolidated</t>
        </is>
      </c>
      <c r="D60" s="34" t="inlineStr">
        <is>
          <t>https://downstox.com/nifty-pe/nifty-50</t>
        </is>
      </c>
    </row>
    <row r="61">
      <c r="A61" s="27" t="n">
        <v>45992</v>
      </c>
      <c r="B61" s="53" t="n">
        <v>22.8</v>
      </c>
      <c r="C61" s="30" t="inlineStr">
        <is>
          <t>Consolidated</t>
        </is>
      </c>
      <c r="D61" s="34" t="inlineStr">
        <is>
          <t>https://downstox.com/nifty-pe/nifty-50</t>
        </is>
      </c>
    </row>
    <row r="62">
      <c r="A62" s="27" t="n">
        <v>46023</v>
      </c>
      <c r="B62" s="53" t="n">
        <v>22</v>
      </c>
      <c r="C62" s="30" t="inlineStr">
        <is>
          <t>Consolidated</t>
        </is>
      </c>
      <c r="D62" s="34" t="inlineStr">
        <is>
          <t>https://downstox.com/nifty-pe/nifty-50</t>
        </is>
      </c>
    </row>
    <row r="63">
      <c r="A63" s="27" t="n">
        <v>46054</v>
      </c>
      <c r="B63" s="53" t="n">
        <v>22</v>
      </c>
      <c r="C63" s="30" t="inlineStr">
        <is>
          <t>Consolidated</t>
        </is>
      </c>
      <c r="D63" s="34" t="inlineStr">
        <is>
          <t>https://downstox.com/nifty-pe/nifty-50</t>
        </is>
      </c>
    </row>
    <row r="64">
      <c r="A64" s="27" t="n">
        <v>46082</v>
      </c>
      <c r="B64" s="53" t="n">
        <v>19.6</v>
      </c>
      <c r="C64" s="30" t="inlineStr">
        <is>
          <t>Consolidated</t>
        </is>
      </c>
      <c r="D64" s="34" t="inlineStr">
        <is>
          <t>https://downstox.com/nifty-pe/nifty-50</t>
        </is>
      </c>
    </row>
    <row r="65">
      <c r="A65" s="27" t="n">
        <v>46113</v>
      </c>
      <c r="B65" s="53" t="n">
        <v>20.9</v>
      </c>
      <c r="C65" s="30" t="inlineStr">
        <is>
          <t>Consolidated</t>
        </is>
      </c>
      <c r="D65" s="34" t="inlineStr">
        <is>
          <t>https://downstox.com/nifty-pe/nifty-50</t>
        </is>
      </c>
    </row>
    <row r="66">
      <c r="A66" s="27" t="n">
        <v>46143</v>
      </c>
      <c r="B66" s="53" t="n">
        <v>20.3</v>
      </c>
      <c r="C66" s="30" t="inlineStr">
        <is>
          <t>Consolidated</t>
        </is>
      </c>
      <c r="D66" s="34" t="inlineStr">
        <is>
          <t>https://downstox.com/nifty-pe/nifty-50</t>
        </is>
      </c>
    </row>
    <row r="67">
      <c r="A67" s="27" t="n">
        <v>46174</v>
      </c>
      <c r="B67" s="53" t="n">
        <v>20.6</v>
      </c>
      <c r="C67" s="30" t="inlineStr">
        <is>
          <t>Consolidated</t>
        </is>
      </c>
      <c r="D67" s="34" t="inlineStr">
        <is>
          <t>https://downstox.com/nifty-pe/nifty-50</t>
        </is>
      </c>
    </row>
    <row r="68">
      <c r="A68" s="27" t="n">
        <v>46204</v>
      </c>
      <c r="B68" s="53" t="n">
        <v>20.7</v>
      </c>
      <c r="C68" s="30" t="inlineStr">
        <is>
          <t>Consolidated</t>
        </is>
      </c>
      <c r="D68" s="34" t="inlineStr">
        <is>
          <t>https://downstox.com/nifty-pe/nifty-50</t>
        </is>
      </c>
    </row>
    <row r="69">
      <c r="A69" s="27" t="n">
        <v>46235</v>
      </c>
      <c r="B69" s="53" t="n">
        <v>20.4</v>
      </c>
      <c r="C69" s="30" t="inlineStr">
        <is>
          <t>Consolidated</t>
        </is>
      </c>
      <c r="D69" s="34" t="inlineStr">
        <is>
          <t>https://downstox.com/nifty-pe/nifty-50</t>
        </is>
      </c>
    </row>
    <row r="70">
      <c r="A70" s="54" t="n">
        <v>46283</v>
      </c>
      <c r="B70" s="53" t="n">
        <v>19.74</v>
      </c>
      <c r="C70" s="30" t="inlineStr">
        <is>
          <t>Consolidated</t>
        </is>
      </c>
      <c r="D70" s="34" t="inlineStr">
        <is>
          <t>https://downstox.com/nifty-pe/nifty-50</t>
        </is>
      </c>
    </row>
  </sheetData>
  <autoFilter ref="A4:D70"/>
  <mergeCells count="2">
    <mergeCell ref="A1:D1"/>
    <mergeCell ref="A2:D2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2" customWidth="1" min="5" max="5"/>
    <col width="14" customWidth="1" min="6" max="6"/>
    <col width="13" customWidth="1" min="7" max="7"/>
    <col width="12" customWidth="1" min="8" max="8"/>
    <col width="15" customWidth="1" min="9" max="9"/>
    <col width="10" customWidth="1" min="10" max="10"/>
    <col width="42" customWidth="1" min="11" max="11"/>
    <col width="48" customWidth="1" min="12" max="12"/>
  </cols>
  <sheetData>
    <row r="1" ht="28" customHeight="1">
      <c r="A1" s="1" t="inlineStr">
        <is>
          <t>Daily Signal Log</t>
        </is>
      </c>
    </row>
    <row r="2" ht="34" customHeight="1">
      <c r="A2" s="2" t="inlineStr">
        <is>
          <t>The updater script appends one row per refresh. This sheet is intentionally empty except for the seed row below.</t>
        </is>
      </c>
    </row>
    <row r="4">
      <c r="A4" s="20" t="inlineStr">
        <is>
          <t>Date</t>
        </is>
      </c>
      <c r="B4" s="20" t="inlineStr">
        <is>
          <t>NIFTY Close</t>
        </is>
      </c>
      <c r="C4" s="20" t="inlineStr">
        <is>
          <t>P/E</t>
        </is>
      </c>
      <c r="D4" s="20" t="inlineStr">
        <is>
          <t>P/E Percentile</t>
        </is>
      </c>
      <c r="E4" s="20" t="inlineStr">
        <is>
          <t>Implied EPS</t>
        </is>
      </c>
      <c r="F4" s="20" t="inlineStr">
        <is>
          <t>YoY EPS Growth</t>
        </is>
      </c>
      <c r="G4" s="20" t="inlineStr">
        <is>
          <t>Valuation Score</t>
        </is>
      </c>
      <c r="H4" s="20" t="inlineStr">
        <is>
          <t>Growth Score</t>
        </is>
      </c>
      <c r="I4" s="20" t="inlineStr">
        <is>
          <t>Composite Score</t>
        </is>
      </c>
      <c r="J4" s="20" t="inlineStr">
        <is>
          <t>Signal</t>
        </is>
      </c>
      <c r="K4" s="20" t="inlineStr">
        <is>
          <t>PE Source</t>
        </is>
      </c>
      <c r="L4" s="20" t="inlineStr">
        <is>
          <t>Price Source</t>
        </is>
      </c>
    </row>
    <row r="5">
      <c r="A5" s="55">
        <f>Dashboard!B5</f>
        <v/>
      </c>
      <c r="B5" s="31">
        <f>Dashboard!B6</f>
        <v/>
      </c>
      <c r="C5" s="56">
        <f>Dashboard!B7</f>
        <v/>
      </c>
      <c r="D5" s="50">
        <f>Dashboard!B9</f>
        <v/>
      </c>
      <c r="E5" s="31">
        <f>Dashboard!B11</f>
        <v/>
      </c>
      <c r="F5" s="50">
        <f>Dashboard!B16</f>
        <v/>
      </c>
      <c r="G5" s="52">
        <f>Dashboard!B17</f>
        <v/>
      </c>
      <c r="H5" s="52">
        <f>Dashboard!B18</f>
        <v/>
      </c>
      <c r="I5" s="52">
        <f>Dashboard!B19</f>
        <v/>
      </c>
      <c r="J5">
        <f>Dashboard!B20</f>
        <v/>
      </c>
      <c r="K5" t="inlineStr">
        <is>
          <t>https://downstox.com/nifty-pe/nifty-50</t>
        </is>
      </c>
      <c r="L5" t="inlineStr">
        <is>
          <t>https://finance.yahoo.com/quote/%5ENSEI/history/</t>
        </is>
      </c>
    </row>
  </sheetData>
  <mergeCells count="2">
    <mergeCell ref="A2:L2"/>
    <mergeCell ref="A1:L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Methodology, Sources &amp; Limitations</t>
        </is>
      </c>
    </row>
    <row r="2" ht="34" customHeight="1">
      <c r="A2" s="2" t="inlineStr">
        <is>
          <t>Read this sheet before using the daily signal. The model is designed for strategic NIFTY allocation, not short-term trading.</t>
        </is>
      </c>
    </row>
    <row r="4" ht="20" customHeight="1">
      <c r="A4" s="3" t="inlineStr">
        <is>
          <t>1. WHY THE P/E HISTORY IS SPLIT</t>
        </is>
      </c>
    </row>
    <row r="5">
      <c r="A5" s="38" t="inlineStr">
        <is>
          <t>NSE changed the index P/E earnings basis effective 31 March 2021 from standalone earnings to trailing-four-quarter consolidated earnings where available. Raw P/E values across the seam are therefore not directly comparable. The historical backtest ranks each observation only within its own earnings-methodology regime before pooling outcomes.</t>
        </is>
      </c>
    </row>
    <row r="6"/>
    <row r="7"/>
    <row r="9" ht="20" customHeight="1">
      <c r="A9" s="3" t="inlineStr">
        <is>
          <t>2. BACKTEST DESIGN</t>
        </is>
      </c>
    </row>
    <row r="10">
      <c r="A10" s="39" t="inlineStr">
        <is>
          <t>Sampling</t>
        </is>
      </c>
      <c r="B10" s="22" t="inlineStr">
        <is>
          <t>Quarter-end observations from Mar-1999 to Jun-2026. This reduces, but does not eliminate, overlapping forward-return windows.</t>
        </is>
      </c>
    </row>
    <row r="11">
      <c r="A11" s="39" t="inlineStr">
        <is>
          <t>Valuation normalisation</t>
        </is>
      </c>
      <c r="B11" s="22" t="inlineStr">
        <is>
          <t>Empirical P/E percentile within the relevant regime. Q1 is the cheapest 20%; Q5 is the most expensive 20%.</t>
        </is>
      </c>
    </row>
    <row r="12">
      <c r="A12" s="39" t="inlineStr">
        <is>
          <t>Forward returns</t>
        </is>
      </c>
      <c r="B12" s="22" t="inlineStr">
        <is>
          <t>NIFTY 50 Price Return Index: 1Y total price return; 3Y/5Y/10Y annualised CAGR. Dividends are excluded.</t>
        </is>
      </c>
    </row>
    <row r="13">
      <c r="A13" s="39" t="inlineStr">
        <is>
          <t>EPS proxy</t>
        </is>
      </c>
      <c r="B13" s="22" t="inlineStr">
        <is>
          <t>Implied index EPS = NIFTY level / published P/E. YoY growth is only calculated when both observations use the same P/E methodology.</t>
        </is>
      </c>
    </row>
    <row r="14">
      <c r="A14" s="39" t="inlineStr">
        <is>
          <t>Signal backtest</t>
        </is>
      </c>
      <c r="B14" s="22" t="inlineStr">
        <is>
          <t>Uses an expanding (no-lookahead) P/E percentile within the regime, with at least 8 observations before a signal is produced.</t>
        </is>
      </c>
    </row>
    <row r="15">
      <c r="A15" s="39" t="inlineStr">
        <is>
          <t>Current live signal</t>
        </is>
      </c>
      <c r="B15" s="22" t="inlineStr">
        <is>
          <t>Uses current consolidated-era P/E percentile plus approximate YoY implied EPS growth. The current PE changes daily; the growth comparator is month-based and therefore slower-moving.</t>
        </is>
      </c>
    </row>
    <row r="18" ht="20" customHeight="1">
      <c r="A18" s="3" t="inlineStr">
        <is>
          <t>3. SIGNAL INTERPRETATION</t>
        </is>
      </c>
    </row>
    <row r="19">
      <c r="A19" s="39" t="inlineStr">
        <is>
          <t>BUY</t>
        </is>
      </c>
      <c r="B19" s="22" t="inlineStr">
        <is>
          <t>Composite score ≥70. Historically favourable valuation/growth mix; interpreted as favourable for gradual long-term allocation.</t>
        </is>
      </c>
    </row>
    <row r="20">
      <c r="A20" s="39" t="inlineStr">
        <is>
          <t>HOLD</t>
        </is>
      </c>
      <c r="B20" s="22" t="inlineStr">
        <is>
          <t>40–69.9. Maintain strategic allocation; neither valuation nor growth provides a sufficiently strong tilt.</t>
        </is>
      </c>
    </row>
    <row r="21">
      <c r="A21" s="39" t="inlineStr">
        <is>
          <t>SELL</t>
        </is>
      </c>
      <c r="B21" s="22" t="inlineStr">
        <is>
          <t>&lt;40. Reduce or avoid incremental allocation. It does NOT mean short the NIFTY or liquidate a diversified long-term portfolio.</t>
        </is>
      </c>
    </row>
    <row r="22">
      <c r="A22" s="39" t="inlineStr">
        <is>
          <t>Weights</t>
        </is>
      </c>
      <c r="B22" s="22" t="inlineStr">
        <is>
          <t>70% valuation / 30% earnings growth by design. The weights are deliberately simple and interpretable rather than optimised to maximise historical returns.</t>
        </is>
      </c>
    </row>
    <row r="25" ht="20" customHeight="1">
      <c r="A25" s="3" t="inlineStr">
        <is>
          <t>4. SOURCES</t>
        </is>
      </c>
    </row>
    <row r="26">
      <c r="A26" s="39" t="inlineStr">
        <is>
          <t>NSE P/E methodology</t>
        </is>
      </c>
      <c r="B26" s="40" t="inlineStr">
        <is>
          <t>https://www.niftyindices.com/resources/index-concepts/price-earnings-ratio</t>
        </is>
      </c>
    </row>
    <row r="27">
      <c r="A27" s="39" t="inlineStr">
        <is>
          <t>NSE historical reports</t>
        </is>
      </c>
      <c r="B27" s="40" t="inlineStr">
        <is>
          <t>https://www.niftyindices.com/reports</t>
        </is>
      </c>
    </row>
    <row r="28">
      <c r="A28" s="39" t="inlineStr">
        <is>
          <t>NSE daily reports</t>
        </is>
      </c>
      <c r="B28" s="40" t="inlineStr">
        <is>
          <t>https://www.niftyindices.com/reports/daily-reports</t>
        </is>
      </c>
    </row>
    <row r="29">
      <c r="A29" s="39" t="inlineStr">
        <is>
          <t>P/E history used</t>
        </is>
      </c>
      <c r="B29" s="40" t="inlineStr">
        <is>
          <t>https://downstox.com/nifty-pe/nifty-50</t>
        </is>
      </c>
    </row>
    <row r="30">
      <c r="A30" s="39" t="inlineStr">
        <is>
          <t>P/E CSV endpoint</t>
        </is>
      </c>
      <c r="B30" s="40" t="inlineStr">
        <is>
          <t>https://downstox.com/api/index-pe/nifty-50/download</t>
        </is>
      </c>
    </row>
    <row r="31">
      <c r="A31" s="39" t="inlineStr">
        <is>
          <t>Historical NIFTY close used</t>
        </is>
      </c>
      <c r="B31" s="40" t="inlineStr">
        <is>
          <t>https://www.sensexindia.in/indices/NIFTY-50-Returns.aspx</t>
        </is>
      </c>
    </row>
    <row r="32">
      <c r="A32" s="39" t="inlineStr">
        <is>
          <t>Yahoo NIFTY history fallback</t>
        </is>
      </c>
      <c r="B32" s="40" t="inlineStr">
        <is>
          <t>https://finance.yahoo.com/quote/%5ENSEI/history/</t>
        </is>
      </c>
    </row>
    <row r="35" ht="20" customHeight="1">
      <c r="A35" s="3" t="inlineStr">
        <is>
          <t>5. IMPORTANT LIMITATIONS</t>
        </is>
      </c>
    </row>
    <row r="36">
      <c r="A36" s="41" t="inlineStr">
        <is>
          <t>This is an empirical valuation model, not a forecast engine. Quarter-end observations still overlap; the post-2021 consolidated regime is short; extreme trailing P/E during COVID was distorted by temporarily depressed earnings; the historical return series used here excludes dividends; and tax, transaction costs, asset allocation, risk tolerance and investor horizon are outside the model. The model should be used as a valuation/allocation indicator alongside a broader investment process.</t>
        </is>
      </c>
    </row>
    <row r="37"/>
    <row r="38"/>
    <row r="39"/>
    <row r="40"/>
  </sheetData>
  <mergeCells count="26">
    <mergeCell ref="A9:H9"/>
    <mergeCell ref="B30:H30"/>
    <mergeCell ref="B15:H15"/>
    <mergeCell ref="A1:H1"/>
    <mergeCell ref="B20:H20"/>
    <mergeCell ref="B32:H32"/>
    <mergeCell ref="B26:H26"/>
    <mergeCell ref="A25:H25"/>
    <mergeCell ref="A36:H40"/>
    <mergeCell ref="B31:H31"/>
    <mergeCell ref="A18:H18"/>
    <mergeCell ref="B22:H22"/>
    <mergeCell ref="B27:H27"/>
    <mergeCell ref="B21:H21"/>
    <mergeCell ref="A2:H2"/>
    <mergeCell ref="B12:H12"/>
    <mergeCell ref="B11:H11"/>
    <mergeCell ref="A4:H4"/>
    <mergeCell ref="B14:H14"/>
    <mergeCell ref="A35:H35"/>
    <mergeCell ref="B13:H13"/>
    <mergeCell ref="A5:H7"/>
    <mergeCell ref="B29:H29"/>
    <mergeCell ref="B10:H10"/>
    <mergeCell ref="B19:H19"/>
    <mergeCell ref="B28:H2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2026-09-19T06:34:56Z</dcterms:created>
  <dcterms:modified xmlns:dcterms="http://purl.org/dc/terms/" xmlns:xsi="http://www.w3.org/2001/XMLSchema-instance" xsi:type="dcterms:W3CDTF">2026-09-19T12:05:16Z</dcterms:modified>
</cp:coreProperties>
</file>